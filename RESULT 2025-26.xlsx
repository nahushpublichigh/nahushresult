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420" windowHeight="11020" firstSheet="9" activeTab="12"/>
  </bookViews>
  <sheets>
    <sheet name="marksheet " sheetId="8" r:id="rId1"/>
    <sheet name="MARKSHEET 9TH " sheetId="3" r:id="rId2"/>
    <sheet name="MARKSHEET 4TH TO 1ST " sheetId="7" r:id="rId3"/>
    <sheet name="marksheet lkg to ukg " sheetId="14" r:id="rId4"/>
    <sheet name="marksheet lkg to ukg2025-26 " sheetId="38" r:id="rId5"/>
    <sheet name="marksheet2025-26  (2)" sheetId="39" r:id="rId6"/>
    <sheet name="marksheet2025-26 " sheetId="37" r:id="rId7"/>
    <sheet name="CLASS-LKG 2025-26" sheetId="31" r:id="rId8"/>
    <sheet name="CLASS- UKG 2025-26" sheetId="19" r:id="rId9"/>
    <sheet name="CLASS-1ST 2025-26" sheetId="21" r:id="rId10"/>
    <sheet name="CLASS-2ND 2025-26" sheetId="22" r:id="rId11"/>
    <sheet name="CLASS -3RD 2025-26" sheetId="23" r:id="rId12"/>
    <sheet name="RANK FARMULA " sheetId="41" r:id="rId13"/>
    <sheet name="CLASS-4TH 2025-26" sheetId="24" r:id="rId14"/>
    <sheet name="CLASS-5TH 2025-26" sheetId="25" r:id="rId15"/>
    <sheet name="CLASS-6TH 2025-26" sheetId="26" r:id="rId16"/>
    <sheet name="CLASS-7TH 2025-26" sheetId="27" r:id="rId17"/>
    <sheet name="CLASS-8TH 2025-26" sheetId="29" r:id="rId18"/>
    <sheet name="9TH MARKSHEET " sheetId="40" r:id="rId19"/>
    <sheet name="CLASS-9TH 2025-26" sheetId="30" r:id="rId20"/>
    <sheet name="CLASS-10TH 2025-26" sheetId="35" r:id="rId21"/>
    <sheet name="TIME TABLE" sheetId="33" r:id="rId22"/>
    <sheet name="ADMIT CARD " sheetId="34" r:id="rId23"/>
    <sheet name="GOSHWARA 2025-26" sheetId="20" r:id="rId24"/>
    <sheet name="Sheet1" sheetId="36" r:id="rId25"/>
  </sheets>
  <externalReferences>
    <externalReference r:id="rId26"/>
    <externalReference r:id="rId27"/>
  </externalReferences>
  <definedNames>
    <definedName name="_xlnm._FilterDatabase" localSheetId="9" hidden="1">'CLASS-1ST 2025-26'!$AA$4:$AB$117</definedName>
    <definedName name="_xlnm._FilterDatabase" localSheetId="15" hidden="1">'CLASS-6TH 2025-26'!$A$4:$I$17</definedName>
    <definedName name="_xlnm._FilterDatabase" localSheetId="16" hidden="1">'CLASS-7TH 2025-26'!$A$3:$F$27</definedName>
    <definedName name="ASHOK">'CLASS-LKG 2025-26'!$1:$1048576</definedName>
    <definedName name="BHAJAN">'CLASS-2ND 2025-26'!$1:$1048576</definedName>
    <definedName name="GG">#REF!</definedName>
    <definedName name="ggg">#REF!</definedName>
    <definedName name="HH">#REF!</definedName>
    <definedName name="k">'[1]class 7th '!$1:$1048576</definedName>
    <definedName name="KING">'CLASS-9TH 2025-26'!$1:$1048576</definedName>
    <definedName name="kk">'[2]CLASS 9TH '!$1:$1048576</definedName>
    <definedName name="kull">'CLASS-7TH 2025-26'!$1:$1048576</definedName>
    <definedName name="MEHRA">'CLASS -3RD 2025-26'!$1:$1048576</definedName>
    <definedName name="NAHU">'CLASS-6TH 2025-26'!$1:$1048576</definedName>
    <definedName name="NAHUSH">'CLASS-4TH 2025-26'!$1:$1048576</definedName>
    <definedName name="_xlnm.Print_Area" localSheetId="11">'CLASS -3RD 2025-26'!$J$1:$O$76</definedName>
    <definedName name="_xlnm.Print_Area" localSheetId="8">'CLASS- UKG 2025-26'!$J$2:$M$98</definedName>
    <definedName name="_xlnm.Print_Area" localSheetId="13">'CLASS-4TH 2025-26'!$J$2:$O$76</definedName>
    <definedName name="_xlnm.Print_Area" localSheetId="15">'CLASS-6TH 2025-26'!$J$3:$P$41</definedName>
    <definedName name="_xlnm.Print_Area" localSheetId="19">'CLASS-9TH 2025-26'!$AL$2:$BG$46</definedName>
    <definedName name="_xlnm.Print_Area" localSheetId="7">'CLASS-LKG 2025-26'!$J$2:$M$85</definedName>
    <definedName name="ram">'CLASS-1ST 2025-26'!$1:$1048576</definedName>
    <definedName name="RAMM">#REF!</definedName>
    <definedName name="RAMMM">#REF!</definedName>
    <definedName name="RRAM">#REF!</definedName>
    <definedName name="WW">#REF!</definedName>
    <definedName name="WWW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41"/>
  <c r="D3"/>
  <c r="D4"/>
  <c r="D5"/>
  <c r="D6"/>
  <c r="D7"/>
  <c r="D8"/>
  <c r="AC6" i="21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5"/>
  <c r="AB23"/>
  <c r="AB8"/>
  <c r="AB22"/>
  <c r="AB27"/>
  <c r="AB18"/>
  <c r="AB42"/>
  <c r="AB47"/>
  <c r="AB51"/>
  <c r="AB53"/>
  <c r="AB55"/>
  <c r="AB60"/>
  <c r="AB61"/>
  <c r="AB57"/>
  <c r="AB65"/>
  <c r="AB66"/>
  <c r="AB72"/>
  <c r="AB70"/>
  <c r="AB76"/>
  <c r="AB81"/>
  <c r="AB79"/>
  <c r="AB87"/>
  <c r="AB97"/>
  <c r="AB100"/>
  <c r="AB89"/>
  <c r="AB103"/>
  <c r="AB110"/>
  <c r="AB101"/>
  <c r="AB112"/>
  <c r="AB16"/>
  <c r="AB34"/>
  <c r="AB35"/>
  <c r="AB36"/>
  <c r="AB5"/>
  <c r="AB37"/>
  <c r="AB12"/>
  <c r="AB13"/>
  <c r="AB32"/>
  <c r="AB38"/>
  <c r="AB17"/>
  <c r="AB43"/>
  <c r="AB50"/>
  <c r="AB59"/>
  <c r="AB82"/>
  <c r="AB83"/>
  <c r="AB105"/>
  <c r="AB95"/>
  <c r="AB98"/>
  <c r="AB109"/>
  <c r="AB99"/>
  <c r="AB93"/>
  <c r="AB96"/>
  <c r="AB111"/>
  <c r="AB117"/>
  <c r="AB31"/>
  <c r="AB19"/>
  <c r="AB15"/>
  <c r="AB6"/>
  <c r="AB28"/>
  <c r="AB41"/>
  <c r="AB44"/>
  <c r="AB49"/>
  <c r="AB46"/>
  <c r="AB52"/>
  <c r="AB54"/>
  <c r="AB56"/>
  <c r="AB67"/>
  <c r="AB68"/>
  <c r="AB69"/>
  <c r="AB71"/>
  <c r="AB73"/>
  <c r="AB77"/>
  <c r="AB75"/>
  <c r="AB78"/>
  <c r="AB74"/>
  <c r="AB94"/>
  <c r="AB113"/>
  <c r="AB10"/>
  <c r="AB20"/>
  <c r="AB39"/>
  <c r="AB14"/>
  <c r="AB30"/>
  <c r="AB40"/>
  <c r="AB21"/>
  <c r="AB25"/>
  <c r="AB33"/>
  <c r="AB9"/>
  <c r="AB26"/>
  <c r="AB7"/>
  <c r="AB29"/>
  <c r="AB11"/>
  <c r="AB45"/>
  <c r="AB48"/>
  <c r="AB62"/>
  <c r="AB64"/>
  <c r="AB58"/>
  <c r="AB63"/>
  <c r="AB80"/>
  <c r="AB86"/>
  <c r="AB88"/>
  <c r="AB85"/>
  <c r="AB84"/>
  <c r="AB91"/>
  <c r="AB90"/>
  <c r="AB106"/>
  <c r="AB102"/>
  <c r="AB104"/>
  <c r="AB92"/>
  <c r="AB107"/>
  <c r="AB108"/>
  <c r="AB114"/>
  <c r="AB116"/>
  <c r="AB115"/>
  <c r="AB24"/>
  <c r="CC6" i="30"/>
  <c r="CC7"/>
  <c r="CC8"/>
  <c r="CC9"/>
  <c r="CC10"/>
  <c r="CC11"/>
  <c r="CC12"/>
  <c r="CC13"/>
  <c r="CC14"/>
  <c r="CC15"/>
  <c r="CC16"/>
  <c r="CC17"/>
  <c r="CC18"/>
  <c r="CC19"/>
  <c r="CC20"/>
  <c r="CC21"/>
  <c r="CC22"/>
  <c r="CC23"/>
  <c r="CC24"/>
  <c r="CC25"/>
  <c r="CC26"/>
  <c r="CC27"/>
  <c r="CC28"/>
  <c r="CC29"/>
  <c r="CC30"/>
  <c r="CC31"/>
  <c r="CC32"/>
  <c r="CC33"/>
  <c r="CC34"/>
  <c r="CC35"/>
  <c r="CC36"/>
  <c r="CC37"/>
  <c r="CC38"/>
  <c r="CC39"/>
  <c r="CC40"/>
  <c r="CC41"/>
  <c r="CC42"/>
  <c r="CC43"/>
  <c r="CC44"/>
  <c r="CC45"/>
  <c r="CC46"/>
  <c r="CC5"/>
  <c r="CG6"/>
  <c r="CG7"/>
  <c r="CG8"/>
  <c r="CG9"/>
  <c r="CG10"/>
  <c r="CG11"/>
  <c r="CG12"/>
  <c r="CG13"/>
  <c r="CG14"/>
  <c r="CG15"/>
  <c r="CG16"/>
  <c r="CG17"/>
  <c r="CG18"/>
  <c r="CG19"/>
  <c r="CG20"/>
  <c r="CG21"/>
  <c r="CG22"/>
  <c r="CG23"/>
  <c r="CG24"/>
  <c r="CG25"/>
  <c r="CG26"/>
  <c r="CG27"/>
  <c r="CG28"/>
  <c r="CG29"/>
  <c r="CG30"/>
  <c r="CG31"/>
  <c r="CG32"/>
  <c r="CG33"/>
  <c r="CG34"/>
  <c r="CG35"/>
  <c r="CG36"/>
  <c r="CG37"/>
  <c r="CG38"/>
  <c r="CG39"/>
  <c r="CG40"/>
  <c r="CG41"/>
  <c r="CG42"/>
  <c r="CG43"/>
  <c r="CG44"/>
  <c r="CG45"/>
  <c r="CG46"/>
  <c r="CG5"/>
  <c r="BY6"/>
  <c r="BY7"/>
  <c r="BY8"/>
  <c r="BY9"/>
  <c r="BY10"/>
  <c r="BY11"/>
  <c r="BY12"/>
  <c r="BY13"/>
  <c r="BY14"/>
  <c r="BY15"/>
  <c r="BY16"/>
  <c r="BY17"/>
  <c r="BY18"/>
  <c r="BY19"/>
  <c r="BY20"/>
  <c r="BY21"/>
  <c r="BY22"/>
  <c r="BY23"/>
  <c r="BY24"/>
  <c r="BY25"/>
  <c r="BY26"/>
  <c r="BY27"/>
  <c r="BY28"/>
  <c r="BY29"/>
  <c r="BY30"/>
  <c r="BY31"/>
  <c r="BY32"/>
  <c r="BY33"/>
  <c r="BY34"/>
  <c r="BY35"/>
  <c r="BY36"/>
  <c r="BY37"/>
  <c r="BY38"/>
  <c r="BY39"/>
  <c r="BY40"/>
  <c r="BY41"/>
  <c r="BY42"/>
  <c r="BY43"/>
  <c r="BY44"/>
  <c r="BY45"/>
  <c r="BY46"/>
  <c r="BY5"/>
  <c r="BU6"/>
  <c r="BU7"/>
  <c r="BU8"/>
  <c r="BU9"/>
  <c r="BU10"/>
  <c r="BU11"/>
  <c r="BU12"/>
  <c r="BU13"/>
  <c r="BU14"/>
  <c r="BU15"/>
  <c r="BU16"/>
  <c r="BU17"/>
  <c r="BU18"/>
  <c r="BU19"/>
  <c r="BU20"/>
  <c r="BU21"/>
  <c r="BU22"/>
  <c r="BU23"/>
  <c r="BU24"/>
  <c r="BU25"/>
  <c r="BU26"/>
  <c r="BU27"/>
  <c r="BU28"/>
  <c r="BU29"/>
  <c r="BU30"/>
  <c r="BU31"/>
  <c r="BU32"/>
  <c r="BU33"/>
  <c r="BU34"/>
  <c r="BU35"/>
  <c r="BU36"/>
  <c r="BU37"/>
  <c r="BU38"/>
  <c r="BU39"/>
  <c r="BU40"/>
  <c r="BU41"/>
  <c r="BU42"/>
  <c r="BU43"/>
  <c r="BU44"/>
  <c r="BU45"/>
  <c r="BU46"/>
  <c r="BU5"/>
  <c r="BQ6"/>
  <c r="BQ7"/>
  <c r="BQ8"/>
  <c r="BQ9"/>
  <c r="BQ10"/>
  <c r="BQ11"/>
  <c r="BQ12"/>
  <c r="BQ13"/>
  <c r="BQ14"/>
  <c r="BQ15"/>
  <c r="BQ16"/>
  <c r="BQ17"/>
  <c r="BQ18"/>
  <c r="BQ19"/>
  <c r="BQ20"/>
  <c r="BQ21"/>
  <c r="BQ22"/>
  <c r="BQ23"/>
  <c r="BQ24"/>
  <c r="BQ25"/>
  <c r="BQ26"/>
  <c r="BQ27"/>
  <c r="BQ28"/>
  <c r="BQ29"/>
  <c r="BQ30"/>
  <c r="BQ31"/>
  <c r="BQ32"/>
  <c r="BQ33"/>
  <c r="BQ34"/>
  <c r="BQ35"/>
  <c r="BQ36"/>
  <c r="BQ37"/>
  <c r="BQ38"/>
  <c r="BQ39"/>
  <c r="BQ40"/>
  <c r="BQ41"/>
  <c r="BQ42"/>
  <c r="BQ43"/>
  <c r="BQ44"/>
  <c r="BQ45"/>
  <c r="BQ46"/>
  <c r="BQ5"/>
  <c r="BI6"/>
  <c r="BI7"/>
  <c r="BI8"/>
  <c r="BI9"/>
  <c r="BI10"/>
  <c r="BI11"/>
  <c r="BI12"/>
  <c r="BI13"/>
  <c r="BI14"/>
  <c r="BI15"/>
  <c r="BI16"/>
  <c r="BI17"/>
  <c r="BI18"/>
  <c r="BI19"/>
  <c r="BI20"/>
  <c r="BI21"/>
  <c r="BI22"/>
  <c r="BI23"/>
  <c r="BI24"/>
  <c r="BI25"/>
  <c r="BI26"/>
  <c r="BI27"/>
  <c r="BI28"/>
  <c r="BI29"/>
  <c r="BI30"/>
  <c r="BI31"/>
  <c r="BI32"/>
  <c r="BI33"/>
  <c r="BI34"/>
  <c r="BI35"/>
  <c r="BI36"/>
  <c r="BI37"/>
  <c r="BI38"/>
  <c r="BI39"/>
  <c r="BI40"/>
  <c r="BI41"/>
  <c r="BI42"/>
  <c r="BI43"/>
  <c r="BI44"/>
  <c r="BI45"/>
  <c r="BI46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I5"/>
  <c r="BH5"/>
  <c r="BE6"/>
  <c r="BE7"/>
  <c r="BE8"/>
  <c r="BE9"/>
  <c r="BE10"/>
  <c r="BE11"/>
  <c r="BE12"/>
  <c r="BE13"/>
  <c r="BE14"/>
  <c r="BE15"/>
  <c r="BE16"/>
  <c r="BE17"/>
  <c r="BE18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5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S5"/>
  <c r="AR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5"/>
  <c r="AI6"/>
  <c r="AJ6" s="1"/>
  <c r="AI7"/>
  <c r="AJ7" s="1"/>
  <c r="AI8"/>
  <c r="AJ8" s="1"/>
  <c r="AI9"/>
  <c r="AJ9" s="1"/>
  <c r="AI10"/>
  <c r="AJ10" s="1"/>
  <c r="AI11"/>
  <c r="AJ11" s="1"/>
  <c r="AI12"/>
  <c r="AJ12" s="1"/>
  <c r="AI13"/>
  <c r="AJ13" s="1"/>
  <c r="AI14"/>
  <c r="AJ14" s="1"/>
  <c r="AI15"/>
  <c r="AJ15" s="1"/>
  <c r="AI16"/>
  <c r="AJ16" s="1"/>
  <c r="AI17"/>
  <c r="AJ17" s="1"/>
  <c r="AI18"/>
  <c r="AJ18" s="1"/>
  <c r="AI19"/>
  <c r="AJ19" s="1"/>
  <c r="AI20"/>
  <c r="AJ20" s="1"/>
  <c r="AI21"/>
  <c r="AJ21" s="1"/>
  <c r="AI22"/>
  <c r="AJ22" s="1"/>
  <c r="AI23"/>
  <c r="AJ23" s="1"/>
  <c r="AI24"/>
  <c r="AJ24" s="1"/>
  <c r="AI25"/>
  <c r="AJ25" s="1"/>
  <c r="AI26"/>
  <c r="AJ26" s="1"/>
  <c r="AI27"/>
  <c r="AJ27" s="1"/>
  <c r="AI28"/>
  <c r="AJ28" s="1"/>
  <c r="AI29"/>
  <c r="AJ29" s="1"/>
  <c r="AI30"/>
  <c r="AJ30" s="1"/>
  <c r="AI31"/>
  <c r="AJ31" s="1"/>
  <c r="AI32"/>
  <c r="AJ32" s="1"/>
  <c r="AI33"/>
  <c r="AJ33" s="1"/>
  <c r="AI34"/>
  <c r="AJ34" s="1"/>
  <c r="AI35"/>
  <c r="AJ35" s="1"/>
  <c r="AI36"/>
  <c r="AJ36" s="1"/>
  <c r="AI37"/>
  <c r="AJ37" s="1"/>
  <c r="AI38"/>
  <c r="AJ38" s="1"/>
  <c r="AI39"/>
  <c r="AJ39" s="1"/>
  <c r="AI40"/>
  <c r="AJ40" s="1"/>
  <c r="AI41"/>
  <c r="AJ41" s="1"/>
  <c r="AI42"/>
  <c r="AJ42" s="1"/>
  <c r="AI43"/>
  <c r="AJ43" s="1"/>
  <c r="AI44"/>
  <c r="AJ44" s="1"/>
  <c r="AI45"/>
  <c r="AJ45" s="1"/>
  <c r="AI46"/>
  <c r="AJ46" s="1"/>
  <c r="AI5"/>
  <c r="AJ5" s="1"/>
  <c r="AE6"/>
  <c r="AF6" s="1"/>
  <c r="AE7"/>
  <c r="AF7" s="1"/>
  <c r="AE8"/>
  <c r="AF8" s="1"/>
  <c r="AE9"/>
  <c r="AF9" s="1"/>
  <c r="AE10"/>
  <c r="AF10" s="1"/>
  <c r="AE11"/>
  <c r="AF11" s="1"/>
  <c r="AE12"/>
  <c r="AF12" s="1"/>
  <c r="AE13"/>
  <c r="AF13" s="1"/>
  <c r="AE14"/>
  <c r="AF14" s="1"/>
  <c r="AE15"/>
  <c r="AF15" s="1"/>
  <c r="AE16"/>
  <c r="AF16" s="1"/>
  <c r="AE17"/>
  <c r="AF17" s="1"/>
  <c r="AE18"/>
  <c r="AF18" s="1"/>
  <c r="AE19"/>
  <c r="AF19" s="1"/>
  <c r="AE20"/>
  <c r="AF20" s="1"/>
  <c r="AE21"/>
  <c r="AF21" s="1"/>
  <c r="AE22"/>
  <c r="AF22" s="1"/>
  <c r="AE23"/>
  <c r="AF23" s="1"/>
  <c r="AE24"/>
  <c r="AF24" s="1"/>
  <c r="AE25"/>
  <c r="AF25" s="1"/>
  <c r="AE26"/>
  <c r="AF26" s="1"/>
  <c r="AE27"/>
  <c r="AF27" s="1"/>
  <c r="AE28"/>
  <c r="AF28" s="1"/>
  <c r="AE29"/>
  <c r="AF29" s="1"/>
  <c r="AE30"/>
  <c r="AF30" s="1"/>
  <c r="AE31"/>
  <c r="AF31" s="1"/>
  <c r="AE32"/>
  <c r="AF32" s="1"/>
  <c r="AE33"/>
  <c r="AF33" s="1"/>
  <c r="AE34"/>
  <c r="AF34" s="1"/>
  <c r="AE35"/>
  <c r="AF35" s="1"/>
  <c r="AE36"/>
  <c r="AF36" s="1"/>
  <c r="AE37"/>
  <c r="AF37" s="1"/>
  <c r="AE38"/>
  <c r="AF38" s="1"/>
  <c r="AE39"/>
  <c r="AF39" s="1"/>
  <c r="AE40"/>
  <c r="AF40" s="1"/>
  <c r="AE41"/>
  <c r="AF41" s="1"/>
  <c r="AE42"/>
  <c r="AF42" s="1"/>
  <c r="AE43"/>
  <c r="AF43" s="1"/>
  <c r="AE44"/>
  <c r="AF44" s="1"/>
  <c r="AE45"/>
  <c r="AF45" s="1"/>
  <c r="AE46"/>
  <c r="AF46" s="1"/>
  <c r="AE5"/>
  <c r="AF5" s="1"/>
  <c r="AA6"/>
  <c r="AB6" s="1"/>
  <c r="AA7"/>
  <c r="AB7" s="1"/>
  <c r="AA8"/>
  <c r="AB8" s="1"/>
  <c r="AA9"/>
  <c r="AB9" s="1"/>
  <c r="AA10"/>
  <c r="AB10" s="1"/>
  <c r="AA11"/>
  <c r="AB11" s="1"/>
  <c r="AA12"/>
  <c r="AB12" s="1"/>
  <c r="AA13"/>
  <c r="AB13" s="1"/>
  <c r="AA14"/>
  <c r="AB14" s="1"/>
  <c r="AA15"/>
  <c r="AB15" s="1"/>
  <c r="AA16"/>
  <c r="AB16" s="1"/>
  <c r="AA17"/>
  <c r="AB17" s="1"/>
  <c r="AA18"/>
  <c r="AB18" s="1"/>
  <c r="AA19"/>
  <c r="AB19" s="1"/>
  <c r="AA20"/>
  <c r="AB20" s="1"/>
  <c r="AA21"/>
  <c r="AB21" s="1"/>
  <c r="AA22"/>
  <c r="AB22" s="1"/>
  <c r="AA23"/>
  <c r="AB23" s="1"/>
  <c r="AA24"/>
  <c r="AB24" s="1"/>
  <c r="AA25"/>
  <c r="AB25" s="1"/>
  <c r="AA26"/>
  <c r="AB26" s="1"/>
  <c r="AA27"/>
  <c r="AB27" s="1"/>
  <c r="AA28"/>
  <c r="AB28" s="1"/>
  <c r="AA29"/>
  <c r="AB29" s="1"/>
  <c r="AA30"/>
  <c r="AB30" s="1"/>
  <c r="AA31"/>
  <c r="AB31" s="1"/>
  <c r="AA32"/>
  <c r="AB32" s="1"/>
  <c r="AA33"/>
  <c r="AB33" s="1"/>
  <c r="AA34"/>
  <c r="AB34" s="1"/>
  <c r="AA35"/>
  <c r="AB35" s="1"/>
  <c r="AA36"/>
  <c r="AB36" s="1"/>
  <c r="AA37"/>
  <c r="AB37" s="1"/>
  <c r="AA38"/>
  <c r="AB38" s="1"/>
  <c r="AA39"/>
  <c r="AB39" s="1"/>
  <c r="AA40"/>
  <c r="AB40" s="1"/>
  <c r="AA41"/>
  <c r="AB41" s="1"/>
  <c r="AA42"/>
  <c r="AB42" s="1"/>
  <c r="AA43"/>
  <c r="AB43" s="1"/>
  <c r="AA44"/>
  <c r="AB44" s="1"/>
  <c r="AA45"/>
  <c r="AB45" s="1"/>
  <c r="AA46"/>
  <c r="AB46" s="1"/>
  <c r="AA5"/>
  <c r="AB5" s="1"/>
  <c r="W6"/>
  <c r="X6" s="1"/>
  <c r="W7"/>
  <c r="X7" s="1"/>
  <c r="W8"/>
  <c r="X8" s="1"/>
  <c r="W9"/>
  <c r="X9" s="1"/>
  <c r="W10"/>
  <c r="X10" s="1"/>
  <c r="W11"/>
  <c r="X11" s="1"/>
  <c r="W12"/>
  <c r="X12" s="1"/>
  <c r="W13"/>
  <c r="X13" s="1"/>
  <c r="W14"/>
  <c r="X14" s="1"/>
  <c r="W15"/>
  <c r="X15" s="1"/>
  <c r="W16"/>
  <c r="X16" s="1"/>
  <c r="W17"/>
  <c r="X17" s="1"/>
  <c r="W18"/>
  <c r="X18" s="1"/>
  <c r="W19"/>
  <c r="X19" s="1"/>
  <c r="W20"/>
  <c r="X20" s="1"/>
  <c r="W21"/>
  <c r="X21" s="1"/>
  <c r="W22"/>
  <c r="X22" s="1"/>
  <c r="W23"/>
  <c r="X23" s="1"/>
  <c r="W24"/>
  <c r="X24" s="1"/>
  <c r="W25"/>
  <c r="X25" s="1"/>
  <c r="W26"/>
  <c r="X26" s="1"/>
  <c r="W27"/>
  <c r="X27" s="1"/>
  <c r="W28"/>
  <c r="X28" s="1"/>
  <c r="W29"/>
  <c r="X29" s="1"/>
  <c r="W30"/>
  <c r="X30" s="1"/>
  <c r="W31"/>
  <c r="X31" s="1"/>
  <c r="W32"/>
  <c r="X32" s="1"/>
  <c r="W33"/>
  <c r="X33" s="1"/>
  <c r="W34"/>
  <c r="X34" s="1"/>
  <c r="W35"/>
  <c r="X35" s="1"/>
  <c r="W36"/>
  <c r="X36" s="1"/>
  <c r="W37"/>
  <c r="X37" s="1"/>
  <c r="W38"/>
  <c r="X38" s="1"/>
  <c r="W39"/>
  <c r="X39" s="1"/>
  <c r="W40"/>
  <c r="X40" s="1"/>
  <c r="W41"/>
  <c r="X41" s="1"/>
  <c r="W42"/>
  <c r="X42" s="1"/>
  <c r="W43"/>
  <c r="X43" s="1"/>
  <c r="W44"/>
  <c r="X44" s="1"/>
  <c r="W45"/>
  <c r="X45" s="1"/>
  <c r="W46"/>
  <c r="X46" s="1"/>
  <c r="W5"/>
  <c r="X5" s="1"/>
  <c r="S6"/>
  <c r="T6" s="1"/>
  <c r="S7"/>
  <c r="T7" s="1"/>
  <c r="S8"/>
  <c r="T8" s="1"/>
  <c r="S9"/>
  <c r="T9" s="1"/>
  <c r="S10"/>
  <c r="T10" s="1"/>
  <c r="S11"/>
  <c r="T11" s="1"/>
  <c r="S12"/>
  <c r="T12" s="1"/>
  <c r="S13"/>
  <c r="T13" s="1"/>
  <c r="S14"/>
  <c r="T14" s="1"/>
  <c r="S15"/>
  <c r="T15" s="1"/>
  <c r="S16"/>
  <c r="T16" s="1"/>
  <c r="S17"/>
  <c r="T17" s="1"/>
  <c r="S18"/>
  <c r="T18" s="1"/>
  <c r="S19"/>
  <c r="T19" s="1"/>
  <c r="S20"/>
  <c r="T20" s="1"/>
  <c r="S21"/>
  <c r="T21" s="1"/>
  <c r="S22"/>
  <c r="T22" s="1"/>
  <c r="S23"/>
  <c r="T23" s="1"/>
  <c r="S24"/>
  <c r="T24" s="1"/>
  <c r="S25"/>
  <c r="T25" s="1"/>
  <c r="S26"/>
  <c r="T26" s="1"/>
  <c r="S27"/>
  <c r="T27" s="1"/>
  <c r="S28"/>
  <c r="T28" s="1"/>
  <c r="S29"/>
  <c r="T29" s="1"/>
  <c r="S30"/>
  <c r="T30" s="1"/>
  <c r="S31"/>
  <c r="T31" s="1"/>
  <c r="S32"/>
  <c r="T32" s="1"/>
  <c r="S33"/>
  <c r="T33" s="1"/>
  <c r="S34"/>
  <c r="T34" s="1"/>
  <c r="S35"/>
  <c r="T35" s="1"/>
  <c r="S36"/>
  <c r="T36" s="1"/>
  <c r="S37"/>
  <c r="T37" s="1"/>
  <c r="S38"/>
  <c r="T38" s="1"/>
  <c r="S39"/>
  <c r="T39" s="1"/>
  <c r="S40"/>
  <c r="T40" s="1"/>
  <c r="S41"/>
  <c r="T41" s="1"/>
  <c r="S42"/>
  <c r="T42" s="1"/>
  <c r="S43"/>
  <c r="T43" s="1"/>
  <c r="S44"/>
  <c r="T44" s="1"/>
  <c r="S45"/>
  <c r="T45" s="1"/>
  <c r="S46"/>
  <c r="T46" s="1"/>
  <c r="S5"/>
  <c r="T5" s="1"/>
  <c r="O6"/>
  <c r="P6" s="1"/>
  <c r="O7"/>
  <c r="P7" s="1"/>
  <c r="O8"/>
  <c r="P8" s="1"/>
  <c r="O9"/>
  <c r="P9" s="1"/>
  <c r="O10"/>
  <c r="P10" s="1"/>
  <c r="O11"/>
  <c r="P11" s="1"/>
  <c r="O12"/>
  <c r="P12" s="1"/>
  <c r="O13"/>
  <c r="P13" s="1"/>
  <c r="O14"/>
  <c r="P14" s="1"/>
  <c r="O15"/>
  <c r="P15" s="1"/>
  <c r="O16"/>
  <c r="P16" s="1"/>
  <c r="O17"/>
  <c r="P17" s="1"/>
  <c r="O18"/>
  <c r="P18" s="1"/>
  <c r="O19"/>
  <c r="P19" s="1"/>
  <c r="O20"/>
  <c r="P20" s="1"/>
  <c r="O21"/>
  <c r="P21" s="1"/>
  <c r="O22"/>
  <c r="P22" s="1"/>
  <c r="O23"/>
  <c r="P23" s="1"/>
  <c r="O24"/>
  <c r="P24" s="1"/>
  <c r="O25"/>
  <c r="P25" s="1"/>
  <c r="O26"/>
  <c r="P26" s="1"/>
  <c r="O27"/>
  <c r="P27" s="1"/>
  <c r="O28"/>
  <c r="P28" s="1"/>
  <c r="O29"/>
  <c r="P29" s="1"/>
  <c r="O30"/>
  <c r="P30" s="1"/>
  <c r="O31"/>
  <c r="P31" s="1"/>
  <c r="O32"/>
  <c r="P32" s="1"/>
  <c r="O33"/>
  <c r="P33" s="1"/>
  <c r="O34"/>
  <c r="P34" s="1"/>
  <c r="O35"/>
  <c r="P35" s="1"/>
  <c r="O36"/>
  <c r="P36" s="1"/>
  <c r="O37"/>
  <c r="P37" s="1"/>
  <c r="O38"/>
  <c r="P38" s="1"/>
  <c r="O39"/>
  <c r="P39" s="1"/>
  <c r="O40"/>
  <c r="P40" s="1"/>
  <c r="O41"/>
  <c r="P41" s="1"/>
  <c r="O42"/>
  <c r="P42" s="1"/>
  <c r="O43"/>
  <c r="P43" s="1"/>
  <c r="O44"/>
  <c r="P44" s="1"/>
  <c r="O45"/>
  <c r="P45" s="1"/>
  <c r="O46"/>
  <c r="P46" s="1"/>
  <c r="O5"/>
  <c r="P5" s="1"/>
  <c r="L23" i="40"/>
  <c r="L21"/>
  <c r="L22"/>
  <c r="L24"/>
  <c r="L25"/>
  <c r="L20"/>
  <c r="K21"/>
  <c r="K22"/>
  <c r="K23"/>
  <c r="K24"/>
  <c r="K25"/>
  <c r="K20"/>
  <c r="C9"/>
  <c r="I9"/>
  <c r="G9"/>
  <c r="H14"/>
  <c r="H13"/>
  <c r="H12"/>
  <c r="H11"/>
  <c r="P121" i="21"/>
  <c r="BM6" i="30" l="1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M37"/>
  <c r="BM38"/>
  <c r="BM39"/>
  <c r="BM40"/>
  <c r="BM41"/>
  <c r="BM42"/>
  <c r="BM43"/>
  <c r="BM44"/>
  <c r="BM45"/>
  <c r="BM46"/>
  <c r="BM5"/>
  <c r="J13" i="37" l="1"/>
  <c r="J25"/>
  <c r="I25"/>
  <c r="E25"/>
  <c r="J24"/>
  <c r="I24"/>
  <c r="E24"/>
  <c r="J23"/>
  <c r="I23"/>
  <c r="E23"/>
  <c r="J22"/>
  <c r="I22"/>
  <c r="E22"/>
  <c r="J21"/>
  <c r="I21"/>
  <c r="E21"/>
  <c r="J20"/>
  <c r="I20"/>
  <c r="E20"/>
  <c r="J15"/>
  <c r="J14"/>
  <c r="E14"/>
  <c r="E13"/>
  <c r="G12"/>
  <c r="D12"/>
  <c r="D25" i="38" l="1"/>
  <c r="I25"/>
  <c r="H24" i="3" l="1"/>
  <c r="C24"/>
  <c r="P22"/>
  <c r="O22"/>
  <c r="K22"/>
  <c r="J22"/>
  <c r="F22"/>
  <c r="E22"/>
  <c r="P21"/>
  <c r="O21"/>
  <c r="K21"/>
  <c r="J21"/>
  <c r="F21"/>
  <c r="E21"/>
  <c r="P20"/>
  <c r="O20"/>
  <c r="K20"/>
  <c r="J20"/>
  <c r="F20"/>
  <c r="E20"/>
  <c r="P19"/>
  <c r="O19"/>
  <c r="K19"/>
  <c r="J19"/>
  <c r="F19"/>
  <c r="E19"/>
  <c r="P18"/>
  <c r="O18"/>
  <c r="K18"/>
  <c r="J18"/>
  <c r="F18"/>
  <c r="E18"/>
  <c r="P17"/>
  <c r="O17"/>
  <c r="K17"/>
  <c r="J17"/>
  <c r="F17"/>
  <c r="E17"/>
  <c r="I12"/>
  <c r="I11"/>
  <c r="I10"/>
  <c r="I9"/>
  <c r="I8"/>
  <c r="M7"/>
  <c r="J7"/>
  <c r="G7"/>
  <c r="C7"/>
  <c r="K5"/>
  <c r="J13" i="39" l="1"/>
  <c r="J24"/>
  <c r="I24"/>
  <c r="E24"/>
  <c r="J23"/>
  <c r="I23"/>
  <c r="E23"/>
  <c r="J22"/>
  <c r="I22"/>
  <c r="E22"/>
  <c r="J21"/>
  <c r="I21"/>
  <c r="E21"/>
  <c r="J20"/>
  <c r="I20"/>
  <c r="E20"/>
  <c r="J15"/>
  <c r="J14"/>
  <c r="E14"/>
  <c r="E13"/>
  <c r="G12"/>
  <c r="D12"/>
  <c r="K21" l="1"/>
  <c r="K20"/>
  <c r="K22"/>
  <c r="J25"/>
  <c r="E25"/>
  <c r="D26" s="1"/>
  <c r="K24"/>
  <c r="K23"/>
  <c r="I25"/>
  <c r="I23" i="38"/>
  <c r="E23"/>
  <c r="I22"/>
  <c r="E22"/>
  <c r="I21"/>
  <c r="E21"/>
  <c r="I20"/>
  <c r="E20"/>
  <c r="J15"/>
  <c r="J14"/>
  <c r="E14"/>
  <c r="J13"/>
  <c r="E13"/>
  <c r="G12"/>
  <c r="D12"/>
  <c r="S4" i="19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3"/>
  <c r="K25" i="39" l="1"/>
  <c r="E24" i="38"/>
  <c r="I24"/>
  <c r="D35" s="1"/>
  <c r="CI6" i="30"/>
  <c r="CI7"/>
  <c r="CI8"/>
  <c r="CI9"/>
  <c r="CI10"/>
  <c r="CI11"/>
  <c r="CI12"/>
  <c r="CI13"/>
  <c r="CI14"/>
  <c r="CI15"/>
  <c r="CI16"/>
  <c r="CI17"/>
  <c r="CI18"/>
  <c r="CI19"/>
  <c r="CI20"/>
  <c r="CI21"/>
  <c r="CI22"/>
  <c r="CI23"/>
  <c r="CI24"/>
  <c r="CI25"/>
  <c r="CI26"/>
  <c r="CI27"/>
  <c r="CI28"/>
  <c r="CI29"/>
  <c r="CI30"/>
  <c r="CI31"/>
  <c r="CI32"/>
  <c r="CI33"/>
  <c r="CI34"/>
  <c r="CI35"/>
  <c r="CI36"/>
  <c r="CI37"/>
  <c r="CI38"/>
  <c r="CI39"/>
  <c r="CI40"/>
  <c r="CI41"/>
  <c r="CI42"/>
  <c r="CI43"/>
  <c r="CI44"/>
  <c r="CI45"/>
  <c r="CI46"/>
  <c r="CI5"/>
  <c r="M24" i="3" l="1"/>
  <c r="R24"/>
  <c r="I26" i="39"/>
  <c r="D36" s="1"/>
  <c r="E26" i="37" l="1"/>
  <c r="D27" s="1"/>
  <c r="J26"/>
  <c r="I26"/>
  <c r="K25"/>
  <c r="K21" l="1"/>
  <c r="K24"/>
  <c r="K22"/>
  <c r="K23"/>
  <c r="K20"/>
  <c r="Z76" i="24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76" i="23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3"/>
  <c r="K26" i="37" l="1"/>
  <c r="I27" s="1"/>
  <c r="D37" s="1"/>
  <c r="Z97" i="22"/>
  <c r="Z96"/>
  <c r="Z95"/>
  <c r="Z94"/>
  <c r="Z93"/>
  <c r="Z92"/>
  <c r="Z91"/>
  <c r="Z90"/>
  <c r="Z89"/>
  <c r="Z88"/>
  <c r="Z87"/>
  <c r="Z86"/>
  <c r="Z85"/>
  <c r="Z84"/>
  <c r="Z83"/>
  <c r="Z82"/>
  <c r="Z81"/>
  <c r="Z80"/>
  <c r="Z79"/>
  <c r="Z78"/>
  <c r="Z77"/>
  <c r="Z76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117" i="21" l="1"/>
  <c r="Z116"/>
  <c r="Z115"/>
  <c r="Z114"/>
  <c r="Z113"/>
  <c r="Z112"/>
  <c r="Z111"/>
  <c r="Z110"/>
  <c r="Z109"/>
  <c r="Z108"/>
  <c r="Z107"/>
  <c r="Z106"/>
  <c r="Z105"/>
  <c r="Z104"/>
  <c r="Z103"/>
  <c r="Z102"/>
  <c r="Z101"/>
  <c r="Z100"/>
  <c r="Z99"/>
  <c r="Z98"/>
  <c r="Z97"/>
  <c r="Z96"/>
  <c r="Z95"/>
  <c r="Z94"/>
  <c r="Z93"/>
  <c r="Z92"/>
  <c r="Z91"/>
  <c r="Z90"/>
  <c r="Z89"/>
  <c r="Z88"/>
  <c r="Z87"/>
  <c r="Z86"/>
  <c r="Z85"/>
  <c r="Z84"/>
  <c r="Z83"/>
  <c r="Z82"/>
  <c r="Z81"/>
  <c r="Z80"/>
  <c r="Z79"/>
  <c r="Z78"/>
  <c r="Z77"/>
  <c r="Z76"/>
  <c r="Z75"/>
  <c r="Z74"/>
  <c r="Z73"/>
  <c r="Z72"/>
  <c r="Z71"/>
  <c r="Z70"/>
  <c r="Z69"/>
  <c r="Z68"/>
  <c r="Z67"/>
  <c r="Z66"/>
  <c r="Z65"/>
  <c r="Z64"/>
  <c r="Z63"/>
  <c r="Z62"/>
  <c r="Z61"/>
  <c r="Z60"/>
  <c r="Z59"/>
  <c r="Z58"/>
  <c r="Z57"/>
  <c r="Z56"/>
  <c r="Z55"/>
  <c r="Z54"/>
  <c r="Z53"/>
  <c r="Z52"/>
  <c r="Z51"/>
  <c r="Z50"/>
  <c r="Z49"/>
  <c r="Z48"/>
  <c r="Z47"/>
  <c r="Z46"/>
  <c r="Z45"/>
  <c r="Z44"/>
  <c r="Z43"/>
  <c r="Z42"/>
  <c r="Z41"/>
  <c r="Z40"/>
  <c r="Z39"/>
  <c r="Z38"/>
  <c r="Z37"/>
  <c r="Z36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AC41" i="27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C41" i="26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O4" i="23" l="1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3"/>
  <c r="O75" i="24"/>
  <c r="O74"/>
  <c r="O73"/>
  <c r="O72"/>
  <c r="O71"/>
  <c r="O70"/>
  <c r="O69"/>
  <c r="O68"/>
  <c r="O67"/>
  <c r="O52"/>
  <c r="O66"/>
  <c r="O65"/>
  <c r="O64"/>
  <c r="O63"/>
  <c r="O62"/>
  <c r="O61"/>
  <c r="O60"/>
  <c r="O59"/>
  <c r="O58"/>
  <c r="O57"/>
  <c r="O56"/>
  <c r="O55"/>
  <c r="O54"/>
  <c r="O53"/>
  <c r="O51"/>
  <c r="O50"/>
  <c r="O49"/>
  <c r="O48"/>
  <c r="O47"/>
  <c r="O46"/>
  <c r="O45"/>
  <c r="O44"/>
  <c r="O43"/>
  <c r="O42"/>
  <c r="O41"/>
  <c r="O40"/>
  <c r="O39"/>
  <c r="O38"/>
  <c r="O37"/>
  <c r="O36"/>
  <c r="O35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76"/>
  <c r="O4"/>
  <c r="O97" i="22"/>
  <c r="O96"/>
  <c r="O95"/>
  <c r="O94"/>
  <c r="O93"/>
  <c r="O92"/>
  <c r="O91"/>
  <c r="O90"/>
  <c r="O89"/>
  <c r="O88"/>
  <c r="O87"/>
  <c r="O86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4"/>
  <c r="O6" i="21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5"/>
  <c r="P6" i="2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5"/>
  <c r="P5" i="27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"/>
  <c r="E50" i="36"/>
  <c r="E49"/>
  <c r="E48"/>
  <c r="E47"/>
  <c r="E46"/>
  <c r="D44"/>
  <c r="I43"/>
  <c r="D43"/>
  <c r="E37"/>
  <c r="E36"/>
  <c r="E35"/>
  <c r="E34"/>
  <c r="E33"/>
  <c r="D31"/>
  <c r="I30"/>
  <c r="D30"/>
  <c r="E24"/>
  <c r="E23"/>
  <c r="E22"/>
  <c r="E21"/>
  <c r="E20"/>
  <c r="D18"/>
  <c r="I17"/>
  <c r="D17"/>
  <c r="E11"/>
  <c r="E10"/>
  <c r="E9"/>
  <c r="E8"/>
  <c r="E7"/>
  <c r="D5"/>
  <c r="I4"/>
  <c r="D4"/>
  <c r="O20" i="20"/>
  <c r="N20"/>
  <c r="M20"/>
  <c r="K20"/>
  <c r="J20"/>
  <c r="I20"/>
  <c r="F20"/>
  <c r="E20"/>
  <c r="D20"/>
  <c r="F9"/>
  <c r="I9"/>
  <c r="J9"/>
  <c r="K9"/>
  <c r="L9"/>
  <c r="M9"/>
  <c r="O9"/>
  <c r="J33"/>
  <c r="J27"/>
  <c r="K27"/>
  <c r="J24"/>
  <c r="K24"/>
  <c r="M24"/>
  <c r="O24"/>
  <c r="L11"/>
  <c r="P11" s="1"/>
  <c r="L12"/>
  <c r="P12" s="1"/>
  <c r="L13"/>
  <c r="P13" s="1"/>
  <c r="L14"/>
  <c r="P14" s="1"/>
  <c r="L15"/>
  <c r="P15" s="1"/>
  <c r="L16"/>
  <c r="P16" s="1"/>
  <c r="L17"/>
  <c r="P17" s="1"/>
  <c r="L18"/>
  <c r="P18" s="1"/>
  <c r="L19"/>
  <c r="P19" s="1"/>
  <c r="L21"/>
  <c r="P21" s="1"/>
  <c r="L22"/>
  <c r="P22" s="1"/>
  <c r="L23"/>
  <c r="P23" s="1"/>
  <c r="L25"/>
  <c r="P25" s="1"/>
  <c r="L26"/>
  <c r="P26" s="1"/>
  <c r="L10"/>
  <c r="P10" s="1"/>
  <c r="P6"/>
  <c r="P7"/>
  <c r="P8"/>
  <c r="P5"/>
  <c r="P9" s="1"/>
  <c r="I27" i="7"/>
  <c r="H27"/>
  <c r="D27"/>
  <c r="I25"/>
  <c r="H25"/>
  <c r="D25"/>
  <c r="I24"/>
  <c r="H24"/>
  <c r="D24"/>
  <c r="I23"/>
  <c r="H23"/>
  <c r="D23"/>
  <c r="I22"/>
  <c r="H22"/>
  <c r="D22"/>
  <c r="E16"/>
  <c r="E15"/>
  <c r="E14"/>
  <c r="E13"/>
  <c r="J9"/>
  <c r="C9"/>
  <c r="J8"/>
  <c r="C8"/>
  <c r="I25" i="14"/>
  <c r="H25"/>
  <c r="D25"/>
  <c r="I24"/>
  <c r="H24"/>
  <c r="D24"/>
  <c r="I23"/>
  <c r="H23"/>
  <c r="D23"/>
  <c r="I22"/>
  <c r="H22"/>
  <c r="D22"/>
  <c r="E16"/>
  <c r="E15"/>
  <c r="E14"/>
  <c r="E13"/>
  <c r="J9"/>
  <c r="C9"/>
  <c r="J8"/>
  <c r="C8"/>
  <c r="P20" i="20" l="1"/>
  <c r="P27"/>
  <c r="L20"/>
  <c r="P24"/>
  <c r="L24"/>
  <c r="L27"/>
  <c r="F26" i="14"/>
  <c r="F26" i="7"/>
  <c r="I26" i="8"/>
  <c r="H26"/>
  <c r="D26"/>
  <c r="I25"/>
  <c r="H25"/>
  <c r="D25"/>
  <c r="I24"/>
  <c r="H24"/>
  <c r="D24"/>
  <c r="I23"/>
  <c r="H23"/>
  <c r="D23"/>
  <c r="I22"/>
  <c r="H22"/>
  <c r="D22"/>
  <c r="I21"/>
  <c r="H21"/>
  <c r="D21"/>
  <c r="E16"/>
  <c r="E15"/>
  <c r="E14"/>
  <c r="E13"/>
  <c r="J9"/>
  <c r="C9"/>
  <c r="J8"/>
  <c r="C8"/>
  <c r="AO38"/>
  <c r="AU36"/>
  <c r="AV36" s="1"/>
  <c r="AR36"/>
  <c r="AS35"/>
  <c r="AT34"/>
  <c r="AV34" s="1"/>
  <c r="AR34"/>
  <c r="AT33"/>
  <c r="AV33" s="1"/>
  <c r="AR33"/>
  <c r="AT32"/>
  <c r="AV32" s="1"/>
  <c r="AR32"/>
  <c r="AT31"/>
  <c r="AV31" s="1"/>
  <c r="AR31"/>
  <c r="AT30"/>
  <c r="AV30" s="1"/>
  <c r="AR30"/>
  <c r="AT29"/>
  <c r="AV29" s="1"/>
  <c r="AR29"/>
  <c r="AR35" s="1"/>
  <c r="AR17"/>
  <c r="AR16"/>
  <c r="AR15"/>
  <c r="AR14"/>
  <c r="AR13"/>
  <c r="L17" i="3" l="1"/>
  <c r="S17" s="1"/>
  <c r="G18"/>
  <c r="R18" s="1"/>
  <c r="Q18"/>
  <c r="T18" s="1"/>
  <c r="L19"/>
  <c r="S19" s="1"/>
  <c r="G20"/>
  <c r="R20" s="1"/>
  <c r="Q20"/>
  <c r="T20" s="1"/>
  <c r="L21"/>
  <c r="S21" s="1"/>
  <c r="Q22"/>
  <c r="T22" s="1"/>
  <c r="L18"/>
  <c r="S18" s="1"/>
  <c r="Q21"/>
  <c r="T21" s="1"/>
  <c r="Q19"/>
  <c r="T19" s="1"/>
  <c r="L20"/>
  <c r="S20" s="1"/>
  <c r="G17"/>
  <c r="E23" s="1"/>
  <c r="Q17"/>
  <c r="T17" s="1"/>
  <c r="G19"/>
  <c r="R19" s="1"/>
  <c r="G21"/>
  <c r="R21" s="1"/>
  <c r="L22"/>
  <c r="S22" s="1"/>
  <c r="G22"/>
  <c r="R22" s="1"/>
  <c r="I26" i="14"/>
  <c r="D26"/>
  <c r="C27" s="1"/>
  <c r="H26"/>
  <c r="J23"/>
  <c r="J24"/>
  <c r="J25"/>
  <c r="J22"/>
  <c r="H26" i="7"/>
  <c r="I26"/>
  <c r="J27"/>
  <c r="D26"/>
  <c r="C28" s="1"/>
  <c r="J22"/>
  <c r="J24"/>
  <c r="J25"/>
  <c r="J23"/>
  <c r="H27" i="8"/>
  <c r="J23"/>
  <c r="J25"/>
  <c r="J24"/>
  <c r="I27"/>
  <c r="J22"/>
  <c r="J26"/>
  <c r="J21"/>
  <c r="D27"/>
  <c r="C28" s="1"/>
  <c r="AQ38"/>
  <c r="AU35"/>
  <c r="J23" i="3" l="1"/>
  <c r="H27" s="1"/>
  <c r="U18"/>
  <c r="U21"/>
  <c r="U20"/>
  <c r="U19"/>
  <c r="O23"/>
  <c r="M26" s="1"/>
  <c r="U22"/>
  <c r="R17"/>
  <c r="U17" s="1"/>
  <c r="J26" i="14"/>
  <c r="H27" s="1"/>
  <c r="J26" i="7"/>
  <c r="H28" s="1"/>
  <c r="D37" s="1"/>
  <c r="J27" i="8"/>
  <c r="H28" s="1"/>
  <c r="D36" s="1"/>
  <c r="AS38"/>
  <c r="C27" i="3"/>
  <c r="C26"/>
  <c r="D25"/>
  <c r="I25" l="1"/>
  <c r="H26"/>
  <c r="N25"/>
  <c r="M27"/>
  <c r="T23"/>
  <c r="R26" s="1"/>
  <c r="D37" i="14"/>
  <c r="D38" i="7"/>
  <c r="S25" i="3" l="1"/>
  <c r="R27"/>
</calcChain>
</file>

<file path=xl/sharedStrings.xml><?xml version="1.0" encoding="utf-8"?>
<sst xmlns="http://schemas.openxmlformats.org/spreadsheetml/2006/main" count="6863" uniqueCount="3566">
  <si>
    <t xml:space="preserve">ROLL NO. </t>
  </si>
  <si>
    <t xml:space="preserve">NAME OF STUDENT </t>
  </si>
  <si>
    <t xml:space="preserve">NAME OF FATHER </t>
  </si>
  <si>
    <t xml:space="preserve">NAME OF MOTHER </t>
  </si>
  <si>
    <t>BIRTH DATE</t>
  </si>
  <si>
    <t xml:space="preserve">SSSM ID </t>
  </si>
  <si>
    <t>ADMISSION  NO.</t>
  </si>
  <si>
    <t>CLASS</t>
  </si>
  <si>
    <t xml:space="preserve">YEAR </t>
  </si>
  <si>
    <t xml:space="preserve">HINDI </t>
  </si>
  <si>
    <t xml:space="preserve">ENGLISH </t>
  </si>
  <si>
    <t>MATH</t>
  </si>
  <si>
    <t xml:space="preserve">SCIENCE </t>
  </si>
  <si>
    <t xml:space="preserve">SO. SCIENCE </t>
  </si>
  <si>
    <t xml:space="preserve">COMPUTER </t>
  </si>
  <si>
    <t xml:space="preserve">SAKSHI KUSHWAHA </t>
  </si>
  <si>
    <t xml:space="preserve">ANSH PATEL </t>
  </si>
  <si>
    <t xml:space="preserve">ARCHANA PATEL </t>
  </si>
  <si>
    <t xml:space="preserve">SAROJ PATEL </t>
  </si>
  <si>
    <t xml:space="preserve">GANGOTRI PATEL </t>
  </si>
  <si>
    <t xml:space="preserve">SHEELA JAISWAL </t>
  </si>
  <si>
    <t xml:space="preserve">SEEMA PATEL </t>
  </si>
  <si>
    <t xml:space="preserve">RAJESH KUSHWAHA </t>
  </si>
  <si>
    <t xml:space="preserve">MANOJ PATEL </t>
  </si>
  <si>
    <t xml:space="preserve">ANIL KUMAR PATEL </t>
  </si>
  <si>
    <t xml:space="preserve">NAITIK PATEL </t>
  </si>
  <si>
    <t xml:space="preserve">ARVIND SAHU </t>
  </si>
  <si>
    <t xml:space="preserve">MANISHA ASATI </t>
  </si>
  <si>
    <t xml:space="preserve">ARTI GARG </t>
  </si>
  <si>
    <t>7TH</t>
  </si>
  <si>
    <t xml:space="preserve">MAHENDRA SAHU </t>
  </si>
  <si>
    <t xml:space="preserve">ARTI SAHU </t>
  </si>
  <si>
    <t xml:space="preserve">REKHA PATEL </t>
  </si>
  <si>
    <t xml:space="preserve">RAJU BARMAN </t>
  </si>
  <si>
    <t xml:space="preserve">SAPNA PATEL </t>
  </si>
  <si>
    <t xml:space="preserve">JITENDRA KUMAR KACHHI </t>
  </si>
  <si>
    <t xml:space="preserve">ABHISHEK SAHU </t>
  </si>
  <si>
    <t xml:space="preserve">SATENDRA KUMAR </t>
  </si>
  <si>
    <t xml:space="preserve">SURENDRA LODHI </t>
  </si>
  <si>
    <t xml:space="preserve">REENA YADAV </t>
  </si>
  <si>
    <t xml:space="preserve">RAJNI BARMAN </t>
  </si>
  <si>
    <t xml:space="preserve">MEENA PATEL </t>
  </si>
  <si>
    <t xml:space="preserve">GUDIYA PATEL </t>
  </si>
  <si>
    <t xml:space="preserve">VANDANA YADAV </t>
  </si>
  <si>
    <t xml:space="preserve">VIRAT NAYAK </t>
  </si>
  <si>
    <t xml:space="preserve">FATHER'S NAME </t>
  </si>
  <si>
    <t>RAJ KUSHWAHA</t>
  </si>
  <si>
    <t xml:space="preserve">SANTOSH KUMAR </t>
  </si>
  <si>
    <t xml:space="preserve">SATISH DAS BAIRAGI </t>
  </si>
  <si>
    <t xml:space="preserve">SANJAY KUMAR PATEL </t>
  </si>
  <si>
    <t>ASHWANI PATEL</t>
  </si>
  <si>
    <t xml:space="preserve">DASHRATH RAJAK </t>
  </si>
  <si>
    <t xml:space="preserve">SUNIL DUBEY </t>
  </si>
  <si>
    <t xml:space="preserve">ANANYA BARMAN </t>
  </si>
  <si>
    <t xml:space="preserve">RANJEET BARMAN </t>
  </si>
  <si>
    <t>03-05-2015</t>
  </si>
  <si>
    <t xml:space="preserve">ARPITA TIWARI </t>
  </si>
  <si>
    <t xml:space="preserve">BANI BAIRAGI </t>
  </si>
  <si>
    <t xml:space="preserve">KAVYA SEN </t>
  </si>
  <si>
    <t xml:space="preserve">MANYATA PATEL </t>
  </si>
  <si>
    <t xml:space="preserve">NIDHI PATEL </t>
  </si>
  <si>
    <t xml:space="preserve">PANKHUDI KUSHWAHA </t>
  </si>
  <si>
    <t xml:space="preserve">SAMIKSHA NAYAK </t>
  </si>
  <si>
    <t xml:space="preserve">SANSKRITI JAISWAL </t>
  </si>
  <si>
    <t xml:space="preserve">SHRADDHA PATEL </t>
  </si>
  <si>
    <t xml:space="preserve">SHRUTI KOL </t>
  </si>
  <si>
    <t xml:space="preserve">ARPIT MEHRA </t>
  </si>
  <si>
    <t xml:space="preserve">AYUSH KACHHI </t>
  </si>
  <si>
    <t xml:space="preserve">AYUSH KUMAR SAHU </t>
  </si>
  <si>
    <t xml:space="preserve">ARPIT PATEL </t>
  </si>
  <si>
    <t xml:space="preserve">AKASH KURARIYA </t>
  </si>
  <si>
    <t xml:space="preserve">KAILASH PATEL </t>
  </si>
  <si>
    <t xml:space="preserve">SANJAY PATEL </t>
  </si>
  <si>
    <t xml:space="preserve">UMED PATEL </t>
  </si>
  <si>
    <t>PRO</t>
  </si>
  <si>
    <t>HALF YEARLY EXAM</t>
  </si>
  <si>
    <t>ENGLISH</t>
  </si>
  <si>
    <t xml:space="preserve">SANSKRIT </t>
  </si>
  <si>
    <t xml:space="preserve">ANSHIKA YADAV </t>
  </si>
  <si>
    <t xml:space="preserve">ARYIKA SHRIVAS </t>
  </si>
  <si>
    <t xml:space="preserve">AVIKA KURARIYA </t>
  </si>
  <si>
    <t xml:space="preserve">DEEKSHA VISHWAKARMA </t>
  </si>
  <si>
    <t xml:space="preserve">CHANDRAPRABHA PATEL </t>
  </si>
  <si>
    <t xml:space="preserve">MONIKA SHARMA </t>
  </si>
  <si>
    <t xml:space="preserve">POORNIMA JAISWAL </t>
  </si>
  <si>
    <t xml:space="preserve">ABHAY JAISWAL </t>
  </si>
  <si>
    <t xml:space="preserve">ADARSH SINGH THAKUR </t>
  </si>
  <si>
    <t xml:space="preserve">PRATEEK GARG </t>
  </si>
  <si>
    <t xml:space="preserve">PRIYANSHU YADAV </t>
  </si>
  <si>
    <t xml:space="preserve">SAMEER MEHRA </t>
  </si>
  <si>
    <t xml:space="preserve">SHIVANSH JAISWAL </t>
  </si>
  <si>
    <t xml:space="preserve">SHRAJAL PATEL </t>
  </si>
  <si>
    <t xml:space="preserve">SHUBHANSH VISHWAKARMA </t>
  </si>
  <si>
    <t xml:space="preserve">SATENDRA KUMAR LODHI </t>
  </si>
  <si>
    <t xml:space="preserve">VEDANT GARG </t>
  </si>
  <si>
    <t xml:space="preserve">NARENDRA YADAV </t>
  </si>
  <si>
    <t xml:space="preserve">SANDEEP TIWARI </t>
  </si>
  <si>
    <t xml:space="preserve">AMBIKA PRASAD VISHWAKARMA </t>
  </si>
  <si>
    <t xml:space="preserve">DUKHILAL SHARMA </t>
  </si>
  <si>
    <t xml:space="preserve">YASHPAL PATEL </t>
  </si>
  <si>
    <t>JAI KUMAR JAISWAL</t>
  </si>
  <si>
    <t xml:space="preserve">RAHUL NAYK </t>
  </si>
  <si>
    <t xml:space="preserve">SATENDRA PATEL </t>
  </si>
  <si>
    <t xml:space="preserve">ANAND KUMAR JAISWAL </t>
  </si>
  <si>
    <t xml:space="preserve">KRISHNA KUMAR MEHRA </t>
  </si>
  <si>
    <t xml:space="preserve">KASHI RAM KACHHI </t>
  </si>
  <si>
    <t>SANJAY JAISWAL</t>
  </si>
  <si>
    <t xml:space="preserve">AMAR SINGH THAKUR </t>
  </si>
  <si>
    <t xml:space="preserve">SONU PATHKAR </t>
  </si>
  <si>
    <t xml:space="preserve">DEEPAK JHARIYA </t>
  </si>
  <si>
    <t xml:space="preserve">DEEP KUMAR JAISWAL </t>
  </si>
  <si>
    <t xml:space="preserve">JAY PRAKASH PATEL </t>
  </si>
  <si>
    <t xml:space="preserve">NEERAJ GARG </t>
  </si>
  <si>
    <t xml:space="preserve">SONALI YADAV </t>
  </si>
  <si>
    <t xml:space="preserve">SAPNA TIWARI </t>
  </si>
  <si>
    <t xml:space="preserve">SARANG SHRIVAS </t>
  </si>
  <si>
    <t xml:space="preserve">ARPANA KURARIYA </t>
  </si>
  <si>
    <t xml:space="preserve">CHAINA BAI VISHWAKARMA </t>
  </si>
  <si>
    <t xml:space="preserve">KAVITA SEN </t>
  </si>
  <si>
    <t xml:space="preserve">KAVITA PATEL </t>
  </si>
  <si>
    <t xml:space="preserve">NEHA PATHAK </t>
  </si>
  <si>
    <t xml:space="preserve">SUNEETA JAISWAL </t>
  </si>
  <si>
    <t xml:space="preserve">RASNA NAYAK </t>
  </si>
  <si>
    <t xml:space="preserve">ROSHNI PATEL </t>
  </si>
  <si>
    <t xml:space="preserve">PRIYANKA PATEL </t>
  </si>
  <si>
    <t xml:space="preserve">RAJA BAI PATEL </t>
  </si>
  <si>
    <t xml:space="preserve">SADHNA MEHRA </t>
  </si>
  <si>
    <t xml:space="preserve">LATA MEHRA </t>
  </si>
  <si>
    <t xml:space="preserve">ARTI PATEL </t>
  </si>
  <si>
    <t xml:space="preserve">SAROJ KACHHI </t>
  </si>
  <si>
    <t xml:space="preserve">REKHA JAISWAL </t>
  </si>
  <si>
    <t xml:space="preserve">REKHA PATHKAR </t>
  </si>
  <si>
    <t xml:space="preserve">RAJNI GARG </t>
  </si>
  <si>
    <t xml:space="preserve">ROSHNI YADAV </t>
  </si>
  <si>
    <t xml:space="preserve">PREETI MEHRA </t>
  </si>
  <si>
    <t xml:space="preserve">REKHA BAI PATEL </t>
  </si>
  <si>
    <t xml:space="preserve">SAROJ BAI PATEL </t>
  </si>
  <si>
    <t xml:space="preserve">JYOTI GARG </t>
  </si>
  <si>
    <t>19-06-2016</t>
  </si>
  <si>
    <t>21-04-2015</t>
  </si>
  <si>
    <t>17-06-2015</t>
  </si>
  <si>
    <t>25-06-2015</t>
  </si>
  <si>
    <t>24-02-2016</t>
  </si>
  <si>
    <t>11-11-2015</t>
  </si>
  <si>
    <t>10-05-2015</t>
  </si>
  <si>
    <t>16-08-2014</t>
  </si>
  <si>
    <t>04-07-2015</t>
  </si>
  <si>
    <t>09-03-2015</t>
  </si>
  <si>
    <t>26-10-2015</t>
  </si>
  <si>
    <t>16-12-2015</t>
  </si>
  <si>
    <t>10-10-2014</t>
  </si>
  <si>
    <t>23-07-2014</t>
  </si>
  <si>
    <t>15-03-2014</t>
  </si>
  <si>
    <t>20-01-2015</t>
  </si>
  <si>
    <t>17-09-2015</t>
  </si>
  <si>
    <t>15-03-2015</t>
  </si>
  <si>
    <t>29-11-2015</t>
  </si>
  <si>
    <t>21-05-2016</t>
  </si>
  <si>
    <t>17-12-2013</t>
  </si>
  <si>
    <t>02-01-2015</t>
  </si>
  <si>
    <t>30-01-2014</t>
  </si>
  <si>
    <t>05-01-2015</t>
  </si>
  <si>
    <t>17-10-2015</t>
  </si>
  <si>
    <t>08-05-2015</t>
  </si>
  <si>
    <t>23-11-2014</t>
  </si>
  <si>
    <t>06-09-2014</t>
  </si>
  <si>
    <t>16-09-2015</t>
  </si>
  <si>
    <t>02-04-2014</t>
  </si>
  <si>
    <t>27-02-2016</t>
  </si>
  <si>
    <t>07-11-2015</t>
  </si>
  <si>
    <t>10-06-2015</t>
  </si>
  <si>
    <t xml:space="preserve">SATEESH DAS BAIRAGI </t>
  </si>
  <si>
    <t xml:space="preserve">ROSHNI BAIRAGI </t>
  </si>
  <si>
    <t>11-02-2015</t>
  </si>
  <si>
    <t xml:space="preserve">HARSHITA DAHIYA </t>
  </si>
  <si>
    <t xml:space="preserve">ATISH DAHIYA </t>
  </si>
  <si>
    <t>21-06-2015</t>
  </si>
  <si>
    <t xml:space="preserve">JODHA PATEL </t>
  </si>
  <si>
    <t xml:space="preserve">SURESH KUSHWAHA </t>
  </si>
  <si>
    <t>27-01-2015</t>
  </si>
  <si>
    <t xml:space="preserve">MOHNI SINGH PARIHAR </t>
  </si>
  <si>
    <t xml:space="preserve">SANJAY SINGH PARIHAR </t>
  </si>
  <si>
    <t xml:space="preserve">ROSHNI SINGH PARIHAR </t>
  </si>
  <si>
    <t>23-08-2015</t>
  </si>
  <si>
    <t xml:space="preserve">OJASWI PATEL </t>
  </si>
  <si>
    <t xml:space="preserve">JITENDRA PATEL </t>
  </si>
  <si>
    <t>26-02-2015</t>
  </si>
  <si>
    <t xml:space="preserve">POOJA YADAV </t>
  </si>
  <si>
    <t xml:space="preserve">BEDI LAL YADAV </t>
  </si>
  <si>
    <t xml:space="preserve">JYOTI YADAV </t>
  </si>
  <si>
    <t>09-05-2015</t>
  </si>
  <si>
    <t xml:space="preserve">SHALINI LODHI </t>
  </si>
  <si>
    <t xml:space="preserve">VINOD LODHI </t>
  </si>
  <si>
    <t xml:space="preserve">VARSHA LODHI </t>
  </si>
  <si>
    <t>28-10-2015</t>
  </si>
  <si>
    <t xml:space="preserve">SANYA KHAMPARIYA </t>
  </si>
  <si>
    <t xml:space="preserve">NEHA KHAMPARIYA </t>
  </si>
  <si>
    <t>20-04-2015</t>
  </si>
  <si>
    <t xml:space="preserve">AJAY LODHI </t>
  </si>
  <si>
    <t xml:space="preserve">RAJESH LODHI </t>
  </si>
  <si>
    <t>18-11-2014</t>
  </si>
  <si>
    <t xml:space="preserve">PURUSHOTTAM CHAURASHIYA </t>
  </si>
  <si>
    <t xml:space="preserve">LATA CHAURASHIYA </t>
  </si>
  <si>
    <t>24-10-2015</t>
  </si>
  <si>
    <t xml:space="preserve">MOHAMMAD FIROJ </t>
  </si>
  <si>
    <t>20-02-2015</t>
  </si>
  <si>
    <t xml:space="preserve">BHIKAM PATEL </t>
  </si>
  <si>
    <t xml:space="preserve">VANDANA PATEL </t>
  </si>
  <si>
    <t xml:space="preserve">ANMOL SAHU </t>
  </si>
  <si>
    <t xml:space="preserve">TULSI RAM SAHU </t>
  </si>
  <si>
    <t>07-12-2015</t>
  </si>
  <si>
    <t xml:space="preserve">HARIOM SHRIVAS </t>
  </si>
  <si>
    <t xml:space="preserve">DEEPAK SHRIVAS </t>
  </si>
  <si>
    <t xml:space="preserve">GEETA SHRIVAS </t>
  </si>
  <si>
    <t>04-11-2014</t>
  </si>
  <si>
    <t xml:space="preserve">KARAN VISHWAKARMA </t>
  </si>
  <si>
    <t xml:space="preserve">DIVYA VISHWAKARMA </t>
  </si>
  <si>
    <t>01-04-2016</t>
  </si>
  <si>
    <t xml:space="preserve">MAYANK RAJPOOT </t>
  </si>
  <si>
    <t>17-07-2015</t>
  </si>
  <si>
    <t xml:space="preserve">SURENDRA YADAV </t>
  </si>
  <si>
    <t xml:space="preserve">SANDHYA YADAV </t>
  </si>
  <si>
    <t>16-07-2014</t>
  </si>
  <si>
    <t xml:space="preserve">NIKHIL LODHI </t>
  </si>
  <si>
    <t xml:space="preserve">SAVITA LODHI </t>
  </si>
  <si>
    <t>27-12-2014</t>
  </si>
  <si>
    <t xml:space="preserve">PRAMOD PATEL </t>
  </si>
  <si>
    <t>06-07-2015</t>
  </si>
  <si>
    <t xml:space="preserve">NAMAN KUSHWAHA </t>
  </si>
  <si>
    <t>12-12-2015</t>
  </si>
  <si>
    <t xml:space="preserve">MOHAMMAD FARHAN KHAN </t>
  </si>
  <si>
    <t xml:space="preserve">MOHAMMAD SHAHEED </t>
  </si>
  <si>
    <t>NARSEEN BEE</t>
  </si>
  <si>
    <t>14-10-2015</t>
  </si>
  <si>
    <t xml:space="preserve">PARTH BARMAN </t>
  </si>
  <si>
    <t xml:space="preserve">SHANKAR LAL BARMAN </t>
  </si>
  <si>
    <t xml:space="preserve">TRAPTI BARMAN </t>
  </si>
  <si>
    <t>04-07-2014</t>
  </si>
  <si>
    <t xml:space="preserve">RAJ BARMAN </t>
  </si>
  <si>
    <t xml:space="preserve">VISHNU PRASAD BARMAN </t>
  </si>
  <si>
    <t xml:space="preserve">ARCHNA BARMAN </t>
  </si>
  <si>
    <t>19-02-2015</t>
  </si>
  <si>
    <t>ARCHANA SAHU</t>
  </si>
  <si>
    <t xml:space="preserve"> 26-04-2015</t>
  </si>
  <si>
    <t xml:space="preserve">ROSHAN  PATEL </t>
  </si>
  <si>
    <t xml:space="preserve">KAPIL PATEL </t>
  </si>
  <si>
    <t xml:space="preserve">KSHAMA PATEL </t>
  </si>
  <si>
    <t xml:space="preserve">SAMEER RAJPAL </t>
  </si>
  <si>
    <t xml:space="preserve">RANJEET RAJPAL </t>
  </si>
  <si>
    <t xml:space="preserve">JYOTI RAJPAL </t>
  </si>
  <si>
    <t>10-01-2016</t>
  </si>
  <si>
    <t xml:space="preserve">SHARAD SAHU </t>
  </si>
  <si>
    <t>KAMLESH SAHU</t>
  </si>
  <si>
    <t>POORNIMA SAHU</t>
  </si>
  <si>
    <t>VISHNU KUSHWAHA</t>
  </si>
  <si>
    <t>02-10-2014</t>
  </si>
  <si>
    <t>07-04-2016</t>
  </si>
  <si>
    <t xml:space="preserve">RAJANI JAISWAL </t>
  </si>
  <si>
    <t>19-08-2015</t>
  </si>
  <si>
    <t xml:space="preserve">SRISHTI PATEL </t>
  </si>
  <si>
    <t>28-07-2014</t>
  </si>
  <si>
    <t xml:space="preserve">NARENDRA KUMAR SAHU </t>
  </si>
  <si>
    <t xml:space="preserve">AAYUSH CHAURASIYA </t>
  </si>
  <si>
    <t xml:space="preserve">SHAMSHAD </t>
  </si>
  <si>
    <t xml:space="preserve">VIMLESH VISHWAKRAM </t>
  </si>
  <si>
    <t>05-11-2014</t>
  </si>
  <si>
    <t xml:space="preserve">VED KUMAR KUSHWAHA </t>
  </si>
  <si>
    <t xml:space="preserve">RITIK SHRIVAS </t>
  </si>
  <si>
    <t>NEHA SHRIVAS</t>
  </si>
  <si>
    <t>02-12-2014</t>
  </si>
  <si>
    <t xml:space="preserve">VIRENDRA RAJAK </t>
  </si>
  <si>
    <t xml:space="preserve">AKANKSHA SAHU </t>
  </si>
  <si>
    <t xml:space="preserve">BAIJNATH SAHU </t>
  </si>
  <si>
    <t xml:space="preserve">GUDDI SAHU </t>
  </si>
  <si>
    <t>22-08-2016</t>
  </si>
  <si>
    <t xml:space="preserve">MEGHA SONI </t>
  </si>
  <si>
    <t>05-05-2017</t>
  </si>
  <si>
    <t>ALIYA BEG</t>
  </si>
  <si>
    <t>SAID BEG</t>
  </si>
  <si>
    <t>HINA BEG</t>
  </si>
  <si>
    <t>26-04-2016</t>
  </si>
  <si>
    <t>ANANDI PATEL</t>
  </si>
  <si>
    <t xml:space="preserve">SUNITA PATEL </t>
  </si>
  <si>
    <t>31-08-2016</t>
  </si>
  <si>
    <t xml:space="preserve">ANANYA PATEL </t>
  </si>
  <si>
    <t xml:space="preserve">SUSHIL KUMAR PATEL </t>
  </si>
  <si>
    <t xml:space="preserve">PREMLATA PATEL </t>
  </si>
  <si>
    <t xml:space="preserve">SANDHYA JAISWAL </t>
  </si>
  <si>
    <t>17-06-2017</t>
  </si>
  <si>
    <t xml:space="preserve">LAKSHMI PATEL </t>
  </si>
  <si>
    <t>19-12-2015</t>
  </si>
  <si>
    <t xml:space="preserve">ASMITA PATEL </t>
  </si>
  <si>
    <t xml:space="preserve">DEV RAM PATEL </t>
  </si>
  <si>
    <t>10-09-2015</t>
  </si>
  <si>
    <t xml:space="preserve">BEDIKA CHOUBEY </t>
  </si>
  <si>
    <t xml:space="preserve">RAM SHARAN CHOUBEY </t>
  </si>
  <si>
    <t xml:space="preserve">RANJNA CHOUBEY </t>
  </si>
  <si>
    <t>05-01-2016</t>
  </si>
  <si>
    <t xml:space="preserve">DEVIKA PANDEY </t>
  </si>
  <si>
    <t xml:space="preserve">URMILA PANDEY </t>
  </si>
  <si>
    <t>29-02-2016</t>
  </si>
  <si>
    <t xml:space="preserve">DIPALI JAISWAL </t>
  </si>
  <si>
    <t xml:space="preserve">SUSHEEL JAISWAL </t>
  </si>
  <si>
    <t>05-07-2016</t>
  </si>
  <si>
    <t xml:space="preserve">JANAVI BARMAN </t>
  </si>
  <si>
    <t xml:space="preserve">RAM KRISHNA BARMAN </t>
  </si>
  <si>
    <t xml:space="preserve">RANJANA BARMAN </t>
  </si>
  <si>
    <t>02-01-2016</t>
  </si>
  <si>
    <t xml:space="preserve">ARVIND NAYAK </t>
  </si>
  <si>
    <t xml:space="preserve">REETA NAYAK </t>
  </si>
  <si>
    <t xml:space="preserve">KOUSHKI PATEL </t>
  </si>
  <si>
    <t xml:space="preserve">PRAKASH PATEL </t>
  </si>
  <si>
    <t xml:space="preserve">SAVITA PATEL </t>
  </si>
  <si>
    <t>08-10-2016</t>
  </si>
  <si>
    <t xml:space="preserve">MAHAK KUSHWAHA </t>
  </si>
  <si>
    <t xml:space="preserve">KAUSHALYA KUSHWAHA </t>
  </si>
  <si>
    <t>05-11-2016</t>
  </si>
  <si>
    <t xml:space="preserve">MAHENOOR BEE </t>
  </si>
  <si>
    <t xml:space="preserve">SHAHID KHAN </t>
  </si>
  <si>
    <t>05-07-2017</t>
  </si>
  <si>
    <t xml:space="preserve">MAHIMA KOL </t>
  </si>
  <si>
    <t xml:space="preserve">RAMOLI RAM KOL </t>
  </si>
  <si>
    <t>05-04-2016</t>
  </si>
  <si>
    <t xml:space="preserve">NITYA RAJAK </t>
  </si>
  <si>
    <t>23-04-2017</t>
  </si>
  <si>
    <t xml:space="preserve">PARI KUSHWAHA </t>
  </si>
  <si>
    <t xml:space="preserve">ANIL KUSHWAHA </t>
  </si>
  <si>
    <t xml:space="preserve">RUCHI KUSHWAHA </t>
  </si>
  <si>
    <t>16-09-2016</t>
  </si>
  <si>
    <t xml:space="preserve">REENA PATEL </t>
  </si>
  <si>
    <t>18-10-2016</t>
  </si>
  <si>
    <t xml:space="preserve">PRIYA PATEL </t>
  </si>
  <si>
    <t xml:space="preserve">RAJANIKANT PATEL </t>
  </si>
  <si>
    <t xml:space="preserve">ANJANI PATEL </t>
  </si>
  <si>
    <t>13-04-2016</t>
  </si>
  <si>
    <t xml:space="preserve">PRIYANKA BARMAN </t>
  </si>
  <si>
    <t xml:space="preserve">VANDANA BARMAN </t>
  </si>
  <si>
    <t>27-07-2015</t>
  </si>
  <si>
    <t xml:space="preserve">RAKSHA SEN </t>
  </si>
  <si>
    <t xml:space="preserve">NIKKI SEN </t>
  </si>
  <si>
    <t xml:space="preserve">SUMAN SEN </t>
  </si>
  <si>
    <t>26-06-2016</t>
  </si>
  <si>
    <t xml:space="preserve">RASHI MEHRA </t>
  </si>
  <si>
    <t xml:space="preserve">SADAN MEHRA </t>
  </si>
  <si>
    <t xml:space="preserve">KRANTI MEHRA </t>
  </si>
  <si>
    <t>17-01-2016</t>
  </si>
  <si>
    <t xml:space="preserve">NARENDRA PATEL </t>
  </si>
  <si>
    <t>12-02-2016</t>
  </si>
  <si>
    <t xml:space="preserve">SANDHYA LODHI </t>
  </si>
  <si>
    <t>UMED SINGH LODHI</t>
  </si>
  <si>
    <t xml:space="preserve">PRIYANKA LODHI </t>
  </si>
  <si>
    <t>25-01-2016</t>
  </si>
  <si>
    <t xml:space="preserve">SANYA </t>
  </si>
  <si>
    <t xml:space="preserve">AVADH BIHARI </t>
  </si>
  <si>
    <t xml:space="preserve">MALTI BAI </t>
  </si>
  <si>
    <t>31-01-2016</t>
  </si>
  <si>
    <t xml:space="preserve">SARITA PATHKAR </t>
  </si>
  <si>
    <t>10-11-2016</t>
  </si>
  <si>
    <t xml:space="preserve">SHREYA UPADHYAY </t>
  </si>
  <si>
    <t>DEEPAK UPADHYAY</t>
  </si>
  <si>
    <t>SANDHYA UPADHYAY</t>
  </si>
  <si>
    <t>23-12-2016</t>
  </si>
  <si>
    <t xml:space="preserve">SHREYANSHI KUSHWAHA </t>
  </si>
  <si>
    <t>22-05-2016</t>
  </si>
  <si>
    <t xml:space="preserve">SHIVDATTA CHOUBEY </t>
  </si>
  <si>
    <t xml:space="preserve">PREMLATA CHOUBEY </t>
  </si>
  <si>
    <t>19-05-2016</t>
  </si>
  <si>
    <t xml:space="preserve">VINEETA PATEL </t>
  </si>
  <si>
    <t>27-09-2016</t>
  </si>
  <si>
    <t xml:space="preserve">TANIYA PATEL </t>
  </si>
  <si>
    <t xml:space="preserve">AJAY KUMAR PATEL </t>
  </si>
  <si>
    <t xml:space="preserve">VARSHA PATEL </t>
  </si>
  <si>
    <t>15-07-2016</t>
  </si>
  <si>
    <t xml:space="preserve">VAISHNAVI SHRIVAS </t>
  </si>
  <si>
    <t xml:space="preserve">VEDIKA GAUTAM </t>
  </si>
  <si>
    <t xml:space="preserve">RAJNEESH GAUTAM </t>
  </si>
  <si>
    <t>16-07-2016</t>
  </si>
  <si>
    <t xml:space="preserve">ABHIRAJ LODHI </t>
  </si>
  <si>
    <t xml:space="preserve">POOJA LODHI </t>
  </si>
  <si>
    <t>05-04-2017</t>
  </si>
  <si>
    <t xml:space="preserve">ADITYA PATEL </t>
  </si>
  <si>
    <t xml:space="preserve">DEEPCHAND PATEL </t>
  </si>
  <si>
    <t xml:space="preserve">MANISHA PATEL </t>
  </si>
  <si>
    <t>08-05-2017</t>
  </si>
  <si>
    <t xml:space="preserve">ADVIK DAHAYAT </t>
  </si>
  <si>
    <t xml:space="preserve">KEERTI DAHAYAT </t>
  </si>
  <si>
    <t>02-08-2016</t>
  </si>
  <si>
    <t xml:space="preserve">AKASH BARMAN </t>
  </si>
  <si>
    <t xml:space="preserve">MUKESH BARMAN </t>
  </si>
  <si>
    <t xml:space="preserve">REKHA BARMAN </t>
  </si>
  <si>
    <t>25-04-2016</t>
  </si>
  <si>
    <t xml:space="preserve">ATHARV SONI </t>
  </si>
  <si>
    <t>11-08-2016</t>
  </si>
  <si>
    <t xml:space="preserve">ANMOL LODHI </t>
  </si>
  <si>
    <t xml:space="preserve">ABHILASHA LODHI </t>
  </si>
  <si>
    <t>24-06-2015</t>
  </si>
  <si>
    <t xml:space="preserve">ANSH  RAJAK </t>
  </si>
  <si>
    <t xml:space="preserve">RAJ KUMAR RAJAK </t>
  </si>
  <si>
    <t xml:space="preserve">SUDHA RAJAK </t>
  </si>
  <si>
    <t>16-05-2016</t>
  </si>
  <si>
    <t xml:space="preserve">KRISHNA KUMAR PATEL </t>
  </si>
  <si>
    <t>27-05-2016</t>
  </si>
  <si>
    <t>19-07-2016</t>
  </si>
  <si>
    <t xml:space="preserve">ARSHIL AHMAD </t>
  </si>
  <si>
    <t>03-04-2017</t>
  </si>
  <si>
    <t xml:space="preserve">AARIF KHAN </t>
  </si>
  <si>
    <t xml:space="preserve">USMAN KHAN </t>
  </si>
  <si>
    <t>03-09-2016</t>
  </si>
  <si>
    <t xml:space="preserve">PUSHPA SHRIVAS </t>
  </si>
  <si>
    <t xml:space="preserve">DEV MEHRA </t>
  </si>
  <si>
    <t>21-06-2016</t>
  </si>
  <si>
    <t xml:space="preserve">DHARMENDRA CHAKRAWARTI </t>
  </si>
  <si>
    <t xml:space="preserve">UMESH CHAKRAWARTI </t>
  </si>
  <si>
    <t>16-06-2016</t>
  </si>
  <si>
    <t xml:space="preserve">HARSH BARMAN </t>
  </si>
  <si>
    <t>03-08-2016</t>
  </si>
  <si>
    <t xml:space="preserve">KANHA CHAKRAWARTI </t>
  </si>
  <si>
    <t>DHARM DAS CHAKRAWARTI</t>
  </si>
  <si>
    <t>27-04-2017</t>
  </si>
  <si>
    <t xml:space="preserve">MANAS LODHI </t>
  </si>
  <si>
    <t>AVADH KUMAR LODHI</t>
  </si>
  <si>
    <t>VANDNA LODHI</t>
  </si>
  <si>
    <t>24-06-2017</t>
  </si>
  <si>
    <t xml:space="preserve">NEERAJ PATEL </t>
  </si>
  <si>
    <t xml:space="preserve">RAM PRAKASH PATEL </t>
  </si>
  <si>
    <t xml:space="preserve">VANDNA PATEL </t>
  </si>
  <si>
    <t>29-12-2015</t>
  </si>
  <si>
    <t xml:space="preserve">PRATEEK KUMAR CHOUBEY </t>
  </si>
  <si>
    <t>14-09-2015</t>
  </si>
  <si>
    <t xml:space="preserve">RITIK NAYAK </t>
  </si>
  <si>
    <t xml:space="preserve">VARSHA NAYAK </t>
  </si>
  <si>
    <t>24-12-2015</t>
  </si>
  <si>
    <t xml:space="preserve">RISAB KUMAR JAISWAL </t>
  </si>
  <si>
    <t xml:space="preserve">RAKESH KUMAR JAISWAL </t>
  </si>
  <si>
    <t>01-10-2015</t>
  </si>
  <si>
    <t xml:space="preserve">SAGAR LODHI </t>
  </si>
  <si>
    <t xml:space="preserve">MANISHA LODHI </t>
  </si>
  <si>
    <t xml:space="preserve">SARTHAK UPADHYAY </t>
  </si>
  <si>
    <t>ANKITA UPADHYAY</t>
  </si>
  <si>
    <t>09-06-2017</t>
  </si>
  <si>
    <t xml:space="preserve">SATYENDRA PATEL </t>
  </si>
  <si>
    <t xml:space="preserve">SURENDRA PATEL </t>
  </si>
  <si>
    <t>12-05-2015</t>
  </si>
  <si>
    <t xml:space="preserve">SIVANSHU RAJAK </t>
  </si>
  <si>
    <t xml:space="preserve">SATISH RAJAK </t>
  </si>
  <si>
    <t xml:space="preserve">JYOTI RAJAK </t>
  </si>
  <si>
    <t xml:space="preserve">SURYANSH CHAKRAWARTI </t>
  </si>
  <si>
    <t xml:space="preserve">SANJU CHAKRAWARTI </t>
  </si>
  <si>
    <t xml:space="preserve">LALITA CHAKRAWARTI </t>
  </si>
  <si>
    <t>17-02-2016</t>
  </si>
  <si>
    <t xml:space="preserve">SAMAR KUSHWAHA </t>
  </si>
  <si>
    <t xml:space="preserve">SUSHEEL KUSHWAHA </t>
  </si>
  <si>
    <t xml:space="preserve">VANSH PATEL </t>
  </si>
  <si>
    <t xml:space="preserve">NEELAM PATEL </t>
  </si>
  <si>
    <t>03-07-2015</t>
  </si>
  <si>
    <t xml:space="preserve">VED RAJAK </t>
  </si>
  <si>
    <t xml:space="preserve">NISHA RAJAK </t>
  </si>
  <si>
    <t>09-09-2016</t>
  </si>
  <si>
    <t xml:space="preserve">VIKASH PATEL </t>
  </si>
  <si>
    <t>24-08-2016</t>
  </si>
  <si>
    <t xml:space="preserve">DEEP CHAND LODHI </t>
  </si>
  <si>
    <t>10-11-2015</t>
  </si>
  <si>
    <t xml:space="preserve">YUVRAJ YADAV </t>
  </si>
  <si>
    <t xml:space="preserve">PANKAJ YADAV </t>
  </si>
  <si>
    <t xml:space="preserve">NANDANI YADAV </t>
  </si>
  <si>
    <t>18-08-2017</t>
  </si>
  <si>
    <t xml:space="preserve">MANJO RAJAK </t>
  </si>
  <si>
    <t xml:space="preserve">AKRATI SONI </t>
  </si>
  <si>
    <t xml:space="preserve">AVANI JAISWAL </t>
  </si>
  <si>
    <t xml:space="preserve">AANAVI PATEL </t>
  </si>
  <si>
    <t xml:space="preserve">NASREEN BEE </t>
  </si>
  <si>
    <t xml:space="preserve">PRARTHNA PATEL </t>
  </si>
  <si>
    <t xml:space="preserve">SEJAL PATEL </t>
  </si>
  <si>
    <t>RASHIL KUSHWAHA</t>
  </si>
  <si>
    <t xml:space="preserve">SRASHTI PATEL </t>
  </si>
  <si>
    <t xml:space="preserve">MANISHA GAUTAM </t>
  </si>
  <si>
    <t>SHYAM SUNDAR SONI</t>
  </si>
  <si>
    <t xml:space="preserve">SAROJ SONI </t>
  </si>
  <si>
    <t>RAJESH PATEL</t>
  </si>
  <si>
    <t xml:space="preserve">ASHU PATEL </t>
  </si>
  <si>
    <t>SURJEET RAJPAL</t>
  </si>
  <si>
    <t>HINA SHAHIN</t>
  </si>
  <si>
    <t xml:space="preserve">SHAMIM AHMAD </t>
  </si>
  <si>
    <t xml:space="preserve">SUNITA CHAKRAWARTI </t>
  </si>
  <si>
    <t xml:space="preserve">ALKO  KUSHWAHA </t>
  </si>
  <si>
    <t xml:space="preserve">JYOTI BAI </t>
  </si>
  <si>
    <t xml:space="preserve">NIDHI DUBEY </t>
  </si>
  <si>
    <t xml:space="preserve"> 03-11-2015</t>
  </si>
  <si>
    <t xml:space="preserve">POOJA PATEL </t>
  </si>
  <si>
    <t>3RD</t>
  </si>
  <si>
    <t xml:space="preserve">SUSHIL PATEL </t>
  </si>
  <si>
    <t xml:space="preserve">NAHUSH  PUBLIC HIGH SCHOOL MOHLA </t>
  </si>
  <si>
    <t>BLOCK MAJHOLI DISTT.JABALPUR M.P.</t>
  </si>
  <si>
    <t>(RUN BY GURU KRIPA LOK KALYAN SAMITI MOHLA)</t>
  </si>
  <si>
    <t xml:space="preserve">RICOGNIZE BY MO GOVT </t>
  </si>
  <si>
    <t xml:space="preserve">SCHOOL CODE </t>
  </si>
  <si>
    <t>SSSM ID</t>
  </si>
  <si>
    <t xml:space="preserve">ENROLMENT NO. </t>
  </si>
  <si>
    <t xml:space="preserve">ADMISSION NO </t>
  </si>
  <si>
    <t xml:space="preserve">VILLAGE </t>
  </si>
  <si>
    <t>ROLL NO.</t>
  </si>
  <si>
    <t xml:space="preserve">FATHER NAME </t>
  </si>
  <si>
    <t xml:space="preserve">MOTHER NAME </t>
  </si>
  <si>
    <t xml:space="preserve">DATE OF BIRTH </t>
  </si>
  <si>
    <t>STATEMENTS OF MARKS</t>
  </si>
  <si>
    <t xml:space="preserve">      QUARTERLY EXAM</t>
  </si>
  <si>
    <t xml:space="preserve">ANNUAL EXAMINATION </t>
  </si>
  <si>
    <t xml:space="preserve">RESUTL (परीक्षाफल) </t>
  </si>
  <si>
    <t xml:space="preserve">TOTAL MARKS </t>
  </si>
  <si>
    <t xml:space="preserve">OBTAIN MARKS </t>
  </si>
  <si>
    <t>Q.E</t>
  </si>
  <si>
    <t>H.Y.E</t>
  </si>
  <si>
    <t>A.E</t>
  </si>
  <si>
    <t xml:space="preserve">TOTAL </t>
  </si>
  <si>
    <t xml:space="preserve">SUBJECT </t>
  </si>
  <si>
    <t>THEORY</t>
  </si>
  <si>
    <t>PROJECT</t>
  </si>
  <si>
    <t>TH</t>
  </si>
  <si>
    <t>PR</t>
  </si>
  <si>
    <t xml:space="preserve"> HINDI</t>
  </si>
  <si>
    <t>SANSKRIT</t>
  </si>
  <si>
    <t xml:space="preserve">MATHEMATICS </t>
  </si>
  <si>
    <t xml:space="preserve">SOCIAL SCIENCE </t>
  </si>
  <si>
    <t xml:space="preserve">GRAND TOTAL </t>
  </si>
  <si>
    <t xml:space="preserve">ENIVARMENT </t>
  </si>
  <si>
    <t>PERCENTAGE</t>
  </si>
  <si>
    <t>%</t>
  </si>
  <si>
    <t xml:space="preserve">GRADE </t>
  </si>
  <si>
    <t xml:space="preserve">RESULT </t>
  </si>
  <si>
    <t xml:space="preserve">principal </t>
  </si>
  <si>
    <t>REG.-13295</t>
  </si>
  <si>
    <t xml:space="preserve">ADMISSION NO. </t>
  </si>
  <si>
    <t xml:space="preserve">ROLL </t>
  </si>
  <si>
    <t xml:space="preserve">MOTHER'S NAME </t>
  </si>
  <si>
    <t>MAX.</t>
  </si>
  <si>
    <t xml:space="preserve">MAX </t>
  </si>
  <si>
    <t xml:space="preserve">THEORY </t>
  </si>
  <si>
    <t xml:space="preserve">PROJECT </t>
  </si>
  <si>
    <t>OM</t>
  </si>
  <si>
    <t xml:space="preserve">EVALUATION OF CO-SCHOLASTIC AREAS  (GRADE) </t>
  </si>
  <si>
    <t xml:space="preserve">LITERARY </t>
  </si>
  <si>
    <t xml:space="preserve">CLEANLINESS </t>
  </si>
  <si>
    <t xml:space="preserve">SPORT </t>
  </si>
  <si>
    <t xml:space="preserve">CREATIVE </t>
  </si>
  <si>
    <t xml:space="preserve">REGULARTY </t>
  </si>
  <si>
    <t xml:space="preserve">TRUTHFUL HONESTY </t>
  </si>
  <si>
    <t xml:space="preserve">SENSITIVE OF ENVIRONMENT </t>
  </si>
  <si>
    <t>COOPERATION</t>
  </si>
  <si>
    <t>cooperation</t>
  </si>
  <si>
    <t xml:space="preserve">STATEMENTS OF GRADE </t>
  </si>
  <si>
    <t>A+</t>
  </si>
  <si>
    <t>A</t>
  </si>
  <si>
    <t>B+</t>
  </si>
  <si>
    <t>B</t>
  </si>
  <si>
    <t>C+</t>
  </si>
  <si>
    <t>C</t>
  </si>
  <si>
    <t>D</t>
  </si>
  <si>
    <t>F</t>
  </si>
  <si>
    <t xml:space="preserve">OBTAIN PER. </t>
  </si>
  <si>
    <t>76-85</t>
  </si>
  <si>
    <t>66-75</t>
  </si>
  <si>
    <t>56-65</t>
  </si>
  <si>
    <t>51-55</t>
  </si>
  <si>
    <t>46-50</t>
  </si>
  <si>
    <t>33-45</t>
  </si>
  <si>
    <t>RegularTY</t>
  </si>
  <si>
    <t xml:space="preserve">STUDENT RESULT </t>
  </si>
  <si>
    <t>The spirit of cooperation</t>
  </si>
  <si>
    <t>truthful honesty</t>
  </si>
  <si>
    <t>HALF YEARLY  EXAMINATION</t>
  </si>
  <si>
    <t>DISE CODE – 23390302804</t>
  </si>
  <si>
    <t>CLASS : -</t>
  </si>
  <si>
    <t>BLOCK MAJHOLI DIST.JABALPUR M.P.</t>
  </si>
  <si>
    <t>PUSHPA SHRIVAS</t>
  </si>
  <si>
    <t xml:space="preserve">NIRAJ ASATI </t>
  </si>
  <si>
    <t xml:space="preserve">KRISHNA KUMAR </t>
  </si>
  <si>
    <t>CULTURAL</t>
  </si>
  <si>
    <t xml:space="preserve">NAHUSH  PUBLIC  SCHOOL MOHLA </t>
  </si>
  <si>
    <t>STUDENT DETAILS</t>
  </si>
  <si>
    <t xml:space="preserve">HEADMASTER
SEAL &amp; SIGNATURE </t>
  </si>
  <si>
    <t xml:space="preserve">PERCENTAGE </t>
  </si>
  <si>
    <t xml:space="preserve">   DOWN TO 33</t>
  </si>
  <si>
    <t xml:space="preserve">  UP TO 85 </t>
  </si>
  <si>
    <t>MEDIUM OF EXAMINATION</t>
  </si>
  <si>
    <t xml:space="preserve">RECOGNIZED BY M.P. GOVT </t>
  </si>
  <si>
    <t>SESSION :-</t>
  </si>
  <si>
    <t xml:space="preserve">OMKAR PATEL </t>
  </si>
  <si>
    <t>SURENDRA SHARMA</t>
  </si>
  <si>
    <t>NEETU SHARMA</t>
  </si>
  <si>
    <t xml:space="preserve">SUSHMA BAI RAJAK </t>
  </si>
  <si>
    <t xml:space="preserve">ANIL KUMAR JAISWAL </t>
  </si>
  <si>
    <t xml:space="preserve">SHRAVAN KUMAR  </t>
  </si>
  <si>
    <t>SHRASHTI DUBEY</t>
  </si>
  <si>
    <t>TATSAT DUBEY</t>
  </si>
  <si>
    <t xml:space="preserve">AVDHESH KUMAR </t>
  </si>
  <si>
    <t xml:space="preserve">GULAB BAI  </t>
  </si>
  <si>
    <t xml:space="preserve">SUSHMA RAJAK </t>
  </si>
  <si>
    <t xml:space="preserve">SANDEEP KUMAR  RAJAK </t>
  </si>
  <si>
    <t xml:space="preserve">SANJAY BARMAN </t>
  </si>
  <si>
    <t xml:space="preserve">SANDEEP KUMAR PATEL </t>
  </si>
  <si>
    <t xml:space="preserve">BRIJESH KUMAR KUSHWAHA </t>
  </si>
  <si>
    <t xml:space="preserve">KAILASH PRASAD  </t>
  </si>
  <si>
    <t>PRABHU DAYAL DAHAYAT</t>
  </si>
  <si>
    <t xml:space="preserve">ANSHRAJ PATEL </t>
  </si>
  <si>
    <t xml:space="preserve">ASHOK KUMAR PATEL </t>
  </si>
  <si>
    <t xml:space="preserve">VEERENDRA MEHRA </t>
  </si>
  <si>
    <t xml:space="preserve">SONA BAI  </t>
  </si>
  <si>
    <t xml:space="preserve">VANDNA CHAKRAWARTI </t>
  </si>
  <si>
    <t xml:space="preserve">MANOJ KUMAR CHOUBEY </t>
  </si>
  <si>
    <t>MANISHA BAI</t>
  </si>
  <si>
    <t xml:space="preserve">SURJEET KUMAR  </t>
  </si>
  <si>
    <t xml:space="preserve">RESHMA BAI JAISWAL </t>
  </si>
  <si>
    <t>RAVENDRA KUMAR</t>
  </si>
  <si>
    <t xml:space="preserve">MAHENDRA KUMAR  </t>
  </si>
  <si>
    <t xml:space="preserve">SARASWATI  </t>
  </si>
  <si>
    <t xml:space="preserve">URMILA BAI JAISWAL </t>
  </si>
  <si>
    <t xml:space="preserve">ANSH  </t>
  </si>
  <si>
    <t xml:space="preserve">MANJULA  </t>
  </si>
  <si>
    <t>03-12-2016</t>
  </si>
  <si>
    <t xml:space="preserve">SONALI CHOUBEY </t>
  </si>
  <si>
    <t xml:space="preserve">DHARMENDRA SONI </t>
  </si>
  <si>
    <t xml:space="preserve">AALAM ARA </t>
  </si>
  <si>
    <t>G.K.</t>
  </si>
  <si>
    <t>REG.-</t>
  </si>
  <si>
    <t>EVS</t>
  </si>
  <si>
    <t xml:space="preserve">KAVITA  </t>
  </si>
  <si>
    <t>30-03-2016</t>
  </si>
  <si>
    <t xml:space="preserve">AKHILESH KUMAR SHRIVAS </t>
  </si>
  <si>
    <t xml:space="preserve">AYUSHI </t>
  </si>
  <si>
    <t xml:space="preserve">LALITA  </t>
  </si>
  <si>
    <t xml:space="preserve">DHARVENDRA SEN </t>
  </si>
  <si>
    <t xml:space="preserve">PRIYANKA  </t>
  </si>
  <si>
    <t xml:space="preserve">DEEPAK KUMAR KUSHWAHA </t>
  </si>
  <si>
    <t xml:space="preserve">VIDYA KACHHI </t>
  </si>
  <si>
    <t xml:space="preserve">DEEPAK KUMAR PATHAK </t>
  </si>
  <si>
    <t xml:space="preserve">SHALANI PATEL </t>
  </si>
  <si>
    <t xml:space="preserve">SANT KUMAR </t>
  </si>
  <si>
    <t xml:space="preserve">BHAGWATI </t>
  </si>
  <si>
    <t>05-10-2014</t>
  </si>
  <si>
    <t xml:space="preserve">DINESH KUMAR  </t>
  </si>
  <si>
    <t xml:space="preserve">ANIL KUMAR  </t>
  </si>
  <si>
    <t xml:space="preserve">AVINASH NAMDEV </t>
  </si>
  <si>
    <t>SHIV KAMAR NAMDEV</t>
  </si>
  <si>
    <t>SUSMITA NAMDEV</t>
  </si>
  <si>
    <t xml:space="preserve">GEETA BAI  </t>
  </si>
  <si>
    <t xml:space="preserve">RUKMANI BAI  </t>
  </si>
  <si>
    <t xml:space="preserve">DILEEP KUMAR GARG </t>
  </si>
  <si>
    <t xml:space="preserve">SAGAR SINGH  </t>
  </si>
  <si>
    <t xml:space="preserve">BISAN SINGH GOND </t>
  </si>
  <si>
    <t xml:space="preserve">BABITA SINGH  </t>
  </si>
  <si>
    <t xml:space="preserve">KAMLESH KUMAR  </t>
  </si>
  <si>
    <t xml:space="preserve">SHIKHA  </t>
  </si>
  <si>
    <t xml:space="preserve">SONU SINGH  </t>
  </si>
  <si>
    <t xml:space="preserve">RACHANA DAHIYA </t>
  </si>
  <si>
    <t xml:space="preserve">KAUSILYA PATEL </t>
  </si>
  <si>
    <t>06-11-2015</t>
  </si>
  <si>
    <t xml:space="preserve">KHUSHBU KUSHWAHA </t>
  </si>
  <si>
    <t xml:space="preserve">KOUSHILYA  </t>
  </si>
  <si>
    <t xml:space="preserve">SUDHA DEVI </t>
  </si>
  <si>
    <t xml:space="preserve">ABHISHEK KUMAR KHAMPARIYA </t>
  </si>
  <si>
    <t xml:space="preserve">VIMLA BAI </t>
  </si>
  <si>
    <t>ARSHIL MALIK BEHNA</t>
  </si>
  <si>
    <t xml:space="preserve">SANJO BAI  </t>
  </si>
  <si>
    <t xml:space="preserve">MURAT SINGH  </t>
  </si>
  <si>
    <t xml:space="preserve">DURGA BAI   </t>
  </si>
  <si>
    <t xml:space="preserve">NIHAL  </t>
  </si>
  <si>
    <t xml:space="preserve">SURESH  </t>
  </si>
  <si>
    <t xml:space="preserve">RANI  </t>
  </si>
  <si>
    <t xml:space="preserve">RAMNARAYAN SAHU </t>
  </si>
  <si>
    <t>02-07-2015</t>
  </si>
  <si>
    <t xml:space="preserve">VARSHA  </t>
  </si>
  <si>
    <t xml:space="preserve">NIRAJ SHRIVAS </t>
  </si>
  <si>
    <t>14-11-2018</t>
  </si>
  <si>
    <t xml:space="preserve">ARADHYA PATEL </t>
  </si>
  <si>
    <t xml:space="preserve">PARASRAM PATEL </t>
  </si>
  <si>
    <t xml:space="preserve">BABITA PATEL </t>
  </si>
  <si>
    <t>08-12-2018</t>
  </si>
  <si>
    <t xml:space="preserve">KRISHNA KUMAR JHARIYA </t>
  </si>
  <si>
    <t>26-07-2018</t>
  </si>
  <si>
    <t xml:space="preserve">DIPANSHI BARMAN </t>
  </si>
  <si>
    <t xml:space="preserve">DURGA BARMAN </t>
  </si>
  <si>
    <t>02-11-2018</t>
  </si>
  <si>
    <t>05-07-2018</t>
  </si>
  <si>
    <t xml:space="preserve">DURGA THAKUR </t>
  </si>
  <si>
    <t xml:space="preserve">SUMANTRA THAKUR </t>
  </si>
  <si>
    <t>25-03-2018</t>
  </si>
  <si>
    <t xml:space="preserve">GOURI BARMAN </t>
  </si>
  <si>
    <t xml:space="preserve">KANAK RAJAK </t>
  </si>
  <si>
    <t xml:space="preserve">USHA RAJAK </t>
  </si>
  <si>
    <t>19-01-2019</t>
  </si>
  <si>
    <t xml:space="preserve">MAHI BARMAN </t>
  </si>
  <si>
    <t xml:space="preserve">SHAILENDRA BARMAN </t>
  </si>
  <si>
    <t xml:space="preserve">USHA BARMAN </t>
  </si>
  <si>
    <t>01-06-2018</t>
  </si>
  <si>
    <t xml:space="preserve">MAHAK BARMAN </t>
  </si>
  <si>
    <t xml:space="preserve">PHOOL BAI BARMAN </t>
  </si>
  <si>
    <t>06-06-2017</t>
  </si>
  <si>
    <t xml:space="preserve">MANU PATEL </t>
  </si>
  <si>
    <t xml:space="preserve">SHIV LAL PATEL </t>
  </si>
  <si>
    <t xml:space="preserve">NIRMALA PATEL </t>
  </si>
  <si>
    <t>07-02-2019</t>
  </si>
  <si>
    <t xml:space="preserve">MOHNI PAL </t>
  </si>
  <si>
    <t xml:space="preserve">BALLU PAL </t>
  </si>
  <si>
    <t xml:space="preserve">RUKMAN PAL </t>
  </si>
  <si>
    <t>04-06-2018</t>
  </si>
  <si>
    <t xml:space="preserve">NAVYA BARMAN </t>
  </si>
  <si>
    <t xml:space="preserve">MANOJ KUMAR BARMAN </t>
  </si>
  <si>
    <t>13-07-2018</t>
  </si>
  <si>
    <t xml:space="preserve">PARI PATEL </t>
  </si>
  <si>
    <t xml:space="preserve">RAJESH PATEL </t>
  </si>
  <si>
    <t xml:space="preserve">ABHILASHA PATEL </t>
  </si>
  <si>
    <t>24-01-2019</t>
  </si>
  <si>
    <t xml:space="preserve">KAVITA BARMAN </t>
  </si>
  <si>
    <t>23-01-2019</t>
  </si>
  <si>
    <t xml:space="preserve">PRAGYA RAJAK </t>
  </si>
  <si>
    <t xml:space="preserve">JAYANTI RAJAK </t>
  </si>
  <si>
    <t>17-09-2018</t>
  </si>
  <si>
    <t>21-11-2018</t>
  </si>
  <si>
    <t xml:space="preserve">RAJSHEKHAR SEN </t>
  </si>
  <si>
    <t xml:space="preserve">BABITA SEN </t>
  </si>
  <si>
    <t>30-08-2018</t>
  </si>
  <si>
    <t xml:space="preserve">JYOTI KACHHI </t>
  </si>
  <si>
    <t>26-02-2019</t>
  </si>
  <si>
    <t xml:space="preserve">SURBHI BARMAN </t>
  </si>
  <si>
    <t xml:space="preserve">RISENDRA BARMAN </t>
  </si>
  <si>
    <t xml:space="preserve">REENA BARMAN </t>
  </si>
  <si>
    <t>19-06-2018</t>
  </si>
  <si>
    <t xml:space="preserve">TAMANNA DAHIYA </t>
  </si>
  <si>
    <t xml:space="preserve">ANEETA DAHIYA </t>
  </si>
  <si>
    <t>22-04-2018</t>
  </si>
  <si>
    <t xml:space="preserve">YASHMITA SAHU </t>
  </si>
  <si>
    <t xml:space="preserve">SUBHADRA SAHU </t>
  </si>
  <si>
    <t>10-03-2018</t>
  </si>
  <si>
    <t>ANIKET PATEL</t>
  </si>
  <si>
    <t>DHARMENDRA PATEL</t>
  </si>
  <si>
    <t xml:space="preserve">SANDHYA PATEL </t>
  </si>
  <si>
    <t xml:space="preserve">ADITYA PAROUHA </t>
  </si>
  <si>
    <t xml:space="preserve">TULSI RAM PAROUHA </t>
  </si>
  <si>
    <t xml:space="preserve">ANJANA PAROUHA </t>
  </si>
  <si>
    <t>10-04-2018</t>
  </si>
  <si>
    <t xml:space="preserve">AMAN JAISWAL </t>
  </si>
  <si>
    <t xml:space="preserve">ASHWANI JAISWAL </t>
  </si>
  <si>
    <t>04-04-2018</t>
  </si>
  <si>
    <t xml:space="preserve">SANJO SAHU </t>
  </si>
  <si>
    <t>11-08-2018</t>
  </si>
  <si>
    <t xml:space="preserve">BHANU PRATAP ASATI </t>
  </si>
  <si>
    <t>09-05-2018</t>
  </si>
  <si>
    <t xml:space="preserve">BABEE SEN </t>
  </si>
  <si>
    <t xml:space="preserve"> MANOJ SEN </t>
  </si>
  <si>
    <t xml:space="preserve">PREETI SEN </t>
  </si>
  <si>
    <t>14-06-2018</t>
  </si>
  <si>
    <t xml:space="preserve">AKHILESH SHRIVAS </t>
  </si>
  <si>
    <t xml:space="preserve">ISHANT YADAV </t>
  </si>
  <si>
    <t>RAJNI YADAV</t>
  </si>
  <si>
    <t>18-09-2017</t>
  </si>
  <si>
    <t xml:space="preserve">KRISHNA KUSHWAHA </t>
  </si>
  <si>
    <t xml:space="preserve"> 13-08-2017</t>
  </si>
  <si>
    <t xml:space="preserve">MANVIK VISHWAKARMA </t>
  </si>
  <si>
    <t>SHILPA VISHWAKARMA</t>
  </si>
  <si>
    <t xml:space="preserve">NIKHIL JAISWAL </t>
  </si>
  <si>
    <t xml:space="preserve">MANOJ KUMAR JAISWAL </t>
  </si>
  <si>
    <t>22-12-2017</t>
  </si>
  <si>
    <t xml:space="preserve">RAM KUSHWAHA </t>
  </si>
  <si>
    <t xml:space="preserve">VARSHA KUSHWAHA </t>
  </si>
  <si>
    <t>08-09-2017</t>
  </si>
  <si>
    <t xml:space="preserve">SARANSH KACHHI </t>
  </si>
  <si>
    <t xml:space="preserve">ANOJ KUMAR KACHHI </t>
  </si>
  <si>
    <t xml:space="preserve">PUSHPLATA KACHHI </t>
  </si>
  <si>
    <t>24-01-2018</t>
  </si>
  <si>
    <t>12-08-2018</t>
  </si>
  <si>
    <t xml:space="preserve">SIDDHARTH RAJPOOT </t>
  </si>
  <si>
    <t xml:space="preserve">SATYENDRA RAJPOOT </t>
  </si>
  <si>
    <t xml:space="preserve">SHIKHA RAJPOOT </t>
  </si>
  <si>
    <t>23-02-2018</t>
  </si>
  <si>
    <t xml:space="preserve">UDIT RAJPAL </t>
  </si>
  <si>
    <t xml:space="preserve">VINIT RAJPAL </t>
  </si>
  <si>
    <t xml:space="preserve">USHA RAJPAL </t>
  </si>
  <si>
    <t>19-08-2017</t>
  </si>
  <si>
    <t xml:space="preserve">ANEETA NAYAK </t>
  </si>
  <si>
    <t>YASH TIWARI</t>
  </si>
  <si>
    <t xml:space="preserve">PRATIMA TIWARI </t>
  </si>
  <si>
    <t>26-03-2018</t>
  </si>
  <si>
    <t xml:space="preserve">AANYA RAJAK </t>
  </si>
  <si>
    <t>14-07-2018</t>
  </si>
  <si>
    <t xml:space="preserve">ANJULI PATEL </t>
  </si>
  <si>
    <t xml:space="preserve">PAWAN PATEL </t>
  </si>
  <si>
    <t xml:space="preserve">ANJANA BAI </t>
  </si>
  <si>
    <t>08-01-2018</t>
  </si>
  <si>
    <t xml:space="preserve">ANSHIKA PATEL </t>
  </si>
  <si>
    <t xml:space="preserve">SUKHDEV PRASAD </t>
  </si>
  <si>
    <t>23-05-2018</t>
  </si>
  <si>
    <t xml:space="preserve">ANKITA CHAKRAWARTI </t>
  </si>
  <si>
    <t xml:space="preserve">DWARKA PRASAD CHAKRAWARTI </t>
  </si>
  <si>
    <t xml:space="preserve">PINKI CHAKRAWARTI </t>
  </si>
  <si>
    <t>15-09-2017</t>
  </si>
  <si>
    <t>ANUSHREE MEHRA</t>
  </si>
  <si>
    <t xml:space="preserve">SANTOSH KUMAR  MEHRA </t>
  </si>
  <si>
    <t xml:space="preserve">ROSHNI MEHRA </t>
  </si>
  <si>
    <t>25-09-2018</t>
  </si>
  <si>
    <t xml:space="preserve">ANSHIKA LODHI </t>
  </si>
  <si>
    <t xml:space="preserve">GAJRAJ SINGH  LODHI </t>
  </si>
  <si>
    <t xml:space="preserve">URMILA   </t>
  </si>
  <si>
    <t>14-02-2017</t>
  </si>
  <si>
    <t>AYUSHI LODHI</t>
  </si>
  <si>
    <t>VINOD LODHI</t>
  </si>
  <si>
    <t>SANGEETA LODHI</t>
  </si>
  <si>
    <t xml:space="preserve"> 18-02-2018</t>
  </si>
  <si>
    <t xml:space="preserve">BHAVYA PATEL </t>
  </si>
  <si>
    <t xml:space="preserve">KANCHAN PATEL </t>
  </si>
  <si>
    <t>30-10-2018</t>
  </si>
  <si>
    <t xml:space="preserve">DEVIKA BARMAN </t>
  </si>
  <si>
    <t xml:space="preserve">BABITA BARMAN </t>
  </si>
  <si>
    <t>17-10-2018</t>
  </si>
  <si>
    <t xml:space="preserve">DEEPANSHI LODHI </t>
  </si>
  <si>
    <t xml:space="preserve">DEEPAK LODHI </t>
  </si>
  <si>
    <t>RAGNI LODHI</t>
  </si>
  <si>
    <t>06-01-2019</t>
  </si>
  <si>
    <t xml:space="preserve">JANVI PATEL </t>
  </si>
  <si>
    <t>HOSHIYAR SINGH  PATEL</t>
  </si>
  <si>
    <t>02-09-2018</t>
  </si>
  <si>
    <t xml:space="preserve">RAJU KUSHWAHA </t>
  </si>
  <si>
    <t>PARWATI KUSHWAHA</t>
  </si>
  <si>
    <t>08-01-2019</t>
  </si>
  <si>
    <t xml:space="preserve">MAHI PATEL </t>
  </si>
  <si>
    <t>14-01-2018</t>
  </si>
  <si>
    <t xml:space="preserve">MANVEE YADAV </t>
  </si>
  <si>
    <t xml:space="preserve">DINESH YADAV </t>
  </si>
  <si>
    <t xml:space="preserve">RAJNI YADAV </t>
  </si>
  <si>
    <t>05-06-2018</t>
  </si>
  <si>
    <t>28-01-2018</t>
  </si>
  <si>
    <t xml:space="preserve">PRIYANSHI PATEL </t>
  </si>
  <si>
    <t xml:space="preserve">PRATAP SINGH LODHI </t>
  </si>
  <si>
    <t>22-09-2018</t>
  </si>
  <si>
    <t xml:space="preserve">PUSHPLATA PATEL </t>
  </si>
  <si>
    <t xml:space="preserve">MAHENDRA KUMAR PATEL </t>
  </si>
  <si>
    <t xml:space="preserve">SARSWATI BAI PATEL </t>
  </si>
  <si>
    <t xml:space="preserve">PRACHI PATEL </t>
  </si>
  <si>
    <t>10-08-2018</t>
  </si>
  <si>
    <t xml:space="preserve">RESHMA YADAV </t>
  </si>
  <si>
    <t xml:space="preserve">AMIT KUMAR YADAV </t>
  </si>
  <si>
    <t xml:space="preserve">JUGANTI BAI YADAV </t>
  </si>
  <si>
    <t>11-02-2018</t>
  </si>
  <si>
    <t xml:space="preserve">SUPRIYA PATEL </t>
  </si>
  <si>
    <t xml:space="preserve">KRISHN KUMAR PATEL </t>
  </si>
  <si>
    <t xml:space="preserve">ARTI BAI PATEL </t>
  </si>
  <si>
    <t>28-06-2018</t>
  </si>
  <si>
    <t xml:space="preserve">SHREYA KUSHWAHA </t>
  </si>
  <si>
    <t xml:space="preserve">RAMESH KUMAR KUSHWAHA </t>
  </si>
  <si>
    <t xml:space="preserve">SUNITA KUSHWAHA </t>
  </si>
  <si>
    <t>26-10-2018</t>
  </si>
  <si>
    <t xml:space="preserve">RAKESH PATEL </t>
  </si>
  <si>
    <t xml:space="preserve">NANDNI PATEL </t>
  </si>
  <si>
    <t>10-07-2018</t>
  </si>
  <si>
    <t>SUSHEEL KUSHWAHA</t>
  </si>
  <si>
    <t xml:space="preserve">ALKO BAI KUSHWAHA </t>
  </si>
  <si>
    <t>25-01-2018</t>
  </si>
  <si>
    <t xml:space="preserve">TANSHI PATEL </t>
  </si>
  <si>
    <t>JITENDRA PATEL</t>
  </si>
  <si>
    <t>14-08-2018</t>
  </si>
  <si>
    <t xml:space="preserve">UNNATI YADAV </t>
  </si>
  <si>
    <t xml:space="preserve">DURJAN PRASAD YADAV </t>
  </si>
  <si>
    <t xml:space="preserve">SAVITRI BAI YADAV </t>
  </si>
  <si>
    <t>09-06-2018</t>
  </si>
  <si>
    <t xml:space="preserve">VANSHIKA SONI </t>
  </si>
  <si>
    <t>VIVEK SONI</t>
  </si>
  <si>
    <t xml:space="preserve">SHIVANGI SONI </t>
  </si>
  <si>
    <t>22-06-2018</t>
  </si>
  <si>
    <t xml:space="preserve">ADARSH PATEL </t>
  </si>
  <si>
    <t xml:space="preserve">HIRAN PATEL </t>
  </si>
  <si>
    <t>26-12-2018</t>
  </si>
  <si>
    <t xml:space="preserve">ADITYA KUSHWAHA </t>
  </si>
  <si>
    <t xml:space="preserve">UMESH KUMAR KUSHWAHA </t>
  </si>
  <si>
    <t xml:space="preserve">SEETA BAI  </t>
  </si>
  <si>
    <t>05-09-2018</t>
  </si>
  <si>
    <t xml:space="preserve">ARSH LODHI </t>
  </si>
  <si>
    <t xml:space="preserve">KRISHNA LODHI </t>
  </si>
  <si>
    <t>05-08-2018</t>
  </si>
  <si>
    <t xml:space="preserve">AYUSH YADAV </t>
  </si>
  <si>
    <t xml:space="preserve">KAMLESH YADAV </t>
  </si>
  <si>
    <t xml:space="preserve">POONAM YADAV </t>
  </si>
  <si>
    <t>30-11-2017</t>
  </si>
  <si>
    <t xml:space="preserve">AYUSH DAHIYA </t>
  </si>
  <si>
    <t xml:space="preserve">RANJEETA DAHIYA </t>
  </si>
  <si>
    <t xml:space="preserve">ABHAY RAJPAL </t>
  </si>
  <si>
    <t xml:space="preserve">SURJEET RAJPAL </t>
  </si>
  <si>
    <t xml:space="preserve">MANJULA RAJPAL </t>
  </si>
  <si>
    <t xml:space="preserve">DIVYANSH VISHWAKARMA </t>
  </si>
  <si>
    <t xml:space="preserve">RAM PRAKASH VISHWAKARMA </t>
  </si>
  <si>
    <t>09-03-2019</t>
  </si>
  <si>
    <t xml:space="preserve">DINESH PATEL </t>
  </si>
  <si>
    <t xml:space="preserve">RAMAKANT PATEL </t>
  </si>
  <si>
    <t xml:space="preserve">SUHADRA PATEL </t>
  </si>
  <si>
    <t>26-09-2018</t>
  </si>
  <si>
    <t xml:space="preserve">DIVYANSH PATEL </t>
  </si>
  <si>
    <t xml:space="preserve">KISHAN PATEL </t>
  </si>
  <si>
    <t xml:space="preserve">KIRAN PATEL </t>
  </si>
  <si>
    <t>14-04-2018</t>
  </si>
  <si>
    <t xml:space="preserve">KRISHNA KEWAT </t>
  </si>
  <si>
    <t xml:space="preserve">LUCKY PATEL </t>
  </si>
  <si>
    <t xml:space="preserve">SEETA PATEL </t>
  </si>
  <si>
    <t>29-10-2018</t>
  </si>
  <si>
    <t xml:space="preserve">NITESH KUMAR  RAJPAL </t>
  </si>
  <si>
    <t>VIJAY KUMAR RAJPAL</t>
  </si>
  <si>
    <t>23-09-2018</t>
  </si>
  <si>
    <t xml:space="preserve">ROSHANI BAIRAGI </t>
  </si>
  <si>
    <t>12-02-2019</t>
  </si>
  <si>
    <t xml:space="preserve">SHANI LODHI </t>
  </si>
  <si>
    <t xml:space="preserve">ANUJ LODHI </t>
  </si>
  <si>
    <t>17-02-2018</t>
  </si>
  <si>
    <t>312836356</t>
  </si>
  <si>
    <t xml:space="preserve">SHIVANSH VISHWAKARMA </t>
  </si>
  <si>
    <t xml:space="preserve">BALI RAM VISHWAKARMA </t>
  </si>
  <si>
    <t xml:space="preserve">BABITA VISHWAKARMA </t>
  </si>
  <si>
    <t>13-12-2017</t>
  </si>
  <si>
    <t>312682526</t>
  </si>
  <si>
    <t xml:space="preserve">SAKET KUSHWAHA </t>
  </si>
  <si>
    <t xml:space="preserve">SANDEEP KUSHWAHA </t>
  </si>
  <si>
    <t>SARASWATI KUSHWAHA</t>
  </si>
  <si>
    <t>28-10-2018</t>
  </si>
  <si>
    <t xml:space="preserve">SHIVAM PATEL </t>
  </si>
  <si>
    <t xml:space="preserve">SUNIL PATEL </t>
  </si>
  <si>
    <t xml:space="preserve">ANJO PATEL </t>
  </si>
  <si>
    <t>22-11-2018</t>
  </si>
  <si>
    <t xml:space="preserve">SARVESH PATEL </t>
  </si>
  <si>
    <t xml:space="preserve">PREETI PATEL </t>
  </si>
  <si>
    <t xml:space="preserve">PRINSH VISHWAKARMA </t>
  </si>
  <si>
    <t xml:space="preserve">PREM NARAYAN VISHWAKARMA </t>
  </si>
  <si>
    <t xml:space="preserve">SARASWATI VISHWAKARMA </t>
  </si>
  <si>
    <t>08-04-2018</t>
  </si>
  <si>
    <t xml:space="preserve">UTKRASHT JAISWAL </t>
  </si>
  <si>
    <t xml:space="preserve">GOVIND PRASAD JAISWAL </t>
  </si>
  <si>
    <t xml:space="preserve">SUMAN BAI  </t>
  </si>
  <si>
    <t>13-03-2018</t>
  </si>
  <si>
    <t xml:space="preserve">VEDANT LODHI </t>
  </si>
  <si>
    <t xml:space="preserve">ANAND MOHAN PATEL </t>
  </si>
  <si>
    <t xml:space="preserve">RANI PATEL </t>
  </si>
  <si>
    <t>05-04-2018</t>
  </si>
  <si>
    <t xml:space="preserve">SANTOSH KUMAR DHOBI </t>
  </si>
  <si>
    <t>VAIDIK VISHWAKARMA</t>
  </si>
  <si>
    <t>KAMALA VISHWAKARMA</t>
  </si>
  <si>
    <t>25-06-2018</t>
  </si>
  <si>
    <t xml:space="preserve">KRISH CHAKRAWARTI </t>
  </si>
  <si>
    <t>06-10-2018</t>
  </si>
  <si>
    <t>SONALI GOND</t>
  </si>
  <si>
    <t>29-01-2018</t>
  </si>
  <si>
    <t xml:space="preserve">AROHI KOL </t>
  </si>
  <si>
    <t xml:space="preserve">KAILASH KUMAR </t>
  </si>
  <si>
    <t>14-01-2016</t>
  </si>
  <si>
    <t>SHIVAY PATEL</t>
  </si>
  <si>
    <t xml:space="preserve">DEEPAK PATEL </t>
  </si>
  <si>
    <t>14-05-2018</t>
  </si>
  <si>
    <t>KANHAIYA SINGH GOND</t>
  </si>
  <si>
    <t>23-08-2019</t>
  </si>
  <si>
    <t xml:space="preserve">RESHABH KUSHWAHA </t>
  </si>
  <si>
    <t xml:space="preserve">POONAM KUSHWAHA </t>
  </si>
  <si>
    <t>18-08-2020</t>
  </si>
  <si>
    <t xml:space="preserve">KAVYA LODHI </t>
  </si>
  <si>
    <t>ARUN LODHI</t>
  </si>
  <si>
    <t>15-02-2020</t>
  </si>
  <si>
    <t xml:space="preserve">DRISHTI PATEL </t>
  </si>
  <si>
    <t xml:space="preserve">VIJAY PATEL </t>
  </si>
  <si>
    <t>10-05-2020</t>
  </si>
  <si>
    <t xml:space="preserve">ANU YADAV </t>
  </si>
  <si>
    <t xml:space="preserve">MANISHA YADAV </t>
  </si>
  <si>
    <t>16-03-2020</t>
  </si>
  <si>
    <t xml:space="preserve">LAKESH YADAV </t>
  </si>
  <si>
    <t xml:space="preserve">KUSUMLATA LODHI </t>
  </si>
  <si>
    <t>03-06-2020</t>
  </si>
  <si>
    <t xml:space="preserve">KANHA SAHU </t>
  </si>
  <si>
    <t xml:space="preserve">VINAY SAHU </t>
  </si>
  <si>
    <t xml:space="preserve">AMITA SAHU </t>
  </si>
  <si>
    <t xml:space="preserve">ANANYA KUSHWAHA </t>
  </si>
  <si>
    <t>RAJESH KUSHWAHA</t>
  </si>
  <si>
    <t xml:space="preserve">SANDHYA KUSHWAHA </t>
  </si>
  <si>
    <t>28-08-2020</t>
  </si>
  <si>
    <t xml:space="preserve">RIYANSH NAYAK </t>
  </si>
  <si>
    <t>VINAY KUMAR</t>
  </si>
  <si>
    <t>23-08-2020</t>
  </si>
  <si>
    <t xml:space="preserve">MAYURI MISHRA </t>
  </si>
  <si>
    <t xml:space="preserve">BABLI MISHRA </t>
  </si>
  <si>
    <t>06-04-2020</t>
  </si>
  <si>
    <t>27-11-2019</t>
  </si>
  <si>
    <t xml:space="preserve">OMPRAKASH  </t>
  </si>
  <si>
    <t xml:space="preserve">ARADHYA KACHHI </t>
  </si>
  <si>
    <t xml:space="preserve">DINESH KACHHI </t>
  </si>
  <si>
    <t>13-09-2019</t>
  </si>
  <si>
    <t xml:space="preserve">TANYA KACHHI </t>
  </si>
  <si>
    <t xml:space="preserve">RAJBHAN KACHHI </t>
  </si>
  <si>
    <t xml:space="preserve">SANGEETA HALDKAR </t>
  </si>
  <si>
    <t>31-08-2020</t>
  </si>
  <si>
    <t xml:space="preserve">AYANSH PATEL </t>
  </si>
  <si>
    <t xml:space="preserve">JAYKISHOR PATEL  </t>
  </si>
  <si>
    <t xml:space="preserve">ARABHYA PATEL </t>
  </si>
  <si>
    <t>03-12-2019</t>
  </si>
  <si>
    <t xml:space="preserve">MANISH DAHIYA </t>
  </si>
  <si>
    <t xml:space="preserve">BHARTI DAHIYA </t>
  </si>
  <si>
    <t>15-06-2020</t>
  </si>
  <si>
    <t>DIVAS NAYAK</t>
  </si>
  <si>
    <t>15-08-2019</t>
  </si>
  <si>
    <t xml:space="preserve">DIVANSHI THAKUR </t>
  </si>
  <si>
    <t xml:space="preserve">DEVI SINGH </t>
  </si>
  <si>
    <t>22-12-2020</t>
  </si>
  <si>
    <t xml:space="preserve">ANKESH LODHI </t>
  </si>
  <si>
    <t xml:space="preserve">MAHENDRA KUMAR LODHI  </t>
  </si>
  <si>
    <t xml:space="preserve">SILOCHANA LODHI </t>
  </si>
  <si>
    <t>01-01-2020</t>
  </si>
  <si>
    <t xml:space="preserve">KRISHNA VISHWAKARMA </t>
  </si>
  <si>
    <t xml:space="preserve">AMIT KUMAR VISHWAKARMA </t>
  </si>
  <si>
    <t>14-08-2020</t>
  </si>
  <si>
    <t xml:space="preserve">SHIVI PATEL </t>
  </si>
  <si>
    <t>05-08-2019</t>
  </si>
  <si>
    <t>09-03-2020</t>
  </si>
  <si>
    <t>MUSHAHID KHAN</t>
  </si>
  <si>
    <t xml:space="preserve">MUKHTAR KHAN </t>
  </si>
  <si>
    <t>SAYANA BEE</t>
  </si>
  <si>
    <t>21-01-2020</t>
  </si>
  <si>
    <t xml:space="preserve">BALGOVIND KACHHI </t>
  </si>
  <si>
    <t xml:space="preserve">NEELAM KACHHI </t>
  </si>
  <si>
    <t>12-11-2009</t>
  </si>
  <si>
    <t xml:space="preserve">ARAV KUMAR KUSHWAHA </t>
  </si>
  <si>
    <t>15-07-2019</t>
  </si>
  <si>
    <t xml:space="preserve">TEJASWI KURMI </t>
  </si>
  <si>
    <t>RAMLALI</t>
  </si>
  <si>
    <t>12-11-2020</t>
  </si>
  <si>
    <t xml:space="preserve">RISHI BHUSHAN MISHRA </t>
  </si>
  <si>
    <t>BRAJESH MISHRA</t>
  </si>
  <si>
    <t xml:space="preserve">AKANKSHA MISHRA </t>
  </si>
  <si>
    <t>25-07-2020</t>
  </si>
  <si>
    <t xml:space="preserve">ROHIT SEN </t>
  </si>
  <si>
    <t xml:space="preserve">SARITA SEN </t>
  </si>
  <si>
    <t xml:space="preserve">ARYA VISHWAKARMA </t>
  </si>
  <si>
    <t xml:space="preserve">SATISH KUMAR VISHWAKARMA </t>
  </si>
  <si>
    <t xml:space="preserve">MANISHA VISHWAKARMA </t>
  </si>
  <si>
    <t>29-10-2020</t>
  </si>
  <si>
    <t xml:space="preserve">MAYANK PATEL </t>
  </si>
  <si>
    <t xml:space="preserve">MANISH PATEL </t>
  </si>
  <si>
    <t xml:space="preserve">SUMAN LATA PATEL </t>
  </si>
  <si>
    <t xml:space="preserve">MANEESH PATEL </t>
  </si>
  <si>
    <t>29-05-2020</t>
  </si>
  <si>
    <t xml:space="preserve">DIWANSH PATEL </t>
  </si>
  <si>
    <t xml:space="preserve">DILEEP PATEL </t>
  </si>
  <si>
    <t xml:space="preserve">NEHA PATEL </t>
  </si>
  <si>
    <t>01-08-2020</t>
  </si>
  <si>
    <t xml:space="preserve">DEVIKA SEN </t>
  </si>
  <si>
    <t>23-12-2020</t>
  </si>
  <si>
    <t>PRATYUSH GARG</t>
  </si>
  <si>
    <t xml:space="preserve">RAJANI GARG </t>
  </si>
  <si>
    <t>14-09-2020</t>
  </si>
  <si>
    <t>SHIVANSH LODHI</t>
  </si>
  <si>
    <t>VIPAT LAL</t>
  </si>
  <si>
    <t>23-03-2020</t>
  </si>
  <si>
    <t xml:space="preserve">RISHAV PATEL </t>
  </si>
  <si>
    <t xml:space="preserve">ARTI LODHI </t>
  </si>
  <si>
    <t>31-12-2019</t>
  </si>
  <si>
    <t xml:space="preserve">PEEHU KACHHI </t>
  </si>
  <si>
    <t xml:space="preserve">VIJAY KUMAR KACHHI </t>
  </si>
  <si>
    <t xml:space="preserve">ANJALI KACHHI </t>
  </si>
  <si>
    <t>29-06-2020</t>
  </si>
  <si>
    <t xml:space="preserve">KARTIK SEN </t>
  </si>
  <si>
    <t>NEHA SEN</t>
  </si>
  <si>
    <t>04-06-2020</t>
  </si>
  <si>
    <t xml:space="preserve">ARUN KUMAR SEN </t>
  </si>
  <si>
    <t xml:space="preserve">KAVYA KUSHWAHA </t>
  </si>
  <si>
    <t>19-11-2019</t>
  </si>
  <si>
    <t xml:space="preserve">KARTIK PATEL </t>
  </si>
  <si>
    <t xml:space="preserve">SUSHMA PATEL </t>
  </si>
  <si>
    <t>28-03-2020</t>
  </si>
  <si>
    <t xml:space="preserve">VIRENDRA SONI </t>
  </si>
  <si>
    <t xml:space="preserve">JYOTI SONI </t>
  </si>
  <si>
    <t>16-02-2020</t>
  </si>
  <si>
    <t xml:space="preserve">SANDHYA SAHU </t>
  </si>
  <si>
    <t xml:space="preserve">HARSH KACHHI </t>
  </si>
  <si>
    <t>UMESH KUMAR KACHHI</t>
  </si>
  <si>
    <t xml:space="preserve">SHILPA KACHHI </t>
  </si>
  <si>
    <t>16-10-2020</t>
  </si>
  <si>
    <t xml:space="preserve">VAASU GADARI </t>
  </si>
  <si>
    <t>02-01-2019</t>
  </si>
  <si>
    <t xml:space="preserve">PAVITRA THAKUR </t>
  </si>
  <si>
    <t xml:space="preserve">AMIT SINGH THAKUR </t>
  </si>
  <si>
    <t>06-01-2020</t>
  </si>
  <si>
    <t xml:space="preserve">AASTHA YADAV </t>
  </si>
  <si>
    <t xml:space="preserve">VINAY KUMAR YADAV </t>
  </si>
  <si>
    <t>10-03-2021</t>
  </si>
  <si>
    <t xml:space="preserve">JIYA YADAV </t>
  </si>
  <si>
    <t xml:space="preserve">DURGESH YADAV </t>
  </si>
  <si>
    <t>SURYANSH CHOUDHARY</t>
  </si>
  <si>
    <t xml:space="preserve">SUNIL KUMAR CHOUDHARY </t>
  </si>
  <si>
    <t xml:space="preserve">TULSA CHOUDHARI </t>
  </si>
  <si>
    <t>19-09-2019</t>
  </si>
  <si>
    <t xml:space="preserve">RISHABH YADAV </t>
  </si>
  <si>
    <t xml:space="preserve">SANJAY YADAV </t>
  </si>
  <si>
    <t xml:space="preserve">BABITA YADAV </t>
  </si>
  <si>
    <t>04-11-2019</t>
  </si>
  <si>
    <t xml:space="preserve">PURVI YADAV </t>
  </si>
  <si>
    <t>18-02-2020</t>
  </si>
  <si>
    <t>ABHI CHOUDHARY</t>
  </si>
  <si>
    <t>SARASWATI  CHOUDHARY</t>
  </si>
  <si>
    <t>24-03-2020</t>
  </si>
  <si>
    <t xml:space="preserve">ARYAN YADAV </t>
  </si>
  <si>
    <t xml:space="preserve">SACHIN YADAV </t>
  </si>
  <si>
    <t xml:space="preserve">RUKMANI YADAV </t>
  </si>
  <si>
    <t>13-03-2020</t>
  </si>
  <si>
    <t xml:space="preserve">ADARSH KUMAR PATEL </t>
  </si>
  <si>
    <t xml:space="preserve">PUSHPRAJ PATEL </t>
  </si>
  <si>
    <t xml:space="preserve">JYOTI PATEL </t>
  </si>
  <si>
    <t>25-10-2020</t>
  </si>
  <si>
    <t xml:space="preserve">SARTHAK BARAMAN </t>
  </si>
  <si>
    <t xml:space="preserve">SHIVAM BARMAN </t>
  </si>
  <si>
    <t xml:space="preserve">CHETNA BARMAN </t>
  </si>
  <si>
    <t>13-07-2020</t>
  </si>
  <si>
    <t xml:space="preserve">SHOURYA LODHI </t>
  </si>
  <si>
    <t xml:space="preserve">SANJAY LODHI </t>
  </si>
  <si>
    <t>BHARTI LODHI</t>
  </si>
  <si>
    <t>29-08-2020</t>
  </si>
  <si>
    <t xml:space="preserve">ARYAN KUMAR PATEL </t>
  </si>
  <si>
    <t xml:space="preserve">NEELU PATEL </t>
  </si>
  <si>
    <t xml:space="preserve">URMILA PATEL </t>
  </si>
  <si>
    <t>15-08-2020</t>
  </si>
  <si>
    <t xml:space="preserve">ARADHY JAISWAL </t>
  </si>
  <si>
    <t>01-06-2019</t>
  </si>
  <si>
    <t xml:space="preserve">RITESH YADAV </t>
  </si>
  <si>
    <t xml:space="preserve">ANKIT KUMAR YADAV </t>
  </si>
  <si>
    <t>24-05-2019</t>
  </si>
  <si>
    <t xml:space="preserve">MANVI YADAV </t>
  </si>
  <si>
    <t xml:space="preserve">MUKESH YADAV </t>
  </si>
  <si>
    <t xml:space="preserve">SILOCHANA YADAV </t>
  </si>
  <si>
    <t>23-11-2019</t>
  </si>
  <si>
    <t xml:space="preserve">SHREEYANSH YADAV </t>
  </si>
  <si>
    <t>SAPNA  YADAV</t>
  </si>
  <si>
    <t>22-06-2020</t>
  </si>
  <si>
    <t xml:space="preserve">BHAGYASHREE DAHAYAT </t>
  </si>
  <si>
    <t>VIKASH DAHAYAT</t>
  </si>
  <si>
    <t xml:space="preserve">ANJANA DAHAYAT </t>
  </si>
  <si>
    <t>25-09-2020</t>
  </si>
  <si>
    <t xml:space="preserve">DIVYANSHI LODHI </t>
  </si>
  <si>
    <t xml:space="preserve">RAGINI LODHI </t>
  </si>
  <si>
    <t>13-04-2020</t>
  </si>
  <si>
    <t xml:space="preserve">SARANSH PATEL </t>
  </si>
  <si>
    <t>16-09-2020</t>
  </si>
  <si>
    <t xml:space="preserve">KANISHK LODHI </t>
  </si>
  <si>
    <t xml:space="preserve">KRISHNA KUMAR LODHI </t>
  </si>
  <si>
    <t>12-12-2019</t>
  </si>
  <si>
    <t xml:space="preserve">NAMAN LODHI </t>
  </si>
  <si>
    <t xml:space="preserve">RAJA LODHI </t>
  </si>
  <si>
    <t>24-12-2019</t>
  </si>
  <si>
    <t xml:space="preserve">NAYAN SONI </t>
  </si>
  <si>
    <t xml:space="preserve">LATA  </t>
  </si>
  <si>
    <t xml:space="preserve">DIVYA PATKAR </t>
  </si>
  <si>
    <t xml:space="preserve">VIRENDRA PATKAR </t>
  </si>
  <si>
    <t xml:space="preserve">SADHNA PATKAR </t>
  </si>
  <si>
    <t xml:space="preserve">UMMED SINGH THAKUR </t>
  </si>
  <si>
    <t xml:space="preserve">TIRATH PRASAD BARMAN </t>
  </si>
  <si>
    <t xml:space="preserve">PURVI BARMAN </t>
  </si>
  <si>
    <t xml:space="preserve">SANTOSH KUMAR RAJAK </t>
  </si>
  <si>
    <t xml:space="preserve">RUDRAKSHI SEN </t>
  </si>
  <si>
    <t xml:space="preserve">MAHENDRA   </t>
  </si>
  <si>
    <t>23-04-2018</t>
  </si>
  <si>
    <t xml:space="preserve">OMKAR PRASAD SAHU </t>
  </si>
  <si>
    <t xml:space="preserve">CHETANY SHRIVAS </t>
  </si>
  <si>
    <t>21-03-2018</t>
  </si>
  <si>
    <t xml:space="preserve">PRASHANT YADAV </t>
  </si>
  <si>
    <t>DEEPAK KUMAR KUSHWAHA</t>
  </si>
  <si>
    <t>VIDYA KACHHI</t>
  </si>
  <si>
    <t xml:space="preserve">AKHLESH VISHWAKARMA </t>
  </si>
  <si>
    <t>09-12-2017</t>
  </si>
  <si>
    <t xml:space="preserve">ANITA BAI   </t>
  </si>
  <si>
    <t xml:space="preserve">AASHISH KUSHWAHA </t>
  </si>
  <si>
    <t xml:space="preserve">SARANSH KALAR </t>
  </si>
  <si>
    <t xml:space="preserve">VIJAY KUMAR   </t>
  </si>
  <si>
    <t xml:space="preserve">SANGEETA RAI </t>
  </si>
  <si>
    <t>24-08-2018</t>
  </si>
  <si>
    <t xml:space="preserve">ALOK KUMAR  TIWARI </t>
  </si>
  <si>
    <t>ANIL KUMAR VISHWAKARMA</t>
  </si>
  <si>
    <t xml:space="preserve">DHARMENDRA </t>
  </si>
  <si>
    <t xml:space="preserve">BUDDHI BAI GOND </t>
  </si>
  <si>
    <t xml:space="preserve">RANJANA LODHI </t>
  </si>
  <si>
    <t xml:space="preserve">PREETI LODHI  </t>
  </si>
  <si>
    <t xml:space="preserve">DEEP CHAND   </t>
  </si>
  <si>
    <t xml:space="preserve">MANISHA   </t>
  </si>
  <si>
    <t xml:space="preserve">SEEMA LODHI </t>
  </si>
  <si>
    <t xml:space="preserve">VIMLA   </t>
  </si>
  <si>
    <t xml:space="preserve">SONAM GADARI </t>
  </si>
  <si>
    <t xml:space="preserve">ANUJ KUMAR PATEL </t>
  </si>
  <si>
    <t xml:space="preserve">ARADHYA BARMAN </t>
  </si>
  <si>
    <t>11-01-2020</t>
  </si>
  <si>
    <t xml:space="preserve">ANJANI BARMAN </t>
  </si>
  <si>
    <t xml:space="preserve">ANOOP KUMAR </t>
  </si>
  <si>
    <t xml:space="preserve">AMRITA PATEL </t>
  </si>
  <si>
    <t xml:space="preserve">PRADEEP PATEL </t>
  </si>
  <si>
    <t xml:space="preserve">KALPNA PATEL </t>
  </si>
  <si>
    <t>12-07-2018</t>
  </si>
  <si>
    <t xml:space="preserve">DIPALI PATEL </t>
  </si>
  <si>
    <t>01-11-2018</t>
  </si>
  <si>
    <t xml:space="preserve">ISHA KACHHI </t>
  </si>
  <si>
    <t xml:space="preserve">INDRA KUMAR KACHHI </t>
  </si>
  <si>
    <t xml:space="preserve">SHOBHANA KACHHI </t>
  </si>
  <si>
    <t>14-01-2019</t>
  </si>
  <si>
    <t xml:space="preserve">KANAK KACHHI </t>
  </si>
  <si>
    <t xml:space="preserve">NISHA KACHHI </t>
  </si>
  <si>
    <t>08-05-2019</t>
  </si>
  <si>
    <t xml:space="preserve">NAMAMI KUSHWAHA </t>
  </si>
  <si>
    <t>KALAWATI KUSHWAHA</t>
  </si>
  <si>
    <t>21-05-2020</t>
  </si>
  <si>
    <t xml:space="preserve">RADHIKA RAJAK </t>
  </si>
  <si>
    <t>17-11-2018</t>
  </si>
  <si>
    <t xml:space="preserve">RITIKA KUSHWAHA </t>
  </si>
  <si>
    <t xml:space="preserve">RASHIL KUSHWAHA </t>
  </si>
  <si>
    <t>18-12-2019</t>
  </si>
  <si>
    <t xml:space="preserve">MAMTA PATEL </t>
  </si>
  <si>
    <t xml:space="preserve">PARIDHI PATEL </t>
  </si>
  <si>
    <t xml:space="preserve">PHOOL KUMARI PATEL </t>
  </si>
  <si>
    <t>18-04-2019</t>
  </si>
  <si>
    <t>29-01-2019</t>
  </si>
  <si>
    <t xml:space="preserve">AROHI PATEL </t>
  </si>
  <si>
    <t xml:space="preserve">SONAM PATEL </t>
  </si>
  <si>
    <t>20-06-2019</t>
  </si>
  <si>
    <t xml:space="preserve">CHANSI KUSHWAHA </t>
  </si>
  <si>
    <t>14-10-2019</t>
  </si>
  <si>
    <t>JAYBA BEE</t>
  </si>
  <si>
    <t xml:space="preserve">SHABNAM KHAN </t>
  </si>
  <si>
    <t>29-04-2019</t>
  </si>
  <si>
    <t xml:space="preserve">AYUSHI PATEL </t>
  </si>
  <si>
    <t xml:space="preserve">GANGOTRI </t>
  </si>
  <si>
    <t>15-09-2019</t>
  </si>
  <si>
    <t>26-08-2019</t>
  </si>
  <si>
    <t xml:space="preserve">SHREYANJALI PATEL </t>
  </si>
  <si>
    <t xml:space="preserve">RAJNIKANT PATEL </t>
  </si>
  <si>
    <t>28-03-2019</t>
  </si>
  <si>
    <t>KHUSHMITA NAMDEV</t>
  </si>
  <si>
    <t xml:space="preserve">GHANSHYAM </t>
  </si>
  <si>
    <t>NEHA NAMDEV</t>
  </si>
  <si>
    <t>AAROHI SINGH</t>
  </si>
  <si>
    <t xml:space="preserve">GANESH </t>
  </si>
  <si>
    <t xml:space="preserve">PRIYANKA SINGH </t>
  </si>
  <si>
    <t>20-12-2019</t>
  </si>
  <si>
    <t xml:space="preserve">GUNJAN TIWARI </t>
  </si>
  <si>
    <t xml:space="preserve">RAKESH TIWARI </t>
  </si>
  <si>
    <t xml:space="preserve">NEELAM TIWARI </t>
  </si>
  <si>
    <t xml:space="preserve">SONE LAL LODHI </t>
  </si>
  <si>
    <t xml:space="preserve">CHHOTE BHAIYA   </t>
  </si>
  <si>
    <t xml:space="preserve">AYUSH GARG </t>
  </si>
  <si>
    <t>BASANT KUMAR GARG</t>
  </si>
  <si>
    <t xml:space="preserve">JYOTSANA GARG </t>
  </si>
  <si>
    <t>01-05-2019</t>
  </si>
  <si>
    <t xml:space="preserve">ANSH RAJAK </t>
  </si>
  <si>
    <t>19-06-2019</t>
  </si>
  <si>
    <t xml:space="preserve">ABHIRAJ SAHU </t>
  </si>
  <si>
    <t xml:space="preserve">RAJNI SAHU </t>
  </si>
  <si>
    <t>02-12-2018</t>
  </si>
  <si>
    <t xml:space="preserve">ADARSH JAISWAL </t>
  </si>
  <si>
    <t xml:space="preserve">SURENDRA KUMAR JAISWAL </t>
  </si>
  <si>
    <t xml:space="preserve">SARITAJAISWAL </t>
  </si>
  <si>
    <t>02-08-2019</t>
  </si>
  <si>
    <t xml:space="preserve">ABHAY CHAURASIYA </t>
  </si>
  <si>
    <t xml:space="preserve">PURUSHOTTAM CHAURASIYA </t>
  </si>
  <si>
    <t xml:space="preserve">LATA CHAURASIYA </t>
  </si>
  <si>
    <t>20-07-2019</t>
  </si>
  <si>
    <t xml:space="preserve">ARYAN LODHI </t>
  </si>
  <si>
    <t xml:space="preserve">RAJ PATEL </t>
  </si>
  <si>
    <t xml:space="preserve">MUKESH KUMAR HADKAR </t>
  </si>
  <si>
    <t xml:space="preserve">DEV RAM </t>
  </si>
  <si>
    <t xml:space="preserve">SHRAVAN KUMAR </t>
  </si>
  <si>
    <t xml:space="preserve">SUDHA PATEL </t>
  </si>
  <si>
    <t xml:space="preserve">RITIK KUSHWAHA </t>
  </si>
  <si>
    <t>RAJU KUSHWAHA</t>
  </si>
  <si>
    <t>PARVATI KUSHWAHA</t>
  </si>
  <si>
    <t>16-05-2020</t>
  </si>
  <si>
    <t xml:space="preserve">ANJANA PATEL </t>
  </si>
  <si>
    <t>28-11-2018</t>
  </si>
  <si>
    <t xml:space="preserve">SANDHYA RAJPOOT </t>
  </si>
  <si>
    <t>19-10-2019</t>
  </si>
  <si>
    <t xml:space="preserve">SATENDRA KACHHI </t>
  </si>
  <si>
    <t>20-02-2020</t>
  </si>
  <si>
    <t xml:space="preserve">SANSKAR MEHRA </t>
  </si>
  <si>
    <t xml:space="preserve">GAJRAJ MEHRA </t>
  </si>
  <si>
    <t>28-12-2018</t>
  </si>
  <si>
    <t xml:space="preserve">SHREYANSH KOL </t>
  </si>
  <si>
    <t xml:space="preserve">AJAY KOL </t>
  </si>
  <si>
    <t xml:space="preserve">DURGA KOL </t>
  </si>
  <si>
    <t>16-06-2018</t>
  </si>
  <si>
    <t>18-10-2019</t>
  </si>
  <si>
    <t xml:space="preserve">BHIKAM LAL   </t>
  </si>
  <si>
    <t xml:space="preserve">BHIKAM LAL    </t>
  </si>
  <si>
    <t>VISHISHT GARG</t>
  </si>
  <si>
    <t>PANKAJ KUMAR GARG</t>
  </si>
  <si>
    <t>10-11-2019</t>
  </si>
  <si>
    <t xml:space="preserve">YASHRAJ PATEL </t>
  </si>
  <si>
    <t xml:space="preserve">KAILASH PRASAD PATEL </t>
  </si>
  <si>
    <t xml:space="preserve">SEEMA BAI </t>
  </si>
  <si>
    <t>05-04-2019</t>
  </si>
  <si>
    <t xml:space="preserve">ANMOL KUMAR PATEL </t>
  </si>
  <si>
    <t xml:space="preserve">SANTOSH KUMAR PATEL </t>
  </si>
  <si>
    <t xml:space="preserve">PRIYANKA  PATEL </t>
  </si>
  <si>
    <t>13-12-2019</t>
  </si>
  <si>
    <t xml:space="preserve">TARUN HALDKAR </t>
  </si>
  <si>
    <t xml:space="preserve">RAJESH KUMAR HALDKAR </t>
  </si>
  <si>
    <t xml:space="preserve">SAPNA HALDKAR </t>
  </si>
  <si>
    <t>18-05-2019</t>
  </si>
  <si>
    <t xml:space="preserve">ARPIT YADAV </t>
  </si>
  <si>
    <t>04-08-2019</t>
  </si>
  <si>
    <t xml:space="preserve">KRISHN KUMAR BARMAN </t>
  </si>
  <si>
    <t xml:space="preserve">RAMSEVAK BARMAN </t>
  </si>
  <si>
    <t xml:space="preserve">PARVATI BARMAN </t>
  </si>
  <si>
    <t xml:space="preserve">AARUSH SONI </t>
  </si>
  <si>
    <t>28-11-2019</t>
  </si>
  <si>
    <t xml:space="preserve">AVAISH KHAN </t>
  </si>
  <si>
    <t xml:space="preserve">MO. SHAHEED KHAN </t>
  </si>
  <si>
    <t xml:space="preserve">BRAJESH KUMAR   </t>
  </si>
  <si>
    <t xml:space="preserve">SHAMA BEGAM </t>
  </si>
  <si>
    <t xml:space="preserve">SHUBH KUMAR KACHHI </t>
  </si>
  <si>
    <t xml:space="preserve">SHWETA KACHHI </t>
  </si>
  <si>
    <t>01-09-2019</t>
  </si>
  <si>
    <t xml:space="preserve">MOHAN LODHI </t>
  </si>
  <si>
    <t xml:space="preserve">RAVITA LODHI </t>
  </si>
  <si>
    <t>25-12-2018</t>
  </si>
  <si>
    <t xml:space="preserve">ARAV KUMHAR </t>
  </si>
  <si>
    <t xml:space="preserve">RAJESH KUMHAR </t>
  </si>
  <si>
    <t xml:space="preserve">NEHA KUMHAR </t>
  </si>
  <si>
    <t>06-03-2019</t>
  </si>
  <si>
    <t xml:space="preserve">DEEPAK KUKAR   </t>
  </si>
  <si>
    <t>RUCHIT CHOUDHARY</t>
  </si>
  <si>
    <t xml:space="preserve">SANJAY KUMAR CHOUDHARY </t>
  </si>
  <si>
    <t xml:space="preserve">PINKI CHOUDHARY </t>
  </si>
  <si>
    <t>16-06-2019</t>
  </si>
  <si>
    <t xml:space="preserve">SANSHKAR LODHI </t>
  </si>
  <si>
    <t xml:space="preserve">DUKHI LAL LODHI </t>
  </si>
  <si>
    <t>MAYA BAI LODHI</t>
  </si>
  <si>
    <t xml:space="preserve">ADITYA URMALIYA </t>
  </si>
  <si>
    <t xml:space="preserve">AKHILESH KUMAR URMALIYA </t>
  </si>
  <si>
    <t xml:space="preserve">JYOTI URMALIYA </t>
  </si>
  <si>
    <t>09-01-2019</t>
  </si>
  <si>
    <t xml:space="preserve">DEVANSH SINGH RAJPOOT </t>
  </si>
  <si>
    <t xml:space="preserve">ARJUN SINGH RAJPOOT </t>
  </si>
  <si>
    <t>09-08-2019</t>
  </si>
  <si>
    <t xml:space="preserve">SHANKAR LODHI </t>
  </si>
  <si>
    <t xml:space="preserve">UKG </t>
  </si>
  <si>
    <t xml:space="preserve">RAMSUJAN SEN </t>
  </si>
  <si>
    <t xml:space="preserve">ROSHNI SEN </t>
  </si>
  <si>
    <t xml:space="preserve">ANYA KUSHWAHA </t>
  </si>
  <si>
    <t>AASHISH KUSHWAHA</t>
  </si>
  <si>
    <t>08-04-2019</t>
  </si>
  <si>
    <t xml:space="preserve">SANTOSH MEHRA </t>
  </si>
  <si>
    <t xml:space="preserve">SANDHYA MEHRA </t>
  </si>
  <si>
    <t>22-02-2019</t>
  </si>
  <si>
    <t xml:space="preserve">ANIKA SEN </t>
  </si>
  <si>
    <t xml:space="preserve">AMRITA SEN </t>
  </si>
  <si>
    <t>10-05-2019</t>
  </si>
  <si>
    <t xml:space="preserve">ANUSHRI SONI </t>
  </si>
  <si>
    <t>22-03-2019</t>
  </si>
  <si>
    <t xml:space="preserve">ADHYA TIWARI </t>
  </si>
  <si>
    <t xml:space="preserve">AKANKSHA TIWARI </t>
  </si>
  <si>
    <t>DILEEP KUMAR  TIWARI</t>
  </si>
  <si>
    <t>21-12-2018</t>
  </si>
  <si>
    <t xml:space="preserve">GAYATRI SAHU </t>
  </si>
  <si>
    <t xml:space="preserve">ASHWANI SAHU </t>
  </si>
  <si>
    <t xml:space="preserve">MAYA SAHU </t>
  </si>
  <si>
    <t>04-03-2019</t>
  </si>
  <si>
    <t>19-12-2019</t>
  </si>
  <si>
    <t xml:space="preserve">RAHUL SEN </t>
  </si>
  <si>
    <t>21-10-2019</t>
  </si>
  <si>
    <t xml:space="preserve">KAJAL PATEL </t>
  </si>
  <si>
    <t xml:space="preserve">SHARMAN </t>
  </si>
  <si>
    <t>20-09-2019</t>
  </si>
  <si>
    <t xml:space="preserve">MAHAK PATEL </t>
  </si>
  <si>
    <t xml:space="preserve">MEENA LODHI </t>
  </si>
  <si>
    <t>25-07-2018</t>
  </si>
  <si>
    <t>NIYATI PYASI</t>
  </si>
  <si>
    <t xml:space="preserve">ANUSHUIYA PYASI </t>
  </si>
  <si>
    <t xml:space="preserve">BHAGWATI SHARAN PYASI </t>
  </si>
  <si>
    <t>19-12-2018</t>
  </si>
  <si>
    <t xml:space="preserve">PRAVYA PATEL </t>
  </si>
  <si>
    <t xml:space="preserve">RAM PRATAP  PATEL </t>
  </si>
  <si>
    <t xml:space="preserve">SARITA PATEL </t>
  </si>
  <si>
    <t>17-03-2020</t>
  </si>
  <si>
    <t xml:space="preserve">SHIVANGI BARMAN </t>
  </si>
  <si>
    <t xml:space="preserve">SHRASHTI PATEL </t>
  </si>
  <si>
    <t xml:space="preserve">RAM KUMAR </t>
  </si>
  <si>
    <t>18-03-2020</t>
  </si>
  <si>
    <t xml:space="preserve">SADHVI YADAV </t>
  </si>
  <si>
    <t xml:space="preserve">JANKI YADAV </t>
  </si>
  <si>
    <t>04-12-2019</t>
  </si>
  <si>
    <t xml:space="preserve">SUNAKSHI PATEL </t>
  </si>
  <si>
    <t xml:space="preserve">SHREYANSHI VISHWAKARMA </t>
  </si>
  <si>
    <t xml:space="preserve">KULDEEP VISHWAKARMA </t>
  </si>
  <si>
    <t xml:space="preserve">JYOTI VISHWAKARMA </t>
  </si>
  <si>
    <t>24-08-2019</t>
  </si>
  <si>
    <t xml:space="preserve">RASHI YADAV </t>
  </si>
  <si>
    <t xml:space="preserve">PARIDHI KACHHI </t>
  </si>
  <si>
    <t xml:space="preserve">ANANT KUMAR KACHHI </t>
  </si>
  <si>
    <t xml:space="preserve">GEETA BAI KACHHI </t>
  </si>
  <si>
    <t xml:space="preserve">NITIKA KUMARI KALAR </t>
  </si>
  <si>
    <t xml:space="preserve">POORAN LAL KALAR </t>
  </si>
  <si>
    <t xml:space="preserve">RANJANA BAI KALAR </t>
  </si>
  <si>
    <t>19-03-2019</t>
  </si>
  <si>
    <t xml:space="preserve">MOHNI BARMAN </t>
  </si>
  <si>
    <t xml:space="preserve">ARCHANA BARMAN </t>
  </si>
  <si>
    <t xml:space="preserve">ABHI MEHRA </t>
  </si>
  <si>
    <t xml:space="preserve">RAGINI MEHRA </t>
  </si>
  <si>
    <t>13-08-2019</t>
  </si>
  <si>
    <t>16-12-2019</t>
  </si>
  <si>
    <t xml:space="preserve">ADARSH RAJPOOT </t>
  </si>
  <si>
    <t xml:space="preserve">SANJAY RAJPOOT </t>
  </si>
  <si>
    <t xml:space="preserve">ARYAN PATEL </t>
  </si>
  <si>
    <t>18-11-2019</t>
  </si>
  <si>
    <t xml:space="preserve">AYUSH KUMAR PATEL  </t>
  </si>
  <si>
    <t>14-04-2019</t>
  </si>
  <si>
    <t xml:space="preserve">DEVYAN THAKUR </t>
  </si>
  <si>
    <t xml:space="preserve">DEVI SINGH THAKUR </t>
  </si>
  <si>
    <t xml:space="preserve">MANISHA THAKUR </t>
  </si>
  <si>
    <t>17-06-2019</t>
  </si>
  <si>
    <t xml:space="preserve">DIVYANSH KUSHWAHA </t>
  </si>
  <si>
    <t xml:space="preserve">VISHNU KUSHWAHA </t>
  </si>
  <si>
    <t>06-12-2019</t>
  </si>
  <si>
    <t xml:space="preserve">RAJESH NAMDEV </t>
  </si>
  <si>
    <t xml:space="preserve">KARTIK SAHU </t>
  </si>
  <si>
    <t xml:space="preserve">RUKMANI SAHU </t>
  </si>
  <si>
    <t>17-07-2019</t>
  </si>
  <si>
    <t xml:space="preserve">KIRAN LODHI </t>
  </si>
  <si>
    <t>29-05-2019</t>
  </si>
  <si>
    <t xml:space="preserve">SATYABHAN PATEL </t>
  </si>
  <si>
    <t>21-09-2019</t>
  </si>
  <si>
    <t xml:space="preserve">SAMARTH LODHI </t>
  </si>
  <si>
    <t xml:space="preserve">AMBIKA PRASAD LODHI </t>
  </si>
  <si>
    <t xml:space="preserve">VINEETA LODHI </t>
  </si>
  <si>
    <t xml:space="preserve">RISHABH BARMAN </t>
  </si>
  <si>
    <t xml:space="preserve">RAINKA BARMAN </t>
  </si>
  <si>
    <t xml:space="preserve">RASHMI PATEL </t>
  </si>
  <si>
    <t xml:space="preserve">SHIVANK SINGH THAKUR </t>
  </si>
  <si>
    <t xml:space="preserve">SAVITRI BAI </t>
  </si>
  <si>
    <t xml:space="preserve">VIVEK SINGH </t>
  </si>
  <si>
    <t>11-12-2018</t>
  </si>
  <si>
    <t xml:space="preserve">ASHUTOSH YADAV </t>
  </si>
  <si>
    <t>17-01-2019</t>
  </si>
  <si>
    <t xml:space="preserve">ANURAG KUSHWAHA </t>
  </si>
  <si>
    <t xml:space="preserve">SAMAR YADAV </t>
  </si>
  <si>
    <t xml:space="preserve">SUNIL YADAV </t>
  </si>
  <si>
    <t xml:space="preserve">SADHNA YADAV </t>
  </si>
  <si>
    <t>08-08-2019</t>
  </si>
  <si>
    <t xml:space="preserve">AJEET KUMAR </t>
  </si>
  <si>
    <t xml:space="preserve">SANGITA RAJAK </t>
  </si>
  <si>
    <t>08-03-2019</t>
  </si>
  <si>
    <t xml:space="preserve">ARYAN KUSHWAHA </t>
  </si>
  <si>
    <t>04-02-2019</t>
  </si>
  <si>
    <t xml:space="preserve">KRISHNA YADAV </t>
  </si>
  <si>
    <t xml:space="preserve">HARILAL </t>
  </si>
  <si>
    <t xml:space="preserve">UPASANA YADAV </t>
  </si>
  <si>
    <t>12-09-2019</t>
  </si>
  <si>
    <t xml:space="preserve">AARO YADAV </t>
  </si>
  <si>
    <t xml:space="preserve">ASHISH YADAV </t>
  </si>
  <si>
    <t xml:space="preserve">ANITA YADAV </t>
  </si>
  <si>
    <t>15-03-2019</t>
  </si>
  <si>
    <t xml:space="preserve">ATHARV DUBEY </t>
  </si>
  <si>
    <t xml:space="preserve">DHARNI DUBEY </t>
  </si>
  <si>
    <t>07-01-2019</t>
  </si>
  <si>
    <t xml:space="preserve">SUKHDEV PRASAD   </t>
  </si>
  <si>
    <t xml:space="preserve">AJENDRA KUMAR  BARMAN </t>
  </si>
  <si>
    <t xml:space="preserve">TWINKLE PATEL </t>
  </si>
  <si>
    <t xml:space="preserve">ARADHYA LODHI </t>
  </si>
  <si>
    <t xml:space="preserve">RAMHIT PATEL </t>
  </si>
  <si>
    <t>13-11-2016</t>
  </si>
  <si>
    <t xml:space="preserve">ANIKA NAYAK </t>
  </si>
  <si>
    <t xml:space="preserve">RAHUL NAYAK </t>
  </si>
  <si>
    <t>15-10-2017</t>
  </si>
  <si>
    <t xml:space="preserve">HARSHITA PATKAR </t>
  </si>
  <si>
    <t>SHESH NARAYAN PATKAR</t>
  </si>
  <si>
    <t xml:space="preserve">UMAWATI PATKAR </t>
  </si>
  <si>
    <t>02-05-2017</t>
  </si>
  <si>
    <t xml:space="preserve">JAYA RAJAK </t>
  </si>
  <si>
    <t>04-02-2018</t>
  </si>
  <si>
    <t xml:space="preserve">LOKAVYA PATEL </t>
  </si>
  <si>
    <t xml:space="preserve">BIRENDRA SINGH PATEL </t>
  </si>
  <si>
    <t>26-04-2017</t>
  </si>
  <si>
    <t xml:space="preserve">MANYA RAJPOOT </t>
  </si>
  <si>
    <t>15-01-2017</t>
  </si>
  <si>
    <t xml:space="preserve">NENSI KACHHI </t>
  </si>
  <si>
    <t xml:space="preserve">LAXMI KACHHI </t>
  </si>
  <si>
    <t>07-09-2017</t>
  </si>
  <si>
    <t xml:space="preserve">OJASWI SHRIVAS </t>
  </si>
  <si>
    <t xml:space="preserve">PARMANAND SHRIVAS </t>
  </si>
  <si>
    <t>01-12-2017</t>
  </si>
  <si>
    <t xml:space="preserve">PRINJAL PATEL </t>
  </si>
  <si>
    <t xml:space="preserve">JAY KISHOR PATEL </t>
  </si>
  <si>
    <t>06-02-2017</t>
  </si>
  <si>
    <t xml:space="preserve">PALLAVI YADAV </t>
  </si>
  <si>
    <t xml:space="preserve">SANJAY KUMAR YADAV </t>
  </si>
  <si>
    <t xml:space="preserve">SAPNA YADAV </t>
  </si>
  <si>
    <t>15-06-2017</t>
  </si>
  <si>
    <t xml:space="preserve">PRATIKSHA VISHWAKARMA </t>
  </si>
  <si>
    <t>17-05-2017</t>
  </si>
  <si>
    <t xml:space="preserve">RADHIKA JAISWAL </t>
  </si>
  <si>
    <t>25-08-2017</t>
  </si>
  <si>
    <t xml:space="preserve">ROYAL PATEL </t>
  </si>
  <si>
    <t xml:space="preserve">BABOO LAL PATEL </t>
  </si>
  <si>
    <t xml:space="preserve">ANITA PATEL </t>
  </si>
  <si>
    <t>07-11-2017</t>
  </si>
  <si>
    <t xml:space="preserve">SANSKRATI SHRIVAS </t>
  </si>
  <si>
    <t xml:space="preserve">SANDEEP SHRIVAS </t>
  </si>
  <si>
    <t xml:space="preserve">MEENAKSHI SHRIVAS </t>
  </si>
  <si>
    <t>07-12-2016</t>
  </si>
  <si>
    <t xml:space="preserve">SHIVANI PATEL </t>
  </si>
  <si>
    <t>09-02-2017</t>
  </si>
  <si>
    <t xml:space="preserve">SHREYANSHI YADAV </t>
  </si>
  <si>
    <t xml:space="preserve">RAKESH KUMAR YADAV </t>
  </si>
  <si>
    <t xml:space="preserve">LATA YADAV </t>
  </si>
  <si>
    <t xml:space="preserve">SHIVANYA PATEL </t>
  </si>
  <si>
    <t xml:space="preserve">SHIVANGI PATEL </t>
  </si>
  <si>
    <t>18-04-2017</t>
  </si>
  <si>
    <t xml:space="preserve">SHREYA VISHWAKARMA </t>
  </si>
  <si>
    <t>02-02-2017</t>
  </si>
  <si>
    <t xml:space="preserve">SHRADDHA LODHI </t>
  </si>
  <si>
    <t xml:space="preserve">SONU LODHI </t>
  </si>
  <si>
    <t xml:space="preserve">SAROJ LODHI </t>
  </si>
  <si>
    <t>27-01-2017</t>
  </si>
  <si>
    <t xml:space="preserve">TRISHA HALDKAR </t>
  </si>
  <si>
    <t>25-07-2017</t>
  </si>
  <si>
    <t xml:space="preserve">VAISHNAVI KUMHAR </t>
  </si>
  <si>
    <t>24-03-2017</t>
  </si>
  <si>
    <t xml:space="preserve">VEDIKA KUSHWAHA </t>
  </si>
  <si>
    <t>03-10-2017</t>
  </si>
  <si>
    <t xml:space="preserve">YUTIKA KACHHI </t>
  </si>
  <si>
    <t xml:space="preserve">SANDHYA BAI KACHHI </t>
  </si>
  <si>
    <t xml:space="preserve">AYUSH PATEL </t>
  </si>
  <si>
    <t>22-03-2017</t>
  </si>
  <si>
    <t xml:space="preserve">DIVYANSH CHAKRAWARTI </t>
  </si>
  <si>
    <t xml:space="preserve">ANIL CHAKRAWARTI </t>
  </si>
  <si>
    <t xml:space="preserve">ARTI CHAKRAWATI </t>
  </si>
  <si>
    <t>11-09-2016</t>
  </si>
  <si>
    <t xml:space="preserve">DEV DUBEY </t>
  </si>
  <si>
    <t xml:space="preserve">TATSAT DUBEY </t>
  </si>
  <si>
    <t>07-01-2017</t>
  </si>
  <si>
    <t xml:space="preserve">PRASHANT SAHU </t>
  </si>
  <si>
    <t xml:space="preserve">PRITAM LAL TELI </t>
  </si>
  <si>
    <t>24-04-2017</t>
  </si>
  <si>
    <t xml:space="preserve">PRATEEK RAJPOOT </t>
  </si>
  <si>
    <t xml:space="preserve">RAVENDRA SINGH RAJPOOT </t>
  </si>
  <si>
    <t xml:space="preserve">MADHU RAJPOOT </t>
  </si>
  <si>
    <t>16-03-2017</t>
  </si>
  <si>
    <t xml:space="preserve">RISHIRAJ YADAV </t>
  </si>
  <si>
    <t>06-08-2017</t>
  </si>
  <si>
    <t xml:space="preserve">SHIVAM LODHI </t>
  </si>
  <si>
    <t xml:space="preserve">VINOD SINGH LODHI </t>
  </si>
  <si>
    <t>19-03-2018</t>
  </si>
  <si>
    <t xml:space="preserve">NISHA JAISWAL </t>
  </si>
  <si>
    <t>01-10-2016</t>
  </si>
  <si>
    <t xml:space="preserve">VED PATEL </t>
  </si>
  <si>
    <t xml:space="preserve">GHANSHYAM DAS </t>
  </si>
  <si>
    <t>19-09-2016</t>
  </si>
  <si>
    <t xml:space="preserve">YUG YADAV </t>
  </si>
  <si>
    <t xml:space="preserve">HARI LAL YADAV </t>
  </si>
  <si>
    <t xml:space="preserve">UPASNA YADAV </t>
  </si>
  <si>
    <t>13-09-2017</t>
  </si>
  <si>
    <t xml:space="preserve">BADRI PATEL </t>
  </si>
  <si>
    <t xml:space="preserve">SADHNA PATEL </t>
  </si>
  <si>
    <t>30-07-2017</t>
  </si>
  <si>
    <t xml:space="preserve">ARADHYA SEN </t>
  </si>
  <si>
    <t xml:space="preserve">NEERAJ SEN </t>
  </si>
  <si>
    <t xml:space="preserve">NEHA SEN </t>
  </si>
  <si>
    <t>04-12-2017</t>
  </si>
  <si>
    <t xml:space="preserve">MANYA VISHWAKARMA </t>
  </si>
  <si>
    <t xml:space="preserve">PUSHPLATA VISHWAKARMA </t>
  </si>
  <si>
    <t>26-04-2018</t>
  </si>
  <si>
    <t xml:space="preserve">NAMRATA PATEL </t>
  </si>
  <si>
    <t>DEVRAM PATEL</t>
  </si>
  <si>
    <t>26-09-2017</t>
  </si>
  <si>
    <t xml:space="preserve">SHIVANGI RAJAK </t>
  </si>
  <si>
    <t xml:space="preserve">MITHUN KUMAR RAJAK </t>
  </si>
  <si>
    <t xml:space="preserve">RITU RAJAK </t>
  </si>
  <si>
    <t>07-03-2017</t>
  </si>
  <si>
    <t xml:space="preserve">SAKSHI YADAV </t>
  </si>
  <si>
    <t xml:space="preserve">BEDILAL YADAV </t>
  </si>
  <si>
    <t>JYOTI YADAV</t>
  </si>
  <si>
    <t>15-07-2018</t>
  </si>
  <si>
    <t xml:space="preserve">SRASHTI KUSHWAHA </t>
  </si>
  <si>
    <t xml:space="preserve">MANOJ KUSHWAHA </t>
  </si>
  <si>
    <t xml:space="preserve">DEEPA KUSHWAHA </t>
  </si>
  <si>
    <t>23-11-2017</t>
  </si>
  <si>
    <t xml:space="preserve">TEJASVI MEHRA </t>
  </si>
  <si>
    <t xml:space="preserve">SONA MEHRA </t>
  </si>
  <si>
    <t xml:space="preserve">VAISHNAVI THAKUR </t>
  </si>
  <si>
    <t xml:space="preserve">KRISHNA KUMAR THAKUR </t>
  </si>
  <si>
    <t xml:space="preserve">ISHWAR BAI THAKUR </t>
  </si>
  <si>
    <t>02-03-2017</t>
  </si>
  <si>
    <t xml:space="preserve">VAISHNAVI KUSHWAHA </t>
  </si>
  <si>
    <t xml:space="preserve">SHEELA KUSHWAHA </t>
  </si>
  <si>
    <t xml:space="preserve">VAISHNAVI JAISWAL </t>
  </si>
  <si>
    <t xml:space="preserve">NEERAJ JAISWAL </t>
  </si>
  <si>
    <t xml:space="preserve">CHANDANI JAISWAL </t>
  </si>
  <si>
    <t>30-08-2017</t>
  </si>
  <si>
    <t xml:space="preserve">SUSHEEL KUMAR JAISWAL </t>
  </si>
  <si>
    <t xml:space="preserve">VANSHIKA PATEL </t>
  </si>
  <si>
    <t>SANAD KUMAR PATEL</t>
  </si>
  <si>
    <t xml:space="preserve">USHA PATEL </t>
  </si>
  <si>
    <t>09-09-2017</t>
  </si>
  <si>
    <t xml:space="preserve">ARMAN KUMAR RAJAK </t>
  </si>
  <si>
    <t>22-05-2015</t>
  </si>
  <si>
    <t xml:space="preserve">ABHAY PATEL </t>
  </si>
  <si>
    <t xml:space="preserve">SILOCHNA PATEL </t>
  </si>
  <si>
    <t>11-07-2017</t>
  </si>
  <si>
    <t xml:space="preserve">ARPIT SAHU </t>
  </si>
  <si>
    <t xml:space="preserve">MUNSHI SAHU </t>
  </si>
  <si>
    <t xml:space="preserve">PINKI SAHU </t>
  </si>
  <si>
    <t>09-10-2017</t>
  </si>
  <si>
    <t xml:space="preserve">AYANSH LODHI </t>
  </si>
  <si>
    <t xml:space="preserve">VINOD PATEL </t>
  </si>
  <si>
    <t xml:space="preserve">KRANTI PATEL </t>
  </si>
  <si>
    <t>24-03-2015</t>
  </si>
  <si>
    <t>05-06-2017</t>
  </si>
  <si>
    <t xml:space="preserve">ANIKET PATEL </t>
  </si>
  <si>
    <t xml:space="preserve">ANIL PATEL </t>
  </si>
  <si>
    <t xml:space="preserve">ANMOL PATEL </t>
  </si>
  <si>
    <t xml:space="preserve">ABHI SONI </t>
  </si>
  <si>
    <t xml:space="preserve">ASHISH KUMAR SONI </t>
  </si>
  <si>
    <t xml:space="preserve">PRIYANKA SONI </t>
  </si>
  <si>
    <t>21-06-2017</t>
  </si>
  <si>
    <t xml:space="preserve">PRADEEP KUMAR PATEL </t>
  </si>
  <si>
    <t>12-09-2016</t>
  </si>
  <si>
    <t xml:space="preserve">AABHAS KACHHI </t>
  </si>
  <si>
    <t xml:space="preserve">NAND LAL   </t>
  </si>
  <si>
    <t xml:space="preserve">POOJA KACHHI </t>
  </si>
  <si>
    <t>04-01-2018</t>
  </si>
  <si>
    <t xml:space="preserve">DEEPANSHU SEN </t>
  </si>
  <si>
    <t>26-12-2017</t>
  </si>
  <si>
    <t>DURGESH KUSHWAHA</t>
  </si>
  <si>
    <t xml:space="preserve">MITHILESH KUSHWAHA </t>
  </si>
  <si>
    <t>MAMTA KUSHWAHA</t>
  </si>
  <si>
    <t>21-09-2017</t>
  </si>
  <si>
    <t>14-10-2016</t>
  </si>
  <si>
    <t xml:space="preserve">KARTIK MEHRA </t>
  </si>
  <si>
    <t xml:space="preserve">SANDEEP KUMAR MEHRA </t>
  </si>
  <si>
    <t xml:space="preserve">POOJA MEHRA </t>
  </si>
  <si>
    <t>22-04-2017</t>
  </si>
  <si>
    <t xml:space="preserve">PRATHVI RAJ RAJPOOT </t>
  </si>
  <si>
    <t xml:space="preserve">KHILAVAN RAJPOOT </t>
  </si>
  <si>
    <t xml:space="preserve">VARSHA RAJPOOT </t>
  </si>
  <si>
    <t>27-01-2018</t>
  </si>
  <si>
    <t xml:space="preserve">PRAVEEN KUMAR BARMAN </t>
  </si>
  <si>
    <t xml:space="preserve">GOVIND PRASAD BARMAN </t>
  </si>
  <si>
    <t xml:space="preserve">PREM KUMARI BARMAN </t>
  </si>
  <si>
    <t>14-11-2017</t>
  </si>
  <si>
    <t xml:space="preserve">PRINCE PATEL </t>
  </si>
  <si>
    <t xml:space="preserve">PAWAN KUMAR  </t>
  </si>
  <si>
    <t xml:space="preserve">ROUNAK SAHU </t>
  </si>
  <si>
    <t xml:space="preserve">KAMLESH SAHU </t>
  </si>
  <si>
    <t xml:space="preserve">POORNIMA SAHU </t>
  </si>
  <si>
    <t xml:space="preserve">RASHABH DUBEY </t>
  </si>
  <si>
    <t xml:space="preserve">NISHA DUBEY </t>
  </si>
  <si>
    <t>26-08-2017</t>
  </si>
  <si>
    <t xml:space="preserve">SURYANSH SINGH RAJPOOT </t>
  </si>
  <si>
    <t>09-08-2017</t>
  </si>
  <si>
    <t xml:space="preserve">2ND </t>
  </si>
  <si>
    <t xml:space="preserve">SIDHHU KACHHI </t>
  </si>
  <si>
    <t xml:space="preserve">SITU BAI </t>
  </si>
  <si>
    <t>LKG</t>
  </si>
  <si>
    <t>NIKET VISHWAKARMA</t>
  </si>
  <si>
    <t xml:space="preserve">KAVITA VISHWAKARMA </t>
  </si>
  <si>
    <t>21-06-2018</t>
  </si>
  <si>
    <t xml:space="preserve">RISHI PATEL </t>
  </si>
  <si>
    <t xml:space="preserve">MANOJ KUMAR </t>
  </si>
  <si>
    <t xml:space="preserve">SATISH KUMAR PATEL </t>
  </si>
  <si>
    <t xml:space="preserve">VIPIN   </t>
  </si>
  <si>
    <t>ANVAR KHAN</t>
  </si>
  <si>
    <t>RAJKUMAR RAJAK</t>
  </si>
  <si>
    <t xml:space="preserve">SANTOSH KUMAR SAHU </t>
  </si>
  <si>
    <t>SUDHA BAI  PATEL</t>
  </si>
  <si>
    <t xml:space="preserve">SHIVANSHU KUMAR  KACHHI </t>
  </si>
  <si>
    <t>SANGEETA  KACHHI</t>
  </si>
  <si>
    <t xml:space="preserve">BALRAM PRASAD SEN </t>
  </si>
  <si>
    <t>SHYAM SUNDER SONI</t>
  </si>
  <si>
    <t xml:space="preserve">AARVI MEHRA </t>
  </si>
  <si>
    <t>AJAY KUMAR YADAV</t>
  </si>
  <si>
    <t xml:space="preserve">ARUN KUMAR YADAV </t>
  </si>
  <si>
    <t xml:space="preserve">RAJESH KUMAR  PATEL </t>
  </si>
  <si>
    <t xml:space="preserve">GANGOTRI BAI PATEL </t>
  </si>
  <si>
    <t xml:space="preserve">ANIL KUMAR  KUSHWAHA </t>
  </si>
  <si>
    <t xml:space="preserve">RAGHUNATH PRASAD  YADAV  </t>
  </si>
  <si>
    <t xml:space="preserve">JITENDRA KUMAR PATEL </t>
  </si>
  <si>
    <t xml:space="preserve"> </t>
  </si>
  <si>
    <t xml:space="preserve">KRISHNA KUMAR  </t>
  </si>
  <si>
    <t xml:space="preserve">SWETA KUSHWAHA </t>
  </si>
  <si>
    <t xml:space="preserve"> 04-10-2016</t>
  </si>
  <si>
    <t xml:space="preserve">SANJU YADAV </t>
  </si>
  <si>
    <t xml:space="preserve">NISHA YADAV </t>
  </si>
  <si>
    <t>12-05-2016</t>
  </si>
  <si>
    <t xml:space="preserve">AYRA MEHWISH </t>
  </si>
  <si>
    <t>HUSSAIN KHAN</t>
  </si>
  <si>
    <t>SHAMA TABASSUM</t>
  </si>
  <si>
    <t>07-12-2017</t>
  </si>
  <si>
    <t>gk</t>
  </si>
  <si>
    <t xml:space="preserve">
g.k.
 </t>
  </si>
  <si>
    <t xml:space="preserve">BHUPENDRA YADAV </t>
  </si>
  <si>
    <t xml:space="preserve">NANDANI </t>
  </si>
  <si>
    <t>03-08-2020</t>
  </si>
  <si>
    <t xml:space="preserve">SANAYA KUSHWAHA </t>
  </si>
  <si>
    <t xml:space="preserve">MUKESH KUSHWAHA </t>
  </si>
  <si>
    <t xml:space="preserve">RASHMI KUSHWAHA </t>
  </si>
  <si>
    <t>18-01-2021</t>
  </si>
  <si>
    <t>1762</t>
  </si>
  <si>
    <t>SHIVANSH PAROHA</t>
  </si>
  <si>
    <t>ANIL KUMAR PARAOHA</t>
  </si>
  <si>
    <t>RAGINI PAROUHA</t>
  </si>
  <si>
    <t>19-07-2021</t>
  </si>
  <si>
    <t>316953425</t>
  </si>
  <si>
    <t>1688</t>
  </si>
  <si>
    <t xml:space="preserve">SIDDHI RAJAK </t>
  </si>
  <si>
    <t xml:space="preserve">VINOD RAJAK </t>
  </si>
  <si>
    <t>MANORAMA RAJAK</t>
  </si>
  <si>
    <t>319003959</t>
  </si>
  <si>
    <t>1689</t>
  </si>
  <si>
    <t>RISHABH SINGH GOND</t>
  </si>
  <si>
    <t>DHANRMENDRA SINGH</t>
  </si>
  <si>
    <t xml:space="preserve">BUDDHI BAI </t>
  </si>
  <si>
    <t>27-04-2021</t>
  </si>
  <si>
    <t>27-07-2021</t>
  </si>
  <si>
    <t>319150005</t>
  </si>
  <si>
    <t>1690</t>
  </si>
  <si>
    <t xml:space="preserve">ANSHIKA SAHU </t>
  </si>
  <si>
    <t>22-07-2020</t>
  </si>
  <si>
    <t xml:space="preserve">RAJNEE SAHU </t>
  </si>
  <si>
    <t>311979255</t>
  </si>
  <si>
    <t>1691</t>
  </si>
  <si>
    <t xml:space="preserve">VANSH DAHIYA </t>
  </si>
  <si>
    <t xml:space="preserve">LAL CHAND DAHIYA </t>
  </si>
  <si>
    <t xml:space="preserve">RAJNI DAHIYA </t>
  </si>
  <si>
    <t>04-09-2020</t>
  </si>
  <si>
    <t>1692</t>
  </si>
  <si>
    <t xml:space="preserve">ARADHYA DAHIYA </t>
  </si>
  <si>
    <t>28-11-2020</t>
  </si>
  <si>
    <t>315393084</t>
  </si>
  <si>
    <t>1693</t>
  </si>
  <si>
    <t xml:space="preserve">SWEKSHA DEEPANKAR </t>
  </si>
  <si>
    <t xml:space="preserve">AJAY DEEPANKAR </t>
  </si>
  <si>
    <t xml:space="preserve">SANGEETA DEEPANKAR </t>
  </si>
  <si>
    <t>23-11-2020</t>
  </si>
  <si>
    <t>313696167</t>
  </si>
  <si>
    <t>1694</t>
  </si>
  <si>
    <t xml:space="preserve">SHUJAL PATEL </t>
  </si>
  <si>
    <t xml:space="preserve">MAYA PATEL </t>
  </si>
  <si>
    <t>21-10-2020</t>
  </si>
  <si>
    <t>322014181</t>
  </si>
  <si>
    <t>1695</t>
  </si>
  <si>
    <t xml:space="preserve">PRIYANSHU RAJAK </t>
  </si>
  <si>
    <t xml:space="preserve">SATEESH RAJAK </t>
  </si>
  <si>
    <t>25-05-2021</t>
  </si>
  <si>
    <t>316736439</t>
  </si>
  <si>
    <t>1696</t>
  </si>
  <si>
    <t xml:space="preserve">ANIKA RAJAK </t>
  </si>
  <si>
    <t>31-01-2021</t>
  </si>
  <si>
    <t>315419536</t>
  </si>
  <si>
    <t>1697</t>
  </si>
  <si>
    <t xml:space="preserve">SANJAYDATT KOL </t>
  </si>
  <si>
    <t xml:space="preserve">ARADHNA KOL </t>
  </si>
  <si>
    <t>25-05-2020</t>
  </si>
  <si>
    <t>317564888</t>
  </si>
  <si>
    <t>1698</t>
  </si>
  <si>
    <t xml:space="preserve">ARYAN SEN </t>
  </si>
  <si>
    <t>20-09-2020</t>
  </si>
  <si>
    <t>316123797</t>
  </si>
  <si>
    <t>1699</t>
  </si>
  <si>
    <t xml:space="preserve">PRINS LODHI </t>
  </si>
  <si>
    <t>316953831</t>
  </si>
  <si>
    <t>1700</t>
  </si>
  <si>
    <t xml:space="preserve">PARI LODHI </t>
  </si>
  <si>
    <t>ANUJ LODHI</t>
  </si>
  <si>
    <t xml:space="preserve">SANGITA LODHI </t>
  </si>
  <si>
    <t>06-08-2020</t>
  </si>
  <si>
    <t>313729549</t>
  </si>
  <si>
    <t>1701</t>
  </si>
  <si>
    <t>MEENA LODHI</t>
  </si>
  <si>
    <t>30-01-2021</t>
  </si>
  <si>
    <t>317881570</t>
  </si>
  <si>
    <t>1702</t>
  </si>
  <si>
    <t xml:space="preserve">ABHI KUMAR PATEL </t>
  </si>
  <si>
    <t xml:space="preserve">ANUP KUMAR </t>
  </si>
  <si>
    <t>15-05-2021</t>
  </si>
  <si>
    <t>318299977</t>
  </si>
  <si>
    <t>1703</t>
  </si>
  <si>
    <t xml:space="preserve">SANSKRITI MEHRA </t>
  </si>
  <si>
    <t>27-12-2020</t>
  </si>
  <si>
    <t>311947729</t>
  </si>
  <si>
    <t>1704</t>
  </si>
  <si>
    <t xml:space="preserve">KAVYA BARMAN </t>
  </si>
  <si>
    <t xml:space="preserve">RAHUL KUMAR BARMAN </t>
  </si>
  <si>
    <t xml:space="preserve">ARTI BARMAN </t>
  </si>
  <si>
    <t>01-10-2020</t>
  </si>
  <si>
    <t>313746047</t>
  </si>
  <si>
    <t>1705</t>
  </si>
  <si>
    <t>SHAILI GOUND</t>
  </si>
  <si>
    <t>BRAJ MANGAL SINGH GOUND</t>
  </si>
  <si>
    <t>PRIYANKA GOUND</t>
  </si>
  <si>
    <t>17-10-2020</t>
  </si>
  <si>
    <t>316298202</t>
  </si>
  <si>
    <t>1678</t>
  </si>
  <si>
    <t xml:space="preserve">TANISH LODHI </t>
  </si>
  <si>
    <t xml:space="preserve">AJAY KUMAR LODHI </t>
  </si>
  <si>
    <t>07-10-2020</t>
  </si>
  <si>
    <t>313293565</t>
  </si>
  <si>
    <t>1679</t>
  </si>
  <si>
    <t xml:space="preserve">SHAILJA KUSHWAHA </t>
  </si>
  <si>
    <t xml:space="preserve">GOLU KUSHWAHA </t>
  </si>
  <si>
    <t>NIKITA KUSHWAHA</t>
  </si>
  <si>
    <t>313812091</t>
  </si>
  <si>
    <t>1681</t>
  </si>
  <si>
    <t>SHIVANYA KUSHWAHA</t>
  </si>
  <si>
    <t>VED PRAKASH KUSHWAHA</t>
  </si>
  <si>
    <t>SAPNA BAI KUSHWAHA</t>
  </si>
  <si>
    <t>314021160</t>
  </si>
  <si>
    <t>1685</t>
  </si>
  <si>
    <t xml:space="preserve">ANSHIKA KACHHI </t>
  </si>
  <si>
    <t xml:space="preserve">ANJANA KUMARI HALDKAR </t>
  </si>
  <si>
    <t>17-12-2020</t>
  </si>
  <si>
    <t>321437162</t>
  </si>
  <si>
    <t>1676</t>
  </si>
  <si>
    <t>KRITI SHRIVAS</t>
  </si>
  <si>
    <t xml:space="preserve">NILESH KUMAR </t>
  </si>
  <si>
    <t>PRATIBHA SHRIVAS</t>
  </si>
  <si>
    <t>21-03-2021</t>
  </si>
  <si>
    <t>313796265</t>
  </si>
  <si>
    <t>1708</t>
  </si>
  <si>
    <t>VARSHIT KUMAR SAHU</t>
  </si>
  <si>
    <t xml:space="preserve">VIJAY SAHU </t>
  </si>
  <si>
    <t xml:space="preserve">SOMVATI SAHU </t>
  </si>
  <si>
    <t>16-02-2021</t>
  </si>
  <si>
    <t>320526118</t>
  </si>
  <si>
    <t>1709</t>
  </si>
  <si>
    <t xml:space="preserve">ANSH KUSHWAHA </t>
  </si>
  <si>
    <t>SANDEEP KUSHWAHA</t>
  </si>
  <si>
    <t>04-12-2020</t>
  </si>
  <si>
    <t>315296460</t>
  </si>
  <si>
    <t>1710</t>
  </si>
  <si>
    <t xml:space="preserve">SURBHI YADAV </t>
  </si>
  <si>
    <t xml:space="preserve">AMIT KUMAR </t>
  </si>
  <si>
    <t xml:space="preserve">RANO YADAV </t>
  </si>
  <si>
    <t>03-05-2021</t>
  </si>
  <si>
    <t>314368678</t>
  </si>
  <si>
    <t>1711</t>
  </si>
  <si>
    <t xml:space="preserve">NAMAN JAISWAL </t>
  </si>
  <si>
    <t xml:space="preserve">SUNEEL JAISWAL </t>
  </si>
  <si>
    <t xml:space="preserve">MADHURI JAISWAL </t>
  </si>
  <si>
    <t>316796973</t>
  </si>
  <si>
    <t>1712</t>
  </si>
  <si>
    <t xml:space="preserve">UDAY RAJ SINGH </t>
  </si>
  <si>
    <t xml:space="preserve">KHILAN SINGH </t>
  </si>
  <si>
    <t>VARSHA SINGH</t>
  </si>
  <si>
    <t>17-07-2021</t>
  </si>
  <si>
    <t>316735660</t>
  </si>
  <si>
    <t>1714</t>
  </si>
  <si>
    <t xml:space="preserve">MAYANK BARMAN </t>
  </si>
  <si>
    <t>23-01-2021</t>
  </si>
  <si>
    <t>315036352</t>
  </si>
  <si>
    <t>1715</t>
  </si>
  <si>
    <t xml:space="preserve">ROHIT YADAV </t>
  </si>
  <si>
    <t xml:space="preserve">RAJMANI YADAV </t>
  </si>
  <si>
    <t>06-01-2021</t>
  </si>
  <si>
    <t>1716</t>
  </si>
  <si>
    <t xml:space="preserve">ARMAN RAJAK </t>
  </si>
  <si>
    <t>11-02-2021</t>
  </si>
  <si>
    <t>319919212</t>
  </si>
  <si>
    <t>1718</t>
  </si>
  <si>
    <t xml:space="preserve">AYUSH SEN </t>
  </si>
  <si>
    <t xml:space="preserve">SOURBH SEN </t>
  </si>
  <si>
    <t>25-03-2021</t>
  </si>
  <si>
    <t>318860492</t>
  </si>
  <si>
    <t>1720</t>
  </si>
  <si>
    <t xml:space="preserve">MANSI JAISWAL </t>
  </si>
  <si>
    <t xml:space="preserve">ANAND JAISWAL </t>
  </si>
  <si>
    <t>RAJNI JAISWAL</t>
  </si>
  <si>
    <t>12-03-2021</t>
  </si>
  <si>
    <t>317261077</t>
  </si>
  <si>
    <t>1721</t>
  </si>
  <si>
    <t>DEVIKA KUSHWAHA</t>
  </si>
  <si>
    <t>VIDHYA KACHHI</t>
  </si>
  <si>
    <t>09-12-2020</t>
  </si>
  <si>
    <t>317469472</t>
  </si>
  <si>
    <t>1722</t>
  </si>
  <si>
    <t>HARSHITA JAYASWAL</t>
  </si>
  <si>
    <t>HARIOM JAYASWAL</t>
  </si>
  <si>
    <t xml:space="preserve">POOJA   </t>
  </si>
  <si>
    <t>26-03-2021</t>
  </si>
  <si>
    <t>313795590</t>
  </si>
  <si>
    <t>1723</t>
  </si>
  <si>
    <t xml:space="preserve">ANURAG CHAKRAWARTI </t>
  </si>
  <si>
    <t>OMKAR</t>
  </si>
  <si>
    <t>LAXMI CHAKRAWARTI</t>
  </si>
  <si>
    <t>07-02-2021</t>
  </si>
  <si>
    <t>320840931</t>
  </si>
  <si>
    <t>1726</t>
  </si>
  <si>
    <t>SOUMYA MAHOBIYA</t>
  </si>
  <si>
    <t xml:space="preserve">SANJAY KUMAR MAHOBIYA </t>
  </si>
  <si>
    <t xml:space="preserve">HEMRAJ MAHOBIYA </t>
  </si>
  <si>
    <t>16-12-2020</t>
  </si>
  <si>
    <t>178745065</t>
  </si>
  <si>
    <t>1732</t>
  </si>
  <si>
    <t xml:space="preserve">PUNAM YADAV </t>
  </si>
  <si>
    <t xml:space="preserve">PRAMOD YADAV </t>
  </si>
  <si>
    <t xml:space="preserve">ANJALI YADAV </t>
  </si>
  <si>
    <t>29-12-2020</t>
  </si>
  <si>
    <t>313276034</t>
  </si>
  <si>
    <t>1745</t>
  </si>
  <si>
    <t xml:space="preserve">VEDEHI NAYAK </t>
  </si>
  <si>
    <t xml:space="preserve">JAY KUMAR NAYAK </t>
  </si>
  <si>
    <t xml:space="preserve">REETA DEVI NAYAK </t>
  </si>
  <si>
    <t>16-01-2021</t>
  </si>
  <si>
    <t>320526098</t>
  </si>
  <si>
    <t>1747</t>
  </si>
  <si>
    <t>YUVRAJ KUMHAR</t>
  </si>
  <si>
    <t>ARJUN PRASAD</t>
  </si>
  <si>
    <t>NEETU KUMHAR</t>
  </si>
  <si>
    <t>15-06-2021</t>
  </si>
  <si>
    <t>318772059</t>
  </si>
  <si>
    <t>1749</t>
  </si>
  <si>
    <t>AARYA PANDEY</t>
  </si>
  <si>
    <t xml:space="preserve">ASHOK KUMAR PANDEY </t>
  </si>
  <si>
    <t xml:space="preserve">MAYA PANDEY </t>
  </si>
  <si>
    <t>23-07-2021</t>
  </si>
  <si>
    <t>313696163</t>
  </si>
  <si>
    <t>1750</t>
  </si>
  <si>
    <t>PRAGYA PANDEY</t>
  </si>
  <si>
    <t>313696164</t>
  </si>
  <si>
    <t>1751</t>
  </si>
  <si>
    <t>SWASTIK KUCHBANDHIYA</t>
  </si>
  <si>
    <t>JOGENDRA</t>
  </si>
  <si>
    <t>RITU KUCHBANDHIYA</t>
  </si>
  <si>
    <t>16-09-2021</t>
  </si>
  <si>
    <t>318350661</t>
  </si>
  <si>
    <t>1756</t>
  </si>
  <si>
    <t>PRIYANSHIKA KUMHAR</t>
  </si>
  <si>
    <t>LALIT</t>
  </si>
  <si>
    <t>VANDANA KUMHAR</t>
  </si>
  <si>
    <t>02-04-2021</t>
  </si>
  <si>
    <t>313842200</t>
  </si>
  <si>
    <t>1757</t>
  </si>
  <si>
    <t xml:space="preserve">SWASTIK PATEL </t>
  </si>
  <si>
    <t>ANKIT KUMAR</t>
  </si>
  <si>
    <t>SANGEETA PATEL</t>
  </si>
  <si>
    <t>18-05-2021</t>
  </si>
  <si>
    <t>317991149</t>
  </si>
  <si>
    <t>1763</t>
  </si>
  <si>
    <t xml:space="preserve">DIVYANSHI PATEL </t>
  </si>
  <si>
    <t xml:space="preserve">LEELADHAR PATEL </t>
  </si>
  <si>
    <t xml:space="preserve">RADHA PATEL </t>
  </si>
  <si>
    <t>04-07-2021</t>
  </si>
  <si>
    <t>314716086</t>
  </si>
  <si>
    <t>1764</t>
  </si>
  <si>
    <t>KRASHNA KUSHWAHA</t>
  </si>
  <si>
    <t>SURESH KUMAR KUSHWAHA</t>
  </si>
  <si>
    <t>30-08-2021</t>
  </si>
  <si>
    <t>316736190</t>
  </si>
  <si>
    <t>1768</t>
  </si>
  <si>
    <t>DEEPANSHU PATKAR</t>
  </si>
  <si>
    <t>VEERENDRA PATKAR</t>
  </si>
  <si>
    <t>SADHNA PATKAR</t>
  </si>
  <si>
    <t>02-02-2021</t>
  </si>
  <si>
    <t>315176179</t>
  </si>
  <si>
    <t>1770</t>
  </si>
  <si>
    <t>ISHIKA VISHWAKARMA</t>
  </si>
  <si>
    <t>KAMLESH VISHWAKARMA</t>
  </si>
  <si>
    <t>SHIKHA VISHWAKARMA</t>
  </si>
  <si>
    <t>01-07-2021</t>
  </si>
  <si>
    <t>317810735</t>
  </si>
  <si>
    <t>1774</t>
  </si>
  <si>
    <t xml:space="preserve">SHOURYA PATEL </t>
  </si>
  <si>
    <t xml:space="preserve">DHARMRAJ PATEL </t>
  </si>
  <si>
    <t>28-05-2021</t>
  </si>
  <si>
    <t>315409342</t>
  </si>
  <si>
    <t>1778</t>
  </si>
  <si>
    <t>KRISHANA YADAV</t>
  </si>
  <si>
    <t>JANKI YADAV</t>
  </si>
  <si>
    <t>05-11-2020</t>
  </si>
  <si>
    <t xml:space="preserve">RUDRA PRATAP PATEL </t>
  </si>
  <si>
    <t xml:space="preserve">RAM PRATAP PATEL </t>
  </si>
  <si>
    <t>JULLI PATEL</t>
  </si>
  <si>
    <t>24-10-2020</t>
  </si>
  <si>
    <t>318299930</t>
  </si>
  <si>
    <t>1780</t>
  </si>
  <si>
    <t>NIRAJ VISHWAKARMA</t>
  </si>
  <si>
    <t>15-08-2021</t>
  </si>
  <si>
    <t>314351616</t>
  </si>
  <si>
    <t>1783</t>
  </si>
  <si>
    <t xml:space="preserve">DIVYANSH DUBEY </t>
  </si>
  <si>
    <t xml:space="preserve">PAWAN DUBEY </t>
  </si>
  <si>
    <t xml:space="preserve">KAVITA DUBEY </t>
  </si>
  <si>
    <t>26-06-2021</t>
  </si>
  <si>
    <t>1784</t>
  </si>
  <si>
    <t>318919675</t>
  </si>
  <si>
    <t>ARJUN PRASAD KALAR</t>
  </si>
  <si>
    <t>13-03-2021</t>
  </si>
  <si>
    <t>314603895</t>
  </si>
  <si>
    <t>1786</t>
  </si>
  <si>
    <t>PRINSI VISHWAKARMA</t>
  </si>
  <si>
    <t>PREM NARAYAN VISHWAKARMA</t>
  </si>
  <si>
    <t>SARASWATI BAI VISHWAKARMA</t>
  </si>
  <si>
    <t>27-11-2020</t>
  </si>
  <si>
    <t>1788</t>
  </si>
  <si>
    <t>12-09-2021</t>
  </si>
  <si>
    <t>1789</t>
  </si>
  <si>
    <t>1779</t>
  </si>
  <si>
    <t xml:space="preserve">DANIS RAJA </t>
  </si>
  <si>
    <t>IRFAN KHAN</t>
  </si>
  <si>
    <t>RUKSAD BEE</t>
  </si>
  <si>
    <t>18-06-2021</t>
  </si>
  <si>
    <t>1791</t>
  </si>
  <si>
    <t xml:space="preserve">RITISA SEN </t>
  </si>
  <si>
    <t>25-11-2020</t>
  </si>
  <si>
    <t>313812090</t>
  </si>
  <si>
    <t>1796</t>
  </si>
  <si>
    <t xml:space="preserve">JITENDRA BARMAN </t>
  </si>
  <si>
    <t xml:space="preserve">SHIKHA BARMAN </t>
  </si>
  <si>
    <t>02-07-2021</t>
  </si>
  <si>
    <t>313098674</t>
  </si>
  <si>
    <t>1800</t>
  </si>
  <si>
    <t xml:space="preserve">ANANYA CHAKRAWARTI </t>
  </si>
  <si>
    <t xml:space="preserve">ANAND KUMAR </t>
  </si>
  <si>
    <t>RASHMI CHAKRAWARTI</t>
  </si>
  <si>
    <t>08-07-2021</t>
  </si>
  <si>
    <t>1801</t>
  </si>
  <si>
    <t xml:space="preserve">SOURABH YADAV </t>
  </si>
  <si>
    <t>1802</t>
  </si>
  <si>
    <t xml:space="preserve">PRATHAM PATEL </t>
  </si>
  <si>
    <t xml:space="preserve">PREMCHAND PATEL </t>
  </si>
  <si>
    <t>25-04-2021</t>
  </si>
  <si>
    <t>318299978</t>
  </si>
  <si>
    <t>1803</t>
  </si>
  <si>
    <t xml:space="preserve">ARYAV LODHI </t>
  </si>
  <si>
    <t xml:space="preserve">RANJEETA LODHI </t>
  </si>
  <si>
    <t>15-02-2021</t>
  </si>
  <si>
    <t>321366471</t>
  </si>
  <si>
    <t>1804</t>
  </si>
  <si>
    <t xml:space="preserve">ARAV CHOUDHARY </t>
  </si>
  <si>
    <t xml:space="preserve">AMAR CHOUDHARY </t>
  </si>
  <si>
    <t xml:space="preserve">PREETI CHOUDHARY </t>
  </si>
  <si>
    <t>20-09-2021</t>
  </si>
  <si>
    <t>318880568</t>
  </si>
  <si>
    <t>1807</t>
  </si>
  <si>
    <t xml:space="preserve">HARSHIT SONI </t>
  </si>
  <si>
    <t xml:space="preserve">VIVEK SONI </t>
  </si>
  <si>
    <t>312682537</t>
  </si>
  <si>
    <t>1810</t>
  </si>
  <si>
    <t xml:space="preserve">ANUJ YADAV </t>
  </si>
  <si>
    <t xml:space="preserve">SANJU KUMAR </t>
  </si>
  <si>
    <t>18-02-2021</t>
  </si>
  <si>
    <t>318592270</t>
  </si>
  <si>
    <t>1812</t>
  </si>
  <si>
    <t>AVANI UPADHYAY</t>
  </si>
  <si>
    <t>ASHISH UPADHYAY</t>
  </si>
  <si>
    <t>ALKA UPADHYAY</t>
  </si>
  <si>
    <t>1818</t>
  </si>
  <si>
    <t>320884360</t>
  </si>
  <si>
    <t>09-03-2021</t>
  </si>
  <si>
    <t>316072724</t>
  </si>
  <si>
    <t>1819</t>
  </si>
  <si>
    <t xml:space="preserve">ABHINAV SEN </t>
  </si>
  <si>
    <t>07-04-2021</t>
  </si>
  <si>
    <t>317338100</t>
  </si>
  <si>
    <t>1825</t>
  </si>
  <si>
    <t xml:space="preserve">SARTHAK YADAV </t>
  </si>
  <si>
    <t xml:space="preserve">KAMLESH  </t>
  </si>
  <si>
    <t>24-11-2020</t>
  </si>
  <si>
    <t>316735403</t>
  </si>
  <si>
    <t>1831</t>
  </si>
  <si>
    <t>2025-26</t>
  </si>
  <si>
    <t>ALSHIFA KHAN</t>
  </si>
  <si>
    <t>SHAHEED KHAN</t>
  </si>
  <si>
    <t>09-09-2021</t>
  </si>
  <si>
    <t>SHRASHTI KUSHWAHA</t>
  </si>
  <si>
    <t>RAJA RAM KUSHWAHA</t>
  </si>
  <si>
    <t>DURGA KUSHWAHA</t>
  </si>
  <si>
    <t>20-07-2021</t>
  </si>
  <si>
    <t>1834</t>
  </si>
  <si>
    <t xml:space="preserve">DIVYANSH BARMAN </t>
  </si>
  <si>
    <t xml:space="preserve">DEEPCHAND BARMAN </t>
  </si>
  <si>
    <t xml:space="preserve">NISHA BARMAN </t>
  </si>
  <si>
    <t>23-03-2019</t>
  </si>
  <si>
    <t xml:space="preserve">AKRATI LODHI </t>
  </si>
  <si>
    <t xml:space="preserve">NILESH BASOR </t>
  </si>
  <si>
    <t>SANJAY BASOR</t>
  </si>
  <si>
    <t>NEHA BASOR</t>
  </si>
  <si>
    <t>26-06-2020</t>
  </si>
  <si>
    <t>SHRESHTH YADAV</t>
  </si>
  <si>
    <t>PRASHANT YADAV</t>
  </si>
  <si>
    <t xml:space="preserve">RAJANI </t>
  </si>
  <si>
    <t>07-06-2020</t>
  </si>
  <si>
    <t>SHIVANSH UPADHYAY</t>
  </si>
  <si>
    <t>02-07-2020</t>
  </si>
  <si>
    <t>YUVRAJ SHARMA</t>
  </si>
  <si>
    <t>10-08-2019</t>
  </si>
  <si>
    <t>AYUSH KOL</t>
  </si>
  <si>
    <t>ARVIND KOL</t>
  </si>
  <si>
    <t xml:space="preserve">CHHOTI BAI </t>
  </si>
  <si>
    <t>07-03-2019</t>
  </si>
  <si>
    <t>ADITYA KOL</t>
  </si>
  <si>
    <t>KAILASH KUMAR</t>
  </si>
  <si>
    <t xml:space="preserve">SHANTI KOL </t>
  </si>
  <si>
    <t xml:space="preserve">ARADHYA CHOUBEY </t>
  </si>
  <si>
    <t>RAMSHARAN CHOUBEY</t>
  </si>
  <si>
    <t>28-02-2020</t>
  </si>
  <si>
    <t>DIVYA CHAKRAWARTI</t>
  </si>
  <si>
    <t>VEERU CHAKRAWARTI</t>
  </si>
  <si>
    <t>18-01-2020</t>
  </si>
  <si>
    <t>GANGA BAI CHAKRAWARTI</t>
  </si>
  <si>
    <t>NAINSI MEHRA</t>
  </si>
  <si>
    <t>ARVIND KUMAR MEHRA</t>
  </si>
  <si>
    <t>RASHMI MEHRA</t>
  </si>
  <si>
    <t>10-06-2020</t>
  </si>
  <si>
    <t>PARWATI GOND</t>
  </si>
  <si>
    <t>BISHAN SINGH GOND</t>
  </si>
  <si>
    <t>BABEETA BAI</t>
  </si>
  <si>
    <t>26-08-2020</t>
  </si>
  <si>
    <t>RITIKA MEHRA</t>
  </si>
  <si>
    <t>POOJA</t>
  </si>
  <si>
    <t>RADHIKA TIWARI</t>
  </si>
  <si>
    <t>PRITI TIWARI</t>
  </si>
  <si>
    <t>30-10-2019</t>
  </si>
  <si>
    <t>SAANYA KACHHI</t>
  </si>
  <si>
    <t>ANOJ KUMAR KACHHI</t>
  </si>
  <si>
    <t>PUSHPLATA KACHHI</t>
  </si>
  <si>
    <t xml:space="preserve">SHIVANSHI PATEL </t>
  </si>
  <si>
    <t xml:space="preserve">SUNIL KUMAR  </t>
  </si>
  <si>
    <t>BEDILAL YADAV</t>
  </si>
  <si>
    <t>SRASHTI YADAV</t>
  </si>
  <si>
    <t>SHANVI JAISWAL</t>
  </si>
  <si>
    <t xml:space="preserve">DEVENDRA JAISWAL </t>
  </si>
  <si>
    <t>GAYATREE JAISWAL</t>
  </si>
  <si>
    <t>21-11-2019</t>
  </si>
  <si>
    <t>TAMIKSHA KUSHWAHA</t>
  </si>
  <si>
    <t xml:space="preserve">BRAJKISHOR </t>
  </si>
  <si>
    <t xml:space="preserve">VAISHNAVI MEHRA </t>
  </si>
  <si>
    <t>PRIYANKA MEHRA</t>
  </si>
  <si>
    <t>09-04-2020</t>
  </si>
  <si>
    <t>ARPIT KALAR</t>
  </si>
  <si>
    <t>SANTRAM KALAR</t>
  </si>
  <si>
    <t>GOURA KALAR</t>
  </si>
  <si>
    <t>11-04-2020</t>
  </si>
  <si>
    <t>ABHISHEK KUMHAR</t>
  </si>
  <si>
    <t>SANDEEP KUMAR KUMHAR</t>
  </si>
  <si>
    <t>ROSHNI KUMHAR</t>
  </si>
  <si>
    <t>11-06-2021</t>
  </si>
  <si>
    <t xml:space="preserve">HARSH PATEL </t>
  </si>
  <si>
    <t>ANJANA BAI LODHI</t>
  </si>
  <si>
    <t xml:space="preserve">HARISH BASOR </t>
  </si>
  <si>
    <t>SANDEEP KUMAR</t>
  </si>
  <si>
    <t>CHANDA BAI BASOR</t>
  </si>
  <si>
    <t>JAYSHA KUCHBANDHIYA</t>
  </si>
  <si>
    <t>19-02-2020</t>
  </si>
  <si>
    <t xml:space="preserve">MADHAV JAYSAWAL </t>
  </si>
  <si>
    <t>RAMMILAN JAYASAVAL</t>
  </si>
  <si>
    <t>SOMVATI BAI JAYSAWAL</t>
  </si>
  <si>
    <t>25-06-2020</t>
  </si>
  <si>
    <t>RISHABH SHRIVAS</t>
  </si>
  <si>
    <t>27-09-2020</t>
  </si>
  <si>
    <t>NARESH KUMAR</t>
  </si>
  <si>
    <t>ANJANI KACHHI</t>
  </si>
  <si>
    <t xml:space="preserve">RISHABH KACHHI </t>
  </si>
  <si>
    <t>RISHABH CHOUDHARY</t>
  </si>
  <si>
    <t>ANIL KUMAR CHOUDHARY</t>
  </si>
  <si>
    <t xml:space="preserve">POOJA </t>
  </si>
  <si>
    <t>24-10-2019</t>
  </si>
  <si>
    <t xml:space="preserve">SHIVANSH PATEL </t>
  </si>
  <si>
    <t>RAHUL KUMAR</t>
  </si>
  <si>
    <t xml:space="preserve">SURYANSH RAJPAL </t>
  </si>
  <si>
    <t>CHANDRABHAN GADARIYA</t>
  </si>
  <si>
    <t>TULSA BAI RAJPAL</t>
  </si>
  <si>
    <t>VIKASH GOND</t>
  </si>
  <si>
    <t xml:space="preserve">VIJAY KUMAR </t>
  </si>
  <si>
    <t>ROSHNI GOND</t>
  </si>
  <si>
    <t>08-01-2020</t>
  </si>
  <si>
    <t xml:space="preserve">VARUN BARMAN </t>
  </si>
  <si>
    <t xml:space="preserve">AKHILESH KUMAR BARMAN </t>
  </si>
  <si>
    <t xml:space="preserve">LAXMI BAI BARMAN </t>
  </si>
  <si>
    <t>21-06-2020</t>
  </si>
  <si>
    <t>HUKUMCHAND MEHRA</t>
  </si>
  <si>
    <t xml:space="preserve">AARAV SAHU </t>
  </si>
  <si>
    <t>NITYA THAKUR</t>
  </si>
  <si>
    <t>SOURABH SINGH</t>
  </si>
  <si>
    <t>VARSHA GOUND</t>
  </si>
  <si>
    <t xml:space="preserve">DIVYANSHU SEN </t>
  </si>
  <si>
    <t>NIKKI SEN</t>
  </si>
  <si>
    <t>312682514</t>
  </si>
  <si>
    <t>1836</t>
  </si>
  <si>
    <t>BOY'S</t>
  </si>
  <si>
    <t>GIRL'S</t>
  </si>
  <si>
    <t>SC</t>
  </si>
  <si>
    <t>ST</t>
  </si>
  <si>
    <t>OBC</t>
  </si>
  <si>
    <t xml:space="preserve">GEN </t>
  </si>
  <si>
    <t>CLASS WISE GOSWARA 2025-26</t>
  </si>
  <si>
    <t xml:space="preserve">S NO </t>
  </si>
  <si>
    <t xml:space="preserve">CLASS </t>
  </si>
  <si>
    <t xml:space="preserve">GRAND 
TOTAL </t>
  </si>
  <si>
    <t>LGK(A)</t>
  </si>
  <si>
    <t>LKG(B)</t>
  </si>
  <si>
    <t>UGK(A)</t>
  </si>
  <si>
    <t>UKG(B)</t>
  </si>
  <si>
    <t>1ST (A)</t>
  </si>
  <si>
    <t>1ST(B)</t>
  </si>
  <si>
    <t>2ND (A)</t>
  </si>
  <si>
    <t>2ND(B)</t>
  </si>
  <si>
    <t>3RD (A)</t>
  </si>
  <si>
    <t>3RD(B)</t>
  </si>
  <si>
    <t>4TH (A)</t>
  </si>
  <si>
    <t>4TH(B)</t>
  </si>
  <si>
    <t>5TH(A)</t>
  </si>
  <si>
    <t>5TH(B)</t>
  </si>
  <si>
    <t>6TH</t>
  </si>
  <si>
    <t xml:space="preserve">8TH </t>
  </si>
  <si>
    <t xml:space="preserve">9TH </t>
  </si>
  <si>
    <t xml:space="preserve">10TH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</si>
  <si>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</si>
  <si>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</si>
  <si>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</si>
  <si>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</si>
  <si>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</si>
  <si>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</si>
  <si>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</si>
  <si>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</si>
  <si>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</si>
  <si>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14</t>
  </si>
  <si>
    <t>16</t>
  </si>
  <si>
    <t>26</t>
  </si>
  <si>
    <t>30</t>
  </si>
  <si>
    <t>00</t>
  </si>
  <si>
    <t>17</t>
  </si>
  <si>
    <t>31</t>
  </si>
  <si>
    <t>24</t>
  </si>
  <si>
    <t>13</t>
  </si>
  <si>
    <t>37</t>
  </si>
  <si>
    <t>27</t>
  </si>
  <si>
    <t>20</t>
  </si>
  <si>
    <t>10</t>
  </si>
  <si>
    <t>23</t>
  </si>
  <si>
    <t>11</t>
  </si>
  <si>
    <t>15</t>
  </si>
  <si>
    <t>18</t>
  </si>
  <si>
    <t xml:space="preserve">LKG TO UKG </t>
  </si>
  <si>
    <t xml:space="preserve">1ST TO 5TH </t>
  </si>
  <si>
    <t xml:space="preserve">6TH TO 8TH </t>
  </si>
  <si>
    <t xml:space="preserve">9TH TO 10TH </t>
  </si>
  <si>
    <t>CLASS WISE NAMANKAN 2025-26</t>
  </si>
  <si>
    <t>NAHUSH PUBLIC HIGH SCHOOL MOHLA</t>
  </si>
  <si>
    <t xml:space="preserve">LAVANYA MEHRA </t>
  </si>
  <si>
    <t>NILESH MEHRA</t>
  </si>
  <si>
    <t>HEMLATA</t>
  </si>
  <si>
    <t>27-09-2018</t>
  </si>
  <si>
    <t xml:space="preserve">1ST  </t>
  </si>
  <si>
    <t>PRAGYA KUCHBANDHIYA</t>
  </si>
  <si>
    <t xml:space="preserve">PARI YADAV </t>
  </si>
  <si>
    <t xml:space="preserve">VAISHNAVI BEN </t>
  </si>
  <si>
    <t xml:space="preserve">ARABH KUMAR RAJAK </t>
  </si>
  <si>
    <t>RITIK CHOUDHARY</t>
  </si>
  <si>
    <t xml:space="preserve">SIRIYANSH RAJAK </t>
  </si>
  <si>
    <t xml:space="preserve">SONU YADAV </t>
  </si>
  <si>
    <t>SANDHYA KACHHI</t>
  </si>
  <si>
    <t xml:space="preserve">SALIGRAM BARMAN </t>
  </si>
  <si>
    <t xml:space="preserve">SHIVRATI BARMAN </t>
  </si>
  <si>
    <t>18-05-2018</t>
  </si>
  <si>
    <t>GAJENDRA KUMAR</t>
  </si>
  <si>
    <t xml:space="preserve">SHANTI BAI   </t>
  </si>
  <si>
    <t>21-03-2019</t>
  </si>
  <si>
    <t xml:space="preserve">DIPALI </t>
  </si>
  <si>
    <t xml:space="preserve">DIVYANSHI   </t>
  </si>
  <si>
    <t xml:space="preserve">SHIVDATT CHOUBEY </t>
  </si>
  <si>
    <t xml:space="preserve">NIYATI PATEL </t>
  </si>
  <si>
    <t xml:space="preserve">RAGINI PATEL </t>
  </si>
  <si>
    <t>09-07-2019</t>
  </si>
  <si>
    <t>JOGENDRA KUCHBANDHIYA</t>
  </si>
  <si>
    <t>12-07-2019</t>
  </si>
  <si>
    <t>SANVI UPADHYAY</t>
  </si>
  <si>
    <t xml:space="preserve">SHANKAR LAL BEN </t>
  </si>
  <si>
    <t xml:space="preserve">PUSHPLATA BEN </t>
  </si>
  <si>
    <t>12-05-2019</t>
  </si>
  <si>
    <t xml:space="preserve">JANESH KUMAR JAISWAL </t>
  </si>
  <si>
    <t xml:space="preserve">KITAB BAI JAISWAL </t>
  </si>
  <si>
    <t>DHARMENDRA KUMAR SONI</t>
  </si>
  <si>
    <t xml:space="preserve">ABHIJEET BARMAN </t>
  </si>
  <si>
    <t>16-01-2019</t>
  </si>
  <si>
    <t>SURENDRA KUMAR CHOUDHARY</t>
  </si>
  <si>
    <t xml:space="preserve">USHA BAI CHOUDHARY </t>
  </si>
  <si>
    <t>29-08-2018</t>
  </si>
  <si>
    <t xml:space="preserve">SEETARAM DHOBI </t>
  </si>
  <si>
    <t>RASHMI</t>
  </si>
  <si>
    <t>04-05-2019</t>
  </si>
  <si>
    <t xml:space="preserve">DEEPAK KUMAR YADAV </t>
  </si>
  <si>
    <t xml:space="preserve">ANGURI YADAV </t>
  </si>
  <si>
    <t>07-04-2018</t>
  </si>
  <si>
    <t xml:space="preserve">ASTHA JHARIYA </t>
  </si>
  <si>
    <t xml:space="preserve">SOUMYA KACHHI </t>
  </si>
  <si>
    <t>2ND</t>
  </si>
  <si>
    <t xml:space="preserve">AYUSH KUSHWAHA </t>
  </si>
  <si>
    <t xml:space="preserve">GEETA KUSHWAHA </t>
  </si>
  <si>
    <t>15-04-2018</t>
  </si>
  <si>
    <t>SANTOSH KUMAR HALDKAR</t>
  </si>
  <si>
    <t>ARPIT HALDKAR</t>
  </si>
  <si>
    <t xml:space="preserve">VINITA KACHHI </t>
  </si>
  <si>
    <t>04-08-2018</t>
  </si>
  <si>
    <t xml:space="preserve">ARJUN PRASAD JAISWAL </t>
  </si>
  <si>
    <t>RUCHI YADAV</t>
  </si>
  <si>
    <t xml:space="preserve">AKANKSHA </t>
  </si>
  <si>
    <t>UMMED KUMAR</t>
  </si>
  <si>
    <t>17-03-2018</t>
  </si>
  <si>
    <t xml:space="preserve">CHANDAN </t>
  </si>
  <si>
    <t xml:space="preserve">SUSHMA </t>
  </si>
  <si>
    <t>DEEPAK KUMAR</t>
  </si>
  <si>
    <t>MAHESH SINGH  GOND</t>
  </si>
  <si>
    <t xml:space="preserve">ARCHANA BAI </t>
  </si>
  <si>
    <t>19-10-2017</t>
  </si>
  <si>
    <t>DHARMENDRA LODHI</t>
  </si>
  <si>
    <t xml:space="preserve">4TH </t>
  </si>
  <si>
    <t xml:space="preserve">AVNI BARMAN </t>
  </si>
  <si>
    <t xml:space="preserve">AARUSHI SEN </t>
  </si>
  <si>
    <t xml:space="preserve">ADARSH KUMAR HALDKAR </t>
  </si>
  <si>
    <t xml:space="preserve">ISHAN JAISWAL </t>
  </si>
  <si>
    <t xml:space="preserve">MUKESH </t>
  </si>
  <si>
    <t xml:space="preserve">MANISHA </t>
  </si>
  <si>
    <t>11-07-2016</t>
  </si>
  <si>
    <t>ASHWANI KUMAR SONI</t>
  </si>
  <si>
    <t xml:space="preserve">AABHA SONI </t>
  </si>
  <si>
    <t xml:space="preserve">BHARTI SONI </t>
  </si>
  <si>
    <t xml:space="preserve">RAJENDRA SEN </t>
  </si>
  <si>
    <t xml:space="preserve">KUNTI SEN </t>
  </si>
  <si>
    <t xml:space="preserve">SANTOSH KUMAR HALDKAR </t>
  </si>
  <si>
    <t>16-02-2016</t>
  </si>
  <si>
    <t xml:space="preserve">POORAN LAL JAISWAL </t>
  </si>
  <si>
    <t xml:space="preserve">RANJNA BAI </t>
  </si>
  <si>
    <t>23-12-2015</t>
  </si>
  <si>
    <t>MANISH KUSHWAHA</t>
  </si>
  <si>
    <t xml:space="preserve">ROSHNI KUSHWAHA </t>
  </si>
  <si>
    <t>11-05-2017</t>
  </si>
  <si>
    <t xml:space="preserve">RAJMANI AHIR </t>
  </si>
  <si>
    <t xml:space="preserve">SHIV KUSHWAHA </t>
  </si>
  <si>
    <t>SUSHMA</t>
  </si>
  <si>
    <t xml:space="preserve">RAJ KUMAR </t>
  </si>
  <si>
    <t xml:space="preserve">RAJNI  </t>
  </si>
  <si>
    <t>17-02-2015</t>
  </si>
  <si>
    <t xml:space="preserve">5TH </t>
  </si>
  <si>
    <t>SAILESH KUSHWAHA</t>
  </si>
  <si>
    <t>SATYENDRA KUSHWAHA</t>
  </si>
  <si>
    <t>SAVITA KUSHWAHA</t>
  </si>
  <si>
    <t>07-06-2015</t>
  </si>
  <si>
    <t xml:space="preserve">NAYARA PATEL </t>
  </si>
  <si>
    <t>318919668</t>
  </si>
  <si>
    <t>1839</t>
  </si>
  <si>
    <t>313812082</t>
  </si>
  <si>
    <t>320320915</t>
  </si>
  <si>
    <t>314566110</t>
  </si>
  <si>
    <t>323337528</t>
  </si>
  <si>
    <t>317261047</t>
  </si>
  <si>
    <t>MAHIMA PATEL</t>
  </si>
  <si>
    <t xml:space="preserve">PRIYA YADAV </t>
  </si>
  <si>
    <t xml:space="preserve">RADHIKA PATEL </t>
  </si>
  <si>
    <t xml:space="preserve">RIYA YADAV </t>
  </si>
  <si>
    <t xml:space="preserve">RASHI JAISWAL </t>
  </si>
  <si>
    <t xml:space="preserve">SMRATI PATEL </t>
  </si>
  <si>
    <t xml:space="preserve">JANVI CHAKRAWARTI </t>
  </si>
  <si>
    <t xml:space="preserve">SONIYA PATEL </t>
  </si>
  <si>
    <t xml:space="preserve">YASHI MISHRA </t>
  </si>
  <si>
    <t>ANANYA KURARIYA</t>
  </si>
  <si>
    <t>RUDRESH KUMAR KURARIYA</t>
  </si>
  <si>
    <t>KARUNA KURARIYA</t>
  </si>
  <si>
    <t>23/07/2014</t>
  </si>
  <si>
    <t>RASIKA CHOUBEY</t>
  </si>
  <si>
    <t>KAMLESH KUMAR CHOUBEY</t>
  </si>
  <si>
    <t>NIDHI CHOUBEY</t>
  </si>
  <si>
    <t>14/04/2014</t>
  </si>
  <si>
    <t>JYOTI NAYAK</t>
  </si>
  <si>
    <t>MANOJ KUMAR</t>
  </si>
  <si>
    <t>ANITA NAYAK</t>
  </si>
  <si>
    <t>19/07/2014</t>
  </si>
  <si>
    <t>SHIV KUMAR PATEL</t>
  </si>
  <si>
    <t>TARA BAI PATEL</t>
  </si>
  <si>
    <t>27/04/2014</t>
  </si>
  <si>
    <t>SUSHIL KUMAR YADAV</t>
  </si>
  <si>
    <t>SARASWATI YADAV</t>
  </si>
  <si>
    <t>28/09/2013</t>
  </si>
  <si>
    <t>ANIL PATEL</t>
  </si>
  <si>
    <t>ARCHANA PATEL</t>
  </si>
  <si>
    <t>15/03/2014</t>
  </si>
  <si>
    <t>SUSHEEL JAISWAL</t>
  </si>
  <si>
    <t>URMILA JAISWAL</t>
  </si>
  <si>
    <t>22/01/2014</t>
  </si>
  <si>
    <t xml:space="preserve">DRASIKA PATEL </t>
  </si>
  <si>
    <t xml:space="preserve">AMIT PATEL </t>
  </si>
  <si>
    <t xml:space="preserve">SWATI PATEL </t>
  </si>
  <si>
    <t>SUNIL KUMAR YADAV</t>
  </si>
  <si>
    <t>REKHA BAI</t>
  </si>
  <si>
    <t>24/05/2014</t>
  </si>
  <si>
    <t>SATYAPRAKASH</t>
  </si>
  <si>
    <t>SEETA PATEL</t>
  </si>
  <si>
    <t>RAKESH KUMAR</t>
  </si>
  <si>
    <t>17/07/2014</t>
  </si>
  <si>
    <t>AJIT KANT MISHRA</t>
  </si>
  <si>
    <t>SEEMA MISHRA</t>
  </si>
  <si>
    <t>17/06/2014</t>
  </si>
  <si>
    <t xml:space="preserve">AJAY CHAKRAWARTI </t>
  </si>
  <si>
    <t xml:space="preserve">DURGA CHAKRAWARTI </t>
  </si>
  <si>
    <t>07/12/2014</t>
  </si>
  <si>
    <t>ADITYA KUMAR TIWARI</t>
  </si>
  <si>
    <t>DINESH TIWARI</t>
  </si>
  <si>
    <t>RATNA BAI</t>
  </si>
  <si>
    <t>13/08/2013</t>
  </si>
  <si>
    <t>AJEET PATEL</t>
  </si>
  <si>
    <t>SANDEEP PATEL</t>
  </si>
  <si>
    <t>BINEETA PATEL</t>
  </si>
  <si>
    <t>29/12/2014</t>
  </si>
  <si>
    <t xml:space="preserve">ANMOL </t>
  </si>
  <si>
    <t>ANSH JAYSAWAL</t>
  </si>
  <si>
    <t>ANIL KUMAR JAISWAL</t>
  </si>
  <si>
    <t>SANDHYA JAISWAL</t>
  </si>
  <si>
    <t>21/04/2015</t>
  </si>
  <si>
    <t>ANSH SAHU</t>
  </si>
  <si>
    <t>GAYA PRASAD SAHU</t>
  </si>
  <si>
    <t>BABEETA SAHU</t>
  </si>
  <si>
    <t>BEJNATH SAHU</t>
  </si>
  <si>
    <t>GUDDI SAHU</t>
  </si>
  <si>
    <t>DHANANJAY MISHRA</t>
  </si>
  <si>
    <t>SATYABHUSHAN MISHRA</t>
  </si>
  <si>
    <t>PRIYANKA MISHRA</t>
  </si>
  <si>
    <t>HARSH VISHWAKARMA</t>
  </si>
  <si>
    <t>OMPRAKASH VISHWAKARMA</t>
  </si>
  <si>
    <t>SNEHLATA VISHWAKARMA</t>
  </si>
  <si>
    <t>13/07/2014</t>
  </si>
  <si>
    <t>JIGAR RAJPAL</t>
  </si>
  <si>
    <t>RANJEET RAJPAL</t>
  </si>
  <si>
    <t>JYOTI RAJPAL</t>
  </si>
  <si>
    <t>28/08/2014</t>
  </si>
  <si>
    <t>LAKSHYA LAKHERA</t>
  </si>
  <si>
    <t>MANOJ KUMAR LAKHERA</t>
  </si>
  <si>
    <t>RUBI BAI LAKHERA</t>
  </si>
  <si>
    <t>29/04/2014</t>
  </si>
  <si>
    <t>MAYUR LODHI</t>
  </si>
  <si>
    <t>AWADH LODHI</t>
  </si>
  <si>
    <t>20/08/2014</t>
  </si>
  <si>
    <t>NAITIK KUSHWAHA</t>
  </si>
  <si>
    <t>MANISHA KUSHWAHA</t>
  </si>
  <si>
    <t xml:space="preserve">19/09/2014 </t>
  </si>
  <si>
    <t>NAYAN LODHI</t>
  </si>
  <si>
    <t>MANOJ LODHI</t>
  </si>
  <si>
    <t>LATA LODHI</t>
  </si>
  <si>
    <t>RUDRA SINGH PARIHAR</t>
  </si>
  <si>
    <t>VEERBHAN SINGH PARIHAR</t>
  </si>
  <si>
    <t>PRITI SINGH PARIHAR</t>
  </si>
  <si>
    <t>16/06/2014</t>
  </si>
  <si>
    <t xml:space="preserve">RATNESH VISHWAKARMA </t>
  </si>
  <si>
    <t>SARTHAK KUSHWAHA</t>
  </si>
  <si>
    <t>SHILA DEVI KUSHWAHA</t>
  </si>
  <si>
    <t>18/12/2014</t>
  </si>
  <si>
    <t xml:space="preserve">SAGAR JAISWAL </t>
  </si>
  <si>
    <t xml:space="preserve">SAHIL JAISWAL </t>
  </si>
  <si>
    <t xml:space="preserve">SHIVAM KOL </t>
  </si>
  <si>
    <t xml:space="preserve">SUBHANK MEHRA </t>
  </si>
  <si>
    <t xml:space="preserve">SUMIT PATHAK </t>
  </si>
  <si>
    <t>SATISH PATHAK</t>
  </si>
  <si>
    <t xml:space="preserve">SUDHA PATHAK </t>
  </si>
  <si>
    <t xml:space="preserve">VIDIT RAJPAL </t>
  </si>
  <si>
    <t xml:space="preserve">USHA BAI </t>
  </si>
  <si>
    <t>31/01/2015</t>
  </si>
  <si>
    <t xml:space="preserve">VINAY KUMAR PATEL </t>
  </si>
  <si>
    <t xml:space="preserve">SATISH PATEL </t>
  </si>
  <si>
    <t xml:space="preserve">SILOCHANA PATEL </t>
  </si>
  <si>
    <t>19/06/2014</t>
  </si>
  <si>
    <t xml:space="preserve">PAWAN KUMAR YADAV </t>
  </si>
  <si>
    <t xml:space="preserve">ARTI BAI YADAV </t>
  </si>
  <si>
    <t>26/04/2014</t>
  </si>
  <si>
    <t>ANJANA</t>
  </si>
  <si>
    <t>14/06/2015</t>
  </si>
  <si>
    <t>SURESH VISHWAKARMA</t>
  </si>
  <si>
    <t xml:space="preserve">LAKSHMI VISHWAKARMA </t>
  </si>
  <si>
    <t>25/07/2014</t>
  </si>
  <si>
    <t xml:space="preserve">HUKUMCHAND JAISWAL </t>
  </si>
  <si>
    <t>HUKUMCHAND JAISWAL</t>
  </si>
  <si>
    <t>MEGHA JAISWAL</t>
  </si>
  <si>
    <t>16/03/2015</t>
  </si>
  <si>
    <t>ASHOK KUMAR</t>
  </si>
  <si>
    <t xml:space="preserve">SUMANTRA KALAR </t>
  </si>
  <si>
    <t>15/09/2014</t>
  </si>
  <si>
    <t>SANTOSH MEHRA</t>
  </si>
  <si>
    <t>26/09/2014</t>
  </si>
  <si>
    <t xml:space="preserve">6TH </t>
  </si>
  <si>
    <t xml:space="preserve">7th </t>
  </si>
  <si>
    <t xml:space="preserve">AROHI MISHRA </t>
  </si>
  <si>
    <t xml:space="preserve">DEEPKANT MISHRA </t>
  </si>
  <si>
    <t xml:space="preserve">USHA BAI MISHRA </t>
  </si>
  <si>
    <t>05-07-2012</t>
  </si>
  <si>
    <t xml:space="preserve">ADITI YADAV </t>
  </si>
  <si>
    <t>RAGHUNATH PRASAD YADAV</t>
  </si>
  <si>
    <t>23-08-2013</t>
  </si>
  <si>
    <t xml:space="preserve">ARPITA KURMI </t>
  </si>
  <si>
    <t xml:space="preserve">ARTI  </t>
  </si>
  <si>
    <t>17-09-2013</t>
  </si>
  <si>
    <t xml:space="preserve">AKANKSHA KUSHWAHA </t>
  </si>
  <si>
    <t xml:space="preserve">MANOJ KUMAR  KUSHWAHA </t>
  </si>
  <si>
    <t xml:space="preserve">AARTI BAI  </t>
  </si>
  <si>
    <t>20-11-2012</t>
  </si>
  <si>
    <t xml:space="preserve">ASMI YADAV </t>
  </si>
  <si>
    <t xml:space="preserve">UPENDRA YADAV </t>
  </si>
  <si>
    <t xml:space="preserve">SAVITA YADAV </t>
  </si>
  <si>
    <t>12-01-2012</t>
  </si>
  <si>
    <t xml:space="preserve">BHUMIKA SHARMA </t>
  </si>
  <si>
    <t>11-04-2014</t>
  </si>
  <si>
    <t xml:space="preserve">HARSHITA BARMAN </t>
  </si>
  <si>
    <t>25-08-2013</t>
  </si>
  <si>
    <t xml:space="preserve">KHUSHI KOL </t>
  </si>
  <si>
    <t>DEEPAK KUMAR KOL</t>
  </si>
  <si>
    <t xml:space="preserve">KAMLA BAI </t>
  </si>
  <si>
    <t>04-08-2013</t>
  </si>
  <si>
    <t xml:space="preserve">MAHI JAISWAL </t>
  </si>
  <si>
    <t xml:space="preserve">MEGHA JAISWAL </t>
  </si>
  <si>
    <t>28-04-2013</t>
  </si>
  <si>
    <t xml:space="preserve">NAVYA GAUTAM </t>
  </si>
  <si>
    <t xml:space="preserve">RAJNISH GAUTAM </t>
  </si>
  <si>
    <t>31-12-2012</t>
  </si>
  <si>
    <t xml:space="preserve">NAINSHI PATEL </t>
  </si>
  <si>
    <t>NAGENDRA SINGH</t>
  </si>
  <si>
    <t xml:space="preserve">PAPPEE BAI </t>
  </si>
  <si>
    <t>04-12-2013</t>
  </si>
  <si>
    <t xml:space="preserve">RIYA LODHI </t>
  </si>
  <si>
    <t xml:space="preserve">ANIL KUMAR LODHI </t>
  </si>
  <si>
    <t>SHILA BAI LODHI</t>
  </si>
  <si>
    <t>23-12-2013</t>
  </si>
  <si>
    <t xml:space="preserve">RUBI PATEL </t>
  </si>
  <si>
    <t xml:space="preserve">RAMESH PATEL </t>
  </si>
  <si>
    <t>04-11-2012</t>
  </si>
  <si>
    <t xml:space="preserve">SARSWATI PATHKAR </t>
  </si>
  <si>
    <t>24-01-2013</t>
  </si>
  <si>
    <t xml:space="preserve">SHASHI PATEL </t>
  </si>
  <si>
    <t>RAJKUMAR PATEL</t>
  </si>
  <si>
    <t>INDRA BAI PATEL</t>
  </si>
  <si>
    <t>12-12-2013</t>
  </si>
  <si>
    <t>10-07-2014</t>
  </si>
  <si>
    <t xml:space="preserve">SHREYA KACHHI </t>
  </si>
  <si>
    <t>BINEETA HALDKAR</t>
  </si>
  <si>
    <t>05-01-2014</t>
  </si>
  <si>
    <t xml:space="preserve">SAKSHI LODHI </t>
  </si>
  <si>
    <t xml:space="preserve">POOJA BAI </t>
  </si>
  <si>
    <t>18-08-2014</t>
  </si>
  <si>
    <t xml:space="preserve">VAISHNAVI RAJAK </t>
  </si>
  <si>
    <t xml:space="preserve">SANDEEP KUMAR RAJAK </t>
  </si>
  <si>
    <t>06-10-2013</t>
  </si>
  <si>
    <t xml:space="preserve">VAISHNAVI UPADHYAY </t>
  </si>
  <si>
    <t xml:space="preserve">ATISH UPADHYAY </t>
  </si>
  <si>
    <t>ROSHNI UPADHYAY</t>
  </si>
  <si>
    <t>31-08-2013</t>
  </si>
  <si>
    <t>27-02-2013</t>
  </si>
  <si>
    <t xml:space="preserve">ATUL YADAV </t>
  </si>
  <si>
    <t xml:space="preserve">NARAYAN PRASAD YADAV </t>
  </si>
  <si>
    <t>RAVEENA BAI</t>
  </si>
  <si>
    <t>20-05-2014</t>
  </si>
  <si>
    <t xml:space="preserve">ADARSH SAHU </t>
  </si>
  <si>
    <t>23-05-2013</t>
  </si>
  <si>
    <t xml:space="preserve">NEELAM </t>
  </si>
  <si>
    <t>14-08-2013</t>
  </si>
  <si>
    <t xml:space="preserve">ADARSH MEHRA </t>
  </si>
  <si>
    <t xml:space="preserve">DHARMENDRA MEHRA </t>
  </si>
  <si>
    <t xml:space="preserve">RAJKUMARI </t>
  </si>
  <si>
    <t>14-07-2013</t>
  </si>
  <si>
    <t xml:space="preserve">NAYAN KUMAR  </t>
  </si>
  <si>
    <t xml:space="preserve">PREM KUMAR </t>
  </si>
  <si>
    <t xml:space="preserve">REKHA BAI </t>
  </si>
  <si>
    <t>18-07-2013</t>
  </si>
  <si>
    <t xml:space="preserve">AARAV SONI </t>
  </si>
  <si>
    <t xml:space="preserve">PIYUSH PATEL </t>
  </si>
  <si>
    <t xml:space="preserve">PARAM LAL </t>
  </si>
  <si>
    <t xml:space="preserve">RAJANI PATEL </t>
  </si>
  <si>
    <t>16-12-2011</t>
  </si>
  <si>
    <t xml:space="preserve">RUDRA GARG </t>
  </si>
  <si>
    <t xml:space="preserve">BASANT KUMAR GARG </t>
  </si>
  <si>
    <t>JYOTSNA GARG</t>
  </si>
  <si>
    <t>19-08-2013</t>
  </si>
  <si>
    <t xml:space="preserve">RAJUL YADAV </t>
  </si>
  <si>
    <t xml:space="preserve">RAMESH YADAV </t>
  </si>
  <si>
    <t xml:space="preserve">SHIVKUMARI </t>
  </si>
  <si>
    <t>SANDHYA BAI</t>
  </si>
  <si>
    <t>18-11-2012</t>
  </si>
  <si>
    <t xml:space="preserve">SHIVAM YADAV </t>
  </si>
  <si>
    <t xml:space="preserve">SARVESH YADAV </t>
  </si>
  <si>
    <t xml:space="preserve">REKHA  </t>
  </si>
  <si>
    <t>25-02-2013</t>
  </si>
  <si>
    <t xml:space="preserve">SHREYANSH UPADHYAY </t>
  </si>
  <si>
    <t>SATISH UPADHYAY</t>
  </si>
  <si>
    <t xml:space="preserve">SAPANA UPADHYAY </t>
  </si>
  <si>
    <t>20-08-2013</t>
  </si>
  <si>
    <t>SHREYANSH KUSHWAHA</t>
  </si>
  <si>
    <t xml:space="preserve">SURYA KOL </t>
  </si>
  <si>
    <t xml:space="preserve">PAPPU KOL </t>
  </si>
  <si>
    <t xml:space="preserve">SAROJ BAI </t>
  </si>
  <si>
    <t>19-10-2010</t>
  </si>
  <si>
    <t xml:space="preserve">SATYAM YADAV </t>
  </si>
  <si>
    <t xml:space="preserve">BHAGIRATH YADAV </t>
  </si>
  <si>
    <t>28-02-2013</t>
  </si>
  <si>
    <t xml:space="preserve">PRANADHAR NAYAK </t>
  </si>
  <si>
    <t xml:space="preserve">PRITI NAYAK </t>
  </si>
  <si>
    <t>19-02-2013</t>
  </si>
  <si>
    <t xml:space="preserve">ASHWANI KUMAR SONI </t>
  </si>
  <si>
    <t>07-08-2013</t>
  </si>
  <si>
    <t xml:space="preserve">RAMAKANT AHIR  </t>
  </si>
  <si>
    <t>RAJKUMAR AHIR</t>
  </si>
  <si>
    <t xml:space="preserve">RAGNI AHIR </t>
  </si>
  <si>
    <t>17-07-2013</t>
  </si>
  <si>
    <t>03-09-2013</t>
  </si>
  <si>
    <t xml:space="preserve">AKANKSHA KACHHI </t>
  </si>
  <si>
    <t xml:space="preserve">AKHILESH KUMAR KACHHI </t>
  </si>
  <si>
    <t xml:space="preserve">KAMLESH KUMARI KACHHI </t>
  </si>
  <si>
    <t>04-12-2012</t>
  </si>
  <si>
    <t xml:space="preserve">AKANKSHA YADAV </t>
  </si>
  <si>
    <t>INDRAJEET YADAV</t>
  </si>
  <si>
    <t xml:space="preserve">TULSA BAI </t>
  </si>
  <si>
    <t>04-12-2011</t>
  </si>
  <si>
    <t xml:space="preserve">AKRITI MEHRA </t>
  </si>
  <si>
    <t xml:space="preserve">ARVIND KUMAR MEHRA </t>
  </si>
  <si>
    <t xml:space="preserve">RASHMI MEHRA </t>
  </si>
  <si>
    <t>31-07-2012</t>
  </si>
  <si>
    <t>ANSHIKA PATEL</t>
  </si>
  <si>
    <t xml:space="preserve">ARCHNA PATEL </t>
  </si>
  <si>
    <t>09-07-2013</t>
  </si>
  <si>
    <t>ASTHA PATEL</t>
  </si>
  <si>
    <t xml:space="preserve">SUSHEEL KUMAR PATEL </t>
  </si>
  <si>
    <t>PREMLATA PATEL</t>
  </si>
  <si>
    <t>17-01-2013</t>
  </si>
  <si>
    <t xml:space="preserve">JYOTI  PATEL </t>
  </si>
  <si>
    <t xml:space="preserve">SATENDRA </t>
  </si>
  <si>
    <t xml:space="preserve">KAUSILYA </t>
  </si>
  <si>
    <t>03-05-2012</t>
  </si>
  <si>
    <t xml:space="preserve">MADHU LODHI </t>
  </si>
  <si>
    <t>28-05-2012</t>
  </si>
  <si>
    <t xml:space="preserve">NAVYA JAYSWAL </t>
  </si>
  <si>
    <t xml:space="preserve">RESHMA </t>
  </si>
  <si>
    <t>09-08-2012</t>
  </si>
  <si>
    <t xml:space="preserve">NENSHI PATEL </t>
  </si>
  <si>
    <t>PRAMOD PATEL</t>
  </si>
  <si>
    <t>MEENA PATEL</t>
  </si>
  <si>
    <t>11-08-2011</t>
  </si>
  <si>
    <t xml:space="preserve">NISHA SAHU </t>
  </si>
  <si>
    <t xml:space="preserve">GAYA PRASAD SAHU </t>
  </si>
  <si>
    <t xml:space="preserve">BABITA SAHU </t>
  </si>
  <si>
    <t>25-02-2012</t>
  </si>
  <si>
    <t>PALAK JAISWAL</t>
  </si>
  <si>
    <t xml:space="preserve">SHIV PRASAD </t>
  </si>
  <si>
    <t xml:space="preserve">ARTI JAISWAL </t>
  </si>
  <si>
    <t>16-08-2012</t>
  </si>
  <si>
    <t xml:space="preserve">PALAK KUSHWAHA </t>
  </si>
  <si>
    <t xml:space="preserve">OM PRAKASH KUSHWAHA </t>
  </si>
  <si>
    <t xml:space="preserve">GAYATRI KUSHWAHA </t>
  </si>
  <si>
    <t>21-07-2012</t>
  </si>
  <si>
    <t xml:space="preserve">PAVNI PATEL </t>
  </si>
  <si>
    <t xml:space="preserve">ASHOK PATEL </t>
  </si>
  <si>
    <t>20-04-2012</t>
  </si>
  <si>
    <t xml:space="preserve">POORTI MISHRA </t>
  </si>
  <si>
    <t xml:space="preserve">SATY BHUSHAN </t>
  </si>
  <si>
    <t xml:space="preserve">PRIYANKA </t>
  </si>
  <si>
    <t>26-04-2012</t>
  </si>
  <si>
    <t xml:space="preserve">RESHMA PATEL </t>
  </si>
  <si>
    <t>GUDIYA PATEL</t>
  </si>
  <si>
    <t>08-09-2012</t>
  </si>
  <si>
    <t>SULOCHANA KUSHWAHA</t>
  </si>
  <si>
    <t>11-08-2010</t>
  </si>
  <si>
    <t xml:space="preserve">SONAM LODHI </t>
  </si>
  <si>
    <t xml:space="preserve">SOHNI PATEL </t>
  </si>
  <si>
    <t xml:space="preserve">RAJESH KUMAR PATEL </t>
  </si>
  <si>
    <t>28-07-2012</t>
  </si>
  <si>
    <t xml:space="preserve">SURBHI TIWARI </t>
  </si>
  <si>
    <t>RATNA TIWARI</t>
  </si>
  <si>
    <t>23-01-2012</t>
  </si>
  <si>
    <t xml:space="preserve">SUREKHA KOL </t>
  </si>
  <si>
    <t xml:space="preserve">SANTOSH KOL </t>
  </si>
  <si>
    <t xml:space="preserve">SEEMA KOL </t>
  </si>
  <si>
    <t>27-11-2012</t>
  </si>
  <si>
    <t xml:space="preserve">SWETA JAISWAL </t>
  </si>
  <si>
    <t>DEEP KUMAR JAISWAL</t>
  </si>
  <si>
    <t>08-04-2013</t>
  </si>
  <si>
    <t xml:space="preserve">TANYA SHRIVAS </t>
  </si>
  <si>
    <t>PARMANAND SHRIVAS</t>
  </si>
  <si>
    <t>08-08-2013</t>
  </si>
  <si>
    <t xml:space="preserve">ABHAY KUSHWAHA </t>
  </si>
  <si>
    <t>SULOCHNA KUSHWAHA</t>
  </si>
  <si>
    <t>14-08-2012</t>
  </si>
  <si>
    <t>AVDHESH PATEL</t>
  </si>
  <si>
    <t>02-07-2012</t>
  </si>
  <si>
    <t xml:space="preserve">SUMAN PATEL </t>
  </si>
  <si>
    <t>03-11-2012</t>
  </si>
  <si>
    <t xml:space="preserve">ANSH KACHHI </t>
  </si>
  <si>
    <t>SUNIL KUMAR</t>
  </si>
  <si>
    <t xml:space="preserve">MANISHA BAI </t>
  </si>
  <si>
    <t>15-07-2013</t>
  </si>
  <si>
    <t xml:space="preserve">ARMAN PATEL </t>
  </si>
  <si>
    <t xml:space="preserve">ANIL KUMAR </t>
  </si>
  <si>
    <t xml:space="preserve">ARCHANA LODHI </t>
  </si>
  <si>
    <t>05-01-2012</t>
  </si>
  <si>
    <t xml:space="preserve">ARJUN PATEL </t>
  </si>
  <si>
    <t xml:space="preserve">UMESH PATEL </t>
  </si>
  <si>
    <t xml:space="preserve">SAKHI PATEL </t>
  </si>
  <si>
    <t>14-12-2011</t>
  </si>
  <si>
    <t xml:space="preserve">AYUSH KUMAR MEHRA </t>
  </si>
  <si>
    <t>DINESH KUMAR MEHRA</t>
  </si>
  <si>
    <t>SADHANA MEHRA</t>
  </si>
  <si>
    <t>01-02-2012</t>
  </si>
  <si>
    <t xml:space="preserve">AYUSH VISHWAKARMA </t>
  </si>
  <si>
    <t xml:space="preserve">MATHURA PRASAD VISHWAKARMA </t>
  </si>
  <si>
    <t>PUSHPLATA VISHWAKARMA</t>
  </si>
  <si>
    <t>25-09-2012</t>
  </si>
  <si>
    <t xml:space="preserve">AKSHANSH KUSHWAHA </t>
  </si>
  <si>
    <t xml:space="preserve">SANTOSH KUMAR KUSHWAHA </t>
  </si>
  <si>
    <t>ARADHNA KUSHWAHA</t>
  </si>
  <si>
    <t>08-04-2012</t>
  </si>
  <si>
    <t xml:space="preserve">BHUPENDRA PATEL </t>
  </si>
  <si>
    <t xml:space="preserve">RAGHUNATH PATEL </t>
  </si>
  <si>
    <t xml:space="preserve">ASHLEKHA PATEL </t>
  </si>
  <si>
    <t>09-07-2012</t>
  </si>
  <si>
    <t xml:space="preserve">DEEPAK ASATI </t>
  </si>
  <si>
    <t>28-07-2011</t>
  </si>
  <si>
    <t xml:space="preserve">DURGESH JAISWAL </t>
  </si>
  <si>
    <t xml:space="preserve">NARESH KUMAR </t>
  </si>
  <si>
    <t xml:space="preserve">RAJ BAI </t>
  </si>
  <si>
    <t>15-07-2011</t>
  </si>
  <si>
    <t xml:space="preserve">HARSH KOL </t>
  </si>
  <si>
    <t>SUNIL KOL</t>
  </si>
  <si>
    <t xml:space="preserve">KIRAN KOL </t>
  </si>
  <si>
    <t>07-01-2012</t>
  </si>
  <si>
    <t xml:space="preserve">KHUSHI LAL PATEL </t>
  </si>
  <si>
    <t>MITHLESH PATEL</t>
  </si>
  <si>
    <t xml:space="preserve">SUNEETA BAI </t>
  </si>
  <si>
    <t>15-11-2010</t>
  </si>
  <si>
    <t xml:space="preserve">KRISHNA JHARIYA </t>
  </si>
  <si>
    <t xml:space="preserve">SURESH JHARIYA </t>
  </si>
  <si>
    <t xml:space="preserve">SUMAN JHARIYA </t>
  </si>
  <si>
    <t xml:space="preserve">LAXMI NARAYAN SAHU </t>
  </si>
  <si>
    <t xml:space="preserve">ARCHANA SAHU </t>
  </si>
  <si>
    <t>16-11-2012</t>
  </si>
  <si>
    <t xml:space="preserve">MANAS PATEL </t>
  </si>
  <si>
    <t>SANJAY PATEL</t>
  </si>
  <si>
    <t>30-03-2013</t>
  </si>
  <si>
    <t xml:space="preserve">MOHIT PATEL </t>
  </si>
  <si>
    <t>KAMLESH  PATEL</t>
  </si>
  <si>
    <t>SEEMA PATEL</t>
  </si>
  <si>
    <t xml:space="preserve">NEERAJ KUSHWAHA </t>
  </si>
  <si>
    <t xml:space="preserve">RAJJU LAL  </t>
  </si>
  <si>
    <t xml:space="preserve">MANJO BAI </t>
  </si>
  <si>
    <t>18-09-2012</t>
  </si>
  <si>
    <t xml:space="preserve">JAGDEESH PRASAD PATEL </t>
  </si>
  <si>
    <t xml:space="preserve">GANESHI PATEL </t>
  </si>
  <si>
    <t xml:space="preserve">NISHITH PATEL </t>
  </si>
  <si>
    <t xml:space="preserve">PRAHLAD PATEL </t>
  </si>
  <si>
    <t xml:space="preserve">ANJNA PATEL </t>
  </si>
  <si>
    <t>16-07-2011</t>
  </si>
  <si>
    <t xml:space="preserve">PRAKASH KOL </t>
  </si>
  <si>
    <t>RAJKUMAR KOL</t>
  </si>
  <si>
    <t xml:space="preserve">SANTOSHI KOL </t>
  </si>
  <si>
    <t>26-10-2012</t>
  </si>
  <si>
    <t xml:space="preserve">PRIYANSH GARG </t>
  </si>
  <si>
    <t xml:space="preserve">BRAJESH GARG </t>
  </si>
  <si>
    <t>07-10-2012</t>
  </si>
  <si>
    <t xml:space="preserve">RAMBHAKT PATEL </t>
  </si>
  <si>
    <t>JYOTI PATEL</t>
  </si>
  <si>
    <t>13-03-2012</t>
  </si>
  <si>
    <t xml:space="preserve">SAMAR PATEL </t>
  </si>
  <si>
    <t xml:space="preserve">PRAMOD KUMAR </t>
  </si>
  <si>
    <t xml:space="preserve">ASHA BAI PATEL </t>
  </si>
  <si>
    <t xml:space="preserve">SIDDHARTH CHOUDHARY </t>
  </si>
  <si>
    <t>PRAKASH CHOUDHARY</t>
  </si>
  <si>
    <t>PARMEENA CHOUDHARY</t>
  </si>
  <si>
    <t>20-05-2013</t>
  </si>
  <si>
    <t xml:space="preserve">SAHIL PATEL </t>
  </si>
  <si>
    <t xml:space="preserve">SHAMBHU PATEL </t>
  </si>
  <si>
    <t>SARLA PATEL</t>
  </si>
  <si>
    <t>SHUBHAM KUMAR SAHU</t>
  </si>
  <si>
    <t>ARCHNA SAHU</t>
  </si>
  <si>
    <t>14-05-2012</t>
  </si>
  <si>
    <t xml:space="preserve">UTKARSH VISHWAKARMA </t>
  </si>
  <si>
    <t xml:space="preserve">PRAMOD VISHWAKARMA </t>
  </si>
  <si>
    <t>KALPANA  VISHWAKARMA</t>
  </si>
  <si>
    <t>SUKHIRAM PATEL</t>
  </si>
  <si>
    <t>SAKUNTALA PATEL</t>
  </si>
  <si>
    <t>22-05-2012</t>
  </si>
  <si>
    <t xml:space="preserve">ENROLMENT </t>
  </si>
  <si>
    <t>ADITI HALDKAR</t>
  </si>
  <si>
    <t>ANAMIKA YADAV</t>
  </si>
  <si>
    <t>ANJALI PANDEY</t>
  </si>
  <si>
    <t>ANJALI SAHU</t>
  </si>
  <si>
    <t>ARTI KUSHWAHA</t>
  </si>
  <si>
    <t>DEEPA SAHU</t>
  </si>
  <si>
    <t>DEEPALI KOL</t>
  </si>
  <si>
    <t>DEEPIKA CHOUDHARY</t>
  </si>
  <si>
    <t>DIVYA KUSHWAHA</t>
  </si>
  <si>
    <t>DURGA YADAV</t>
  </si>
  <si>
    <t>GOURI PATEL</t>
  </si>
  <si>
    <t>GOURI VISHWAKARMA</t>
  </si>
  <si>
    <t>IKCHHA KOL</t>
  </si>
  <si>
    <t>JANVI SAHU</t>
  </si>
  <si>
    <t>MANU LODHI</t>
  </si>
  <si>
    <t>NIKKI KOL</t>
  </si>
  <si>
    <t>RADHA KOL</t>
  </si>
  <si>
    <t>RIDDHI PARIHAR</t>
  </si>
  <si>
    <t>SHIVANI KOL</t>
  </si>
  <si>
    <t>SHRADDHA KURMI</t>
  </si>
  <si>
    <t>SHRIYANSHI YADAV</t>
  </si>
  <si>
    <t>SIDDHI PARIHAR</t>
  </si>
  <si>
    <t xml:space="preserve">RAMDAS YADAV </t>
  </si>
  <si>
    <t xml:space="preserve">BHUVNESHWAR PRASAD PANDEY </t>
  </si>
  <si>
    <t xml:space="preserve">PREM CHAND SAHU </t>
  </si>
  <si>
    <t xml:space="preserve">PREMLAL </t>
  </si>
  <si>
    <t xml:space="preserve">RAKESH YADAV </t>
  </si>
  <si>
    <t xml:space="preserve">SUNIL KOL </t>
  </si>
  <si>
    <t xml:space="preserve">PRITAM SAHU </t>
  </si>
  <si>
    <t xml:space="preserve">RAM VILAS KOL </t>
  </si>
  <si>
    <t>KAMLESH KUMAR</t>
  </si>
  <si>
    <t xml:space="preserve">PANKAJ SINGH </t>
  </si>
  <si>
    <t xml:space="preserve">SUSHIL KUMAR YADAV </t>
  </si>
  <si>
    <t>INDRAVATI HALDKAR</t>
  </si>
  <si>
    <t>SIYA BAI YADAV</t>
  </si>
  <si>
    <t>ARTI SAHU</t>
  </si>
  <si>
    <t>SAROJ KUSHWAHA</t>
  </si>
  <si>
    <t>SANDHYA</t>
  </si>
  <si>
    <t>LATA YADAV</t>
  </si>
  <si>
    <t>KALPANA VISHWAKARMA</t>
  </si>
  <si>
    <t>SONIYA BAI KOL</t>
  </si>
  <si>
    <t xml:space="preserve"> BARRO BAI</t>
  </si>
  <si>
    <t>AMRITA SINGH</t>
  </si>
  <si>
    <t>GULAB BAI</t>
  </si>
  <si>
    <t>RADHA PATEL</t>
  </si>
  <si>
    <t>27/10/2010</t>
  </si>
  <si>
    <t>20/03/2011</t>
  </si>
  <si>
    <t>15/08/2011</t>
  </si>
  <si>
    <t>23/11/2011</t>
  </si>
  <si>
    <t>15/08/2012</t>
  </si>
  <si>
    <t>30/12/2010</t>
  </si>
  <si>
    <t>13/07/2010</t>
  </si>
  <si>
    <t>17/08/2011</t>
  </si>
  <si>
    <t>29/01/2011</t>
  </si>
  <si>
    <t>25/04/2009</t>
  </si>
  <si>
    <t>15/06/2011</t>
  </si>
  <si>
    <t>17/04/2010</t>
  </si>
  <si>
    <t>ABHAY KUMAR PATEL</t>
  </si>
  <si>
    <t>ANAND KUMAR YADAV</t>
  </si>
  <si>
    <t>ANURAG BARMAN</t>
  </si>
  <si>
    <t>ASHISH PATEL</t>
  </si>
  <si>
    <t>CHIRAG HALDKAR</t>
  </si>
  <si>
    <t>DIPANSHU KACHHI</t>
  </si>
  <si>
    <t>GAURAV PATEL</t>
  </si>
  <si>
    <t>HARDIK PATEL</t>
  </si>
  <si>
    <t>KANHA SEN</t>
  </si>
  <si>
    <t>LALIT KUMAR BARMAN</t>
  </si>
  <si>
    <t>NIKHIL PATEL</t>
  </si>
  <si>
    <t>RAMU PATEL</t>
  </si>
  <si>
    <t>SHUBHAM LODHI</t>
  </si>
  <si>
    <t>26/01/2012</t>
  </si>
  <si>
    <t>30/10/2010</t>
  </si>
  <si>
    <t>17/06/2010</t>
  </si>
  <si>
    <t>30/07/2011</t>
  </si>
  <si>
    <t>23/08/2011</t>
  </si>
  <si>
    <t>19/05/2012</t>
  </si>
  <si>
    <t>19/09/2010</t>
  </si>
  <si>
    <t>27/12/2011</t>
  </si>
  <si>
    <t>20/12/2010</t>
  </si>
  <si>
    <t xml:space="preserve">KAMLESH KUMAR YADAV </t>
  </si>
  <si>
    <t xml:space="preserve">HEERA LAL BARMAN </t>
  </si>
  <si>
    <t xml:space="preserve">RAJKUMAR PATEL </t>
  </si>
  <si>
    <t xml:space="preserve">RAJENDRA HALDKAR </t>
  </si>
  <si>
    <t xml:space="preserve">SHARDA KACHHI </t>
  </si>
  <si>
    <t xml:space="preserve">RAGHVENDRA YADAV </t>
  </si>
  <si>
    <t xml:space="preserve">KANHAIYA PATEL </t>
  </si>
  <si>
    <t xml:space="preserve">RAVI LODHI </t>
  </si>
  <si>
    <t>SAVITA PATEL</t>
  </si>
  <si>
    <t>HEMLATA BARMAN</t>
  </si>
  <si>
    <t>BHARTI HALDKAR</t>
  </si>
  <si>
    <t>SUSHILA BAI PATEL</t>
  </si>
  <si>
    <t>UMA BAI PATEL</t>
  </si>
  <si>
    <t>PREMKUMARI BARMAN</t>
  </si>
  <si>
    <t>RAJA BAI PATEL</t>
  </si>
  <si>
    <t>KIRAN YADAV</t>
  </si>
  <si>
    <t>ROSHNI LODHI</t>
  </si>
  <si>
    <t xml:space="preserve">AARAV YADAV </t>
  </si>
  <si>
    <t>KAUSHILYA KUSHWAHA</t>
  </si>
  <si>
    <t>SANYA KACHHI</t>
  </si>
  <si>
    <t xml:space="preserve">SANDEEP KUMAR  </t>
  </si>
  <si>
    <t xml:space="preserve">LAXMI </t>
  </si>
  <si>
    <t>11-05-2020</t>
  </si>
  <si>
    <t xml:space="preserve">SATISH KUMAR PATHAK </t>
  </si>
  <si>
    <t>05-07-2020</t>
  </si>
  <si>
    <t>DATE</t>
  </si>
  <si>
    <t>UKG</t>
  </si>
  <si>
    <t>1ST</t>
  </si>
  <si>
    <t>4TH</t>
  </si>
  <si>
    <t>5TH</t>
  </si>
  <si>
    <t>8TH</t>
  </si>
  <si>
    <t>9TH</t>
  </si>
  <si>
    <t>10TH</t>
  </si>
  <si>
    <t>SAPNA TIWARI</t>
  </si>
  <si>
    <t>16-08-2020</t>
  </si>
  <si>
    <t>317564904</t>
  </si>
  <si>
    <t>1829</t>
  </si>
  <si>
    <t xml:space="preserve">NAHUSH PUBLIC HIGH SCHOOL MOHLA </t>
  </si>
  <si>
    <t xml:space="preserve">TIME TABLE </t>
  </si>
  <si>
    <t>QUARTERLY EXAMINATION-2025-26</t>
  </si>
  <si>
    <t>S NO.</t>
  </si>
  <si>
    <t xml:space="preserve">DATE </t>
  </si>
  <si>
    <t xml:space="preserve">DAY </t>
  </si>
  <si>
    <t>SUBJECT</t>
  </si>
  <si>
    <t xml:space="preserve">TIME </t>
  </si>
  <si>
    <t xml:space="preserve">STUDENT NAME - </t>
  </si>
  <si>
    <t xml:space="preserve">ROLL NO </t>
  </si>
  <si>
    <t xml:space="preserve">NIMAS </t>
  </si>
  <si>
    <t>MOHLA</t>
  </si>
  <si>
    <t xml:space="preserve">HARDUA KALAN </t>
  </si>
  <si>
    <t xml:space="preserve">PAHARUA </t>
  </si>
  <si>
    <t xml:space="preserve">DHANAGWAN </t>
  </si>
  <si>
    <t>BADKHERA</t>
  </si>
  <si>
    <t xml:space="preserve">KHALRI </t>
  </si>
  <si>
    <t xml:space="preserve">KHAMAHRIYA </t>
  </si>
  <si>
    <t xml:space="preserve">BARGI </t>
  </si>
  <si>
    <t xml:space="preserve">DUNDI </t>
  </si>
  <si>
    <t xml:space="preserve">MOHLA </t>
  </si>
  <si>
    <t xml:space="preserve">MAHAGWAN </t>
  </si>
  <si>
    <t>SUNITA YADAV</t>
  </si>
  <si>
    <t>21/07/2011</t>
  </si>
  <si>
    <t>17/10/2010</t>
  </si>
  <si>
    <t>15/03/2011</t>
  </si>
  <si>
    <t xml:space="preserve">BANDHI </t>
  </si>
  <si>
    <t xml:space="preserve">S NO. </t>
  </si>
  <si>
    <t xml:space="preserve">ADD NO </t>
  </si>
  <si>
    <t xml:space="preserve">STUDENT NAME </t>
  </si>
  <si>
    <t>MOTHER'S</t>
  </si>
  <si>
    <t>DOB</t>
  </si>
  <si>
    <t xml:space="preserve"> A24/712384/030</t>
  </si>
  <si>
    <t>AKANKSHA PATEL</t>
  </si>
  <si>
    <t xml:space="preserve">SHIV KUMAR PATEL </t>
  </si>
  <si>
    <t xml:space="preserve"> TULSA BAI PATEL</t>
  </si>
  <si>
    <t xml:space="preserve"> A24/712384/009</t>
  </si>
  <si>
    <t>AKANKSHA KUSHWAHA</t>
  </si>
  <si>
    <t xml:space="preserve"> A24/712384/035</t>
  </si>
  <si>
    <t>ANSHIKA SINGH</t>
  </si>
  <si>
    <t xml:space="preserve">INDRAPAL SINGH </t>
  </si>
  <si>
    <t>DURGA BAI</t>
  </si>
  <si>
    <t xml:space="preserve"> A24/712384/023</t>
  </si>
  <si>
    <t>ASHI PATEL</t>
  </si>
  <si>
    <t>SAROJ PATEL</t>
  </si>
  <si>
    <t xml:space="preserve"> A24/712384/028</t>
  </si>
  <si>
    <t>ASHUYANTI PATEL</t>
  </si>
  <si>
    <t xml:space="preserve">SANDEEP PATEL </t>
  </si>
  <si>
    <t>BHOORI PATEL</t>
  </si>
  <si>
    <t xml:space="preserve"> A24/712384/020</t>
  </si>
  <si>
    <t>ROSHANI BAIRAGI</t>
  </si>
  <si>
    <t xml:space="preserve"> A24/712384/025</t>
  </si>
  <si>
    <t>MAHAK PATEL</t>
  </si>
  <si>
    <t xml:space="preserve"> A24/712384/013</t>
  </si>
  <si>
    <t>MANSHI PATEL</t>
  </si>
  <si>
    <t xml:space="preserve">NAND KISHOR PATEL </t>
  </si>
  <si>
    <t>AHILYA BAI PATEL</t>
  </si>
  <si>
    <t xml:space="preserve"> A24/712384/010</t>
  </si>
  <si>
    <t>MANSHI NAYAK</t>
  </si>
  <si>
    <t xml:space="preserve">AVINASH KUMAR NAYAK </t>
  </si>
  <si>
    <t xml:space="preserve"> SONA NAYAK</t>
  </si>
  <si>
    <t xml:space="preserve"> A24/712384/019</t>
  </si>
  <si>
    <t>MUSKAN PATEL</t>
  </si>
  <si>
    <t>SUSHEELA</t>
  </si>
  <si>
    <t xml:space="preserve"> A24/712384/034</t>
  </si>
  <si>
    <t>POONAM RAJAK</t>
  </si>
  <si>
    <t xml:space="preserve"> ANJALI RAJAK</t>
  </si>
  <si>
    <t xml:space="preserve"> A24/712384/011</t>
  </si>
  <si>
    <t>RAKHI PATEL</t>
  </si>
  <si>
    <t xml:space="preserve">BABLU PATEL </t>
  </si>
  <si>
    <t xml:space="preserve"> KAUSHALYA PATEL</t>
  </si>
  <si>
    <t xml:space="preserve"> A24/712384/026</t>
  </si>
  <si>
    <t>RINKI</t>
  </si>
  <si>
    <t xml:space="preserve">RAKESH </t>
  </si>
  <si>
    <t>NANDANI</t>
  </si>
  <si>
    <t>A24/712384/003</t>
  </si>
  <si>
    <t xml:space="preserve">KAMLESH KUMAR CHOUBEY </t>
  </si>
  <si>
    <t>NIDHI</t>
  </si>
  <si>
    <t xml:space="preserve"> A24/712384/012</t>
  </si>
  <si>
    <t>SHRASHTI NAYAK</t>
  </si>
  <si>
    <t xml:space="preserve">SHIV ADHAR </t>
  </si>
  <si>
    <t>POONA NAYAK</t>
  </si>
  <si>
    <t xml:space="preserve"> A24/712384/008</t>
  </si>
  <si>
    <t>ABHINEET LODHI</t>
  </si>
  <si>
    <t xml:space="preserve">AMIT KUMAR LODHI </t>
  </si>
  <si>
    <t>SANGEETA BAI</t>
  </si>
  <si>
    <t xml:space="preserve"> A24/712384/015</t>
  </si>
  <si>
    <t xml:space="preserve"> A24/712384/014</t>
  </si>
  <si>
    <t>CHANDAN JAISWAL</t>
  </si>
  <si>
    <t xml:space="preserve">SHIV PRASAD JAISWAL </t>
  </si>
  <si>
    <t>AARTI BAI</t>
  </si>
  <si>
    <t xml:space="preserve"> A24/712384/005</t>
  </si>
  <si>
    <t>DEEPAK KUSHWAHA</t>
  </si>
  <si>
    <t xml:space="preserve"> GAYATRI KUSHWAHA</t>
  </si>
  <si>
    <t xml:space="preserve"> A24/712384/007</t>
  </si>
  <si>
    <t>HARSH PATEL</t>
  </si>
  <si>
    <t xml:space="preserve">RAMPRAKASH PATEL </t>
  </si>
  <si>
    <t xml:space="preserve"> UMA BAI PATEL</t>
  </si>
  <si>
    <t xml:space="preserve"> A24/712384/016</t>
  </si>
  <si>
    <t>LALIT SEN</t>
  </si>
  <si>
    <t xml:space="preserve">RAJKUMAR SEN </t>
  </si>
  <si>
    <t>PINKI SEN</t>
  </si>
  <si>
    <t xml:space="preserve"> A24/712384/031</t>
  </si>
  <si>
    <t>MONU PATEL</t>
  </si>
  <si>
    <t xml:space="preserve">AMAR SINGH LODHI </t>
  </si>
  <si>
    <t xml:space="preserve"> A24/712384/024</t>
  </si>
  <si>
    <t>MOHIT RAJAK</t>
  </si>
  <si>
    <t xml:space="preserve">ASHOK KUMAR RAJAK </t>
  </si>
  <si>
    <t xml:space="preserve"> LAXMI BAI RAJAK</t>
  </si>
  <si>
    <t xml:space="preserve"> A24/712384/036</t>
  </si>
  <si>
    <t>MAYANK DUBEY</t>
  </si>
  <si>
    <t>NISHA DUBEY</t>
  </si>
  <si>
    <t xml:space="preserve"> A24/712384/002</t>
  </si>
  <si>
    <t xml:space="preserve">MANOJ KUMAR KUSHWAHA </t>
  </si>
  <si>
    <t>ARTI BAI</t>
  </si>
  <si>
    <t xml:space="preserve"> A24/712384/021</t>
  </si>
  <si>
    <t xml:space="preserve">BRAJESH KUMAR </t>
  </si>
  <si>
    <t xml:space="preserve"> A24/712384/018</t>
  </si>
  <si>
    <t xml:space="preserve"> KAMLA BAI</t>
  </si>
  <si>
    <t xml:space="preserve"> A24/712384/017</t>
  </si>
  <si>
    <t>SHIVAM YADAV</t>
  </si>
  <si>
    <t xml:space="preserve">RAMSUJAN YADAV </t>
  </si>
  <si>
    <t>TULSA BAI</t>
  </si>
  <si>
    <t xml:space="preserve"> A24/712384/006</t>
  </si>
  <si>
    <t>SIDDHARTH PATEL</t>
  </si>
  <si>
    <t xml:space="preserve">MITHLESH PATEL </t>
  </si>
  <si>
    <t xml:space="preserve"> PRABHA PATEL</t>
  </si>
  <si>
    <t xml:space="preserve"> A24/712384/004</t>
  </si>
  <si>
    <t>SHIVA PATEL</t>
  </si>
  <si>
    <t>RADHA</t>
  </si>
  <si>
    <t xml:space="preserve"> A24/712384/022</t>
  </si>
  <si>
    <t>SAHIL BARMAN</t>
  </si>
  <si>
    <t xml:space="preserve">RAMKRISHNA BARMAN </t>
  </si>
  <si>
    <t>RANAJNA BAI BARMAN</t>
  </si>
  <si>
    <t xml:space="preserve"> A24/712384/001</t>
  </si>
  <si>
    <t>ANSHO</t>
  </si>
  <si>
    <t>NAHUSH PUBLIC SCHOOL MOHLA 2025-26</t>
  </si>
  <si>
    <t xml:space="preserve">CLASS - 10TH </t>
  </si>
  <si>
    <t xml:space="preserve">CLASS -9TH </t>
  </si>
  <si>
    <t xml:space="preserve">CLASS - 7TH </t>
  </si>
  <si>
    <t xml:space="preserve">CLASS - 6TH </t>
  </si>
  <si>
    <t xml:space="preserve">CLASS - 5TH (A)  </t>
  </si>
  <si>
    <t xml:space="preserve">CLASS - 5TH (B)  </t>
  </si>
  <si>
    <t>ANSH KUMAR  MEHRA</t>
  </si>
  <si>
    <t xml:space="preserve">KANCHHEDI LAL SAHU </t>
  </si>
  <si>
    <t xml:space="preserve">CLASS - 4TH (A)  </t>
  </si>
  <si>
    <t xml:space="preserve">PRINCE SAHU </t>
  </si>
  <si>
    <t xml:space="preserve">VINOD SAHU </t>
  </si>
  <si>
    <t>RASHMI SAHU</t>
  </si>
  <si>
    <t>30-01-2015</t>
  </si>
  <si>
    <t xml:space="preserve">ROSHNI BAI PATEL </t>
  </si>
  <si>
    <t xml:space="preserve">CLASS - 2ND (A)  </t>
  </si>
  <si>
    <t xml:space="preserve">CLASS - 1ST (A)  </t>
  </si>
  <si>
    <t>VEER KUMAR MEHRA</t>
  </si>
  <si>
    <t xml:space="preserve">SHIVANSHU KACHHI </t>
  </si>
  <si>
    <t xml:space="preserve">ARUN KUMAR </t>
  </si>
  <si>
    <t>SUHANI CHOUDEY</t>
  </si>
  <si>
    <t>BINDRA BAIRAGI</t>
  </si>
  <si>
    <t>AMIT KUMAR TELI</t>
  </si>
  <si>
    <t xml:space="preserve">RAJKUMAR TELI </t>
  </si>
  <si>
    <t>SANGEETA TELI</t>
  </si>
  <si>
    <t xml:space="preserve">DIVYANSHU KACHHI </t>
  </si>
  <si>
    <t xml:space="preserve">SANDHYA KACHHI </t>
  </si>
  <si>
    <t>26-08-2021</t>
  </si>
  <si>
    <t>317338114</t>
  </si>
  <si>
    <t>1842</t>
  </si>
  <si>
    <t>DHANESHWAR LODHI</t>
  </si>
  <si>
    <t>UMED SINGH</t>
  </si>
  <si>
    <t>1843</t>
  </si>
  <si>
    <t>SHAMA BEGAM MUSALMAN</t>
  </si>
  <si>
    <t>DEV VATI KUSHWAHA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</si>
  <si>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</si>
  <si>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</si>
  <si>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</si>
  <si>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</si>
  <si>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</si>
  <si>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</si>
  <si>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</si>
  <si>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</si>
  <si>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</si>
  <si>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</si>
  <si>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</si>
  <si>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</si>
  <si>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</si>
  <si>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</si>
  <si>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</si>
  <si>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</si>
  <si>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</si>
  <si>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</si>
  <si>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</si>
  <si>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</si>
  <si>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</si>
  <si>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</si>
  <si>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</si>
  <si>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</si>
  <si>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</si>
  <si>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</si>
  <si>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</si>
  <si>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</si>
  <si>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</si>
  <si>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</si>
  <si>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</si>
  <si>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</si>
  <si>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</si>
  <si>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</si>
  <si>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</si>
  <si>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</si>
  <si>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</si>
  <si>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</si>
  <si>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</si>
  <si>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</si>
  <si>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</si>
  <si>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</si>
  <si>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</si>
  <si>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</si>
  <si>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</si>
  <si>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</si>
  <si>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</si>
  <si>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</si>
  <si>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</si>
  <si>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</si>
  <si>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</si>
  <si>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</si>
  <si>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</si>
  <si>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</si>
  <si>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</si>
  <si>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</si>
  <si>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</si>
  <si>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</si>
  <si>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</si>
  <si>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</si>
  <si>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</si>
  <si>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</si>
  <si>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</si>
  <si>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</si>
  <si>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</si>
  <si>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</si>
  <si>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</si>
  <si>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</si>
  <si>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</si>
  <si>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</si>
  <si>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</si>
  <si>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</si>
  <si>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</si>
  <si>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</si>
  <si>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</si>
  <si>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</si>
  <si>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</si>
  <si>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</si>
  <si>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</si>
  <si>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</si>
  <si>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</si>
  <si>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</si>
  <si>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</si>
  <si>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</si>
  <si>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</si>
  <si>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</si>
  <si>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</si>
  <si>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</si>
  <si>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</si>
  <si>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</si>
  <si>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</si>
  <si>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</si>
  <si>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</si>
  <si>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</si>
  <si>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</si>
  <si>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</si>
  <si>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</si>
  <si>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</si>
  <si>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</si>
  <si>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</si>
  <si>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</si>
  <si>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</si>
  <si>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</si>
  <si>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</si>
  <si>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</si>
  <si>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</si>
  <si>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</si>
  <si>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</si>
  <si>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</si>
  <si>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</si>
  <si>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</si>
  <si>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</si>
  <si>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</si>
  <si>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</si>
  <si>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</si>
  <si>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</si>
  <si>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</si>
  <si>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</si>
  <si>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</si>
  <si>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</si>
  <si>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</si>
  <si>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</si>
  <si>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</si>
  <si>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</si>
  <si>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</si>
  <si>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</si>
  <si>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</si>
  <si>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</si>
  <si>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</si>
  <si>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</si>
  <si>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</si>
  <si>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</si>
  <si>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</si>
  <si>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</si>
  <si>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</si>
  <si>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</si>
  <si>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</si>
  <si>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</si>
  <si>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</si>
  <si>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</si>
  <si>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</si>
  <si>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</si>
  <si>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</si>
  <si>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</si>
  <si>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</si>
  <si>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</si>
  <si>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</si>
  <si>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</si>
  <si>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</si>
  <si>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</si>
  <si>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</si>
  <si>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</si>
  <si>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</si>
  <si>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</si>
  <si>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</si>
  <si>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</si>
  <si>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</si>
  <si>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</si>
  <si>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</si>
  <si>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</si>
  <si>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</si>
  <si>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</si>
  <si>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</si>
  <si>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</si>
  <si>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</si>
  <si>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</si>
  <si>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</si>
  <si>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</si>
  <si>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</si>
  <si>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</si>
  <si>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</si>
  <si>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</si>
  <si>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</si>
  <si>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</si>
  <si>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</si>
  <si>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</si>
  <si>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</si>
  <si>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 xml:space="preserve">lkg (A)  </t>
  </si>
  <si>
    <t xml:space="preserve">VIJAY KISHOR PATEL </t>
  </si>
  <si>
    <t xml:space="preserve">VINOD KUMAR </t>
  </si>
  <si>
    <t>SONU LAL  KUSHWAHA</t>
  </si>
  <si>
    <t>VARSHA KUSHWAHA</t>
  </si>
  <si>
    <t xml:space="preserve">DHRUV PATHAK </t>
  </si>
  <si>
    <t>SATEESH YADAV</t>
  </si>
  <si>
    <t xml:space="preserve">KOUSHILYA LODHI </t>
  </si>
  <si>
    <t>DEEPAK KUMAR UPADHYAY</t>
  </si>
  <si>
    <t>JAYKUMAR GADARI</t>
  </si>
  <si>
    <t>316123805</t>
  </si>
  <si>
    <t>12-09-2025</t>
  </si>
  <si>
    <t>15-09-2025</t>
  </si>
  <si>
    <t>16-09-2025</t>
  </si>
  <si>
    <t>18-09-2025</t>
  </si>
  <si>
    <t>19-09-2025</t>
  </si>
  <si>
    <t xml:space="preserve">MATH </t>
  </si>
  <si>
    <t xml:space="preserve">GK </t>
  </si>
  <si>
    <t>COMPUTER</t>
  </si>
  <si>
    <t xml:space="preserve">EVS </t>
  </si>
  <si>
    <t>SCIENCE</t>
  </si>
  <si>
    <t>SO SCIENCE</t>
  </si>
  <si>
    <t xml:space="preserve">SANSTRIT </t>
  </si>
  <si>
    <t xml:space="preserve">SO SCIENCE </t>
  </si>
  <si>
    <t>QUARTERLY EXAMINATION 2025-26</t>
  </si>
  <si>
    <t xml:space="preserve">KAVYA NAYAK </t>
  </si>
  <si>
    <t>15-03-2016</t>
  </si>
  <si>
    <t>27-12-2016</t>
  </si>
  <si>
    <t>PURVI PATHAK</t>
  </si>
  <si>
    <t xml:space="preserve">GOURAV PATKAR </t>
  </si>
  <si>
    <t xml:space="preserve">SONU PATKAR </t>
  </si>
  <si>
    <t xml:space="preserve">REKHA PATKAR </t>
  </si>
  <si>
    <t>DHANI RAM  YADAV</t>
  </si>
  <si>
    <t>317564901</t>
  </si>
  <si>
    <t>314660511</t>
  </si>
  <si>
    <t>ASHWANI JAISWAL</t>
  </si>
  <si>
    <t>313812072</t>
  </si>
  <si>
    <t xml:space="preserve">ANYA SEN </t>
  </si>
  <si>
    <t>09-05-2019</t>
  </si>
  <si>
    <t>QUARTARLY EXAMINATION 2025-26</t>
  </si>
  <si>
    <t xml:space="preserve">ADMIT CARD </t>
  </si>
  <si>
    <t>STUDENT NAME -</t>
  </si>
  <si>
    <t>13-09-2025</t>
  </si>
  <si>
    <t xml:space="preserve">JITENDRA </t>
  </si>
  <si>
    <t>26-02-2021</t>
  </si>
  <si>
    <t>315169103</t>
  </si>
  <si>
    <t>1775</t>
  </si>
  <si>
    <t>314190602</t>
  </si>
  <si>
    <t xml:space="preserve">ARAV PATEL </t>
  </si>
  <si>
    <t>ANIL KUMAR LODHI</t>
  </si>
  <si>
    <t>SAPNA UPADHYAY</t>
  </si>
  <si>
    <t>ALOK KUMAR MEHRA</t>
  </si>
  <si>
    <t xml:space="preserve">RAHUL KEWAT </t>
  </si>
  <si>
    <t>RADHA KEWAT</t>
  </si>
  <si>
    <t>22-08-2019</t>
  </si>
  <si>
    <t xml:space="preserve">JITENDRA  RAJPOOT  </t>
  </si>
  <si>
    <t xml:space="preserve">SONE LAL PATEL </t>
  </si>
  <si>
    <t>MANOJ KUMAR  PATEL</t>
  </si>
  <si>
    <t xml:space="preserve">SUDHA BAI  RAJAK </t>
  </si>
  <si>
    <t>GANESH NAMDEV</t>
  </si>
  <si>
    <t xml:space="preserve">SAPNA NAMDEV </t>
  </si>
  <si>
    <t>KRISHNA KUMAR LODHI</t>
  </si>
  <si>
    <t xml:space="preserve">SIDDHARTH LODHI </t>
  </si>
  <si>
    <t xml:space="preserve"> SHILA BAI LODHI</t>
  </si>
  <si>
    <t>27-01-2019</t>
  </si>
  <si>
    <t>SUSHIL KUMAR LODHI</t>
  </si>
  <si>
    <t>04-07-2018</t>
  </si>
  <si>
    <t>SANTO BAI</t>
  </si>
  <si>
    <t>ABHISHEK KUMAR PATEL</t>
  </si>
  <si>
    <t xml:space="preserve">KAMNI KUSHWAHA </t>
  </si>
  <si>
    <t xml:space="preserve">RAM PRAKASH   </t>
  </si>
  <si>
    <t xml:space="preserve">VANDANA   </t>
  </si>
  <si>
    <t xml:space="preserve">MAHENDRA KUMAR   </t>
  </si>
  <si>
    <t xml:space="preserve">UMED SINGH </t>
  </si>
  <si>
    <t xml:space="preserve">PRIYA LODHI </t>
  </si>
  <si>
    <t xml:space="preserve">BABEETA BAI </t>
  </si>
  <si>
    <t>MANISH DAHAYAT</t>
  </si>
  <si>
    <t xml:space="preserve">POOJA VISHWAKARMA </t>
  </si>
  <si>
    <t xml:space="preserve">SILOCHANA RAJPAL </t>
  </si>
  <si>
    <t>08-08-2020</t>
  </si>
  <si>
    <t xml:space="preserve">AASHI PARDHAN </t>
  </si>
  <si>
    <t xml:space="preserve">ASHOK PARDHAN </t>
  </si>
  <si>
    <t xml:space="preserve">SHANTI BAI PARDHAN </t>
  </si>
  <si>
    <t xml:space="preserve">SURJEET KUMAR BARMAN </t>
  </si>
  <si>
    <t>BHANJAN SINGH PATEL</t>
  </si>
  <si>
    <t xml:space="preserve">RAJNEESH KUMAR DAHIYA </t>
  </si>
  <si>
    <t xml:space="preserve">GOVIND PRASAD PATEL </t>
  </si>
  <si>
    <t>VINAY PATEL</t>
  </si>
  <si>
    <t>UMASHANKAR KUSHWAHA</t>
  </si>
  <si>
    <t>24-07-2018</t>
  </si>
  <si>
    <t>17-12-2017</t>
  </si>
  <si>
    <t>AAYUSH LODHI</t>
  </si>
  <si>
    <t>AKHLESH LODHI</t>
  </si>
  <si>
    <t>KRISHNA BAI</t>
  </si>
  <si>
    <t xml:space="preserve">OM PRAKASH CHAKRAWARTI </t>
  </si>
  <si>
    <t>SANGEETA CHAKRAWARTI</t>
  </si>
  <si>
    <t xml:space="preserve">RAGHAV DAS BAIRAGI </t>
  </si>
  <si>
    <t>MANOJ KUMAR  NAYAK</t>
  </si>
  <si>
    <t xml:space="preserve">RASHANA NAYAK </t>
  </si>
  <si>
    <t>JITENDRA SINGH RAJPOOT</t>
  </si>
  <si>
    <t xml:space="preserve">CHAINA BAI </t>
  </si>
  <si>
    <t>RUTH CHOUDHARI</t>
  </si>
  <si>
    <t>SURESH CHOUDHARI</t>
  </si>
  <si>
    <t>RADHA BAI CHOUDHARI</t>
  </si>
  <si>
    <t xml:space="preserve">HIMANSHU BARMAN </t>
  </si>
  <si>
    <t>RASHMI BARMAN</t>
  </si>
  <si>
    <t xml:space="preserve">REKHA BAI YADAV </t>
  </si>
  <si>
    <t xml:space="preserve">SHANI KUMAR JAISWAL </t>
  </si>
  <si>
    <t>RAJ KUMAR</t>
  </si>
  <si>
    <t>SUDIKSHA JAYSWAL</t>
  </si>
  <si>
    <t>TANISH LODHI</t>
  </si>
  <si>
    <t xml:space="preserve">DEVANSHI DAHIYA </t>
  </si>
  <si>
    <t>30-03-2021</t>
  </si>
  <si>
    <t xml:space="preserve">JUGAL KISHOR MISHRA </t>
  </si>
  <si>
    <t xml:space="preserve">SUMER PATEL </t>
  </si>
  <si>
    <t>PREETI PATEL</t>
  </si>
  <si>
    <t xml:space="preserve">ANANTRAM SAHU </t>
  </si>
  <si>
    <t xml:space="preserve">PUJA PATEL </t>
  </si>
  <si>
    <t xml:space="preserve">SAPNA THAKUR </t>
  </si>
  <si>
    <t xml:space="preserve">SARITA LODHI </t>
  </si>
  <si>
    <t xml:space="preserve">RESHMA THAKUR </t>
  </si>
  <si>
    <t>SANDEEP KUMAR MEHARA</t>
  </si>
  <si>
    <t>JAY PRAKASH TIWARI</t>
  </si>
  <si>
    <t>KHUSHBU PATEL</t>
  </si>
  <si>
    <t>22-10-2019</t>
  </si>
  <si>
    <t xml:space="preserve">RUPENDRA  PATEL </t>
  </si>
  <si>
    <t xml:space="preserve">ROSHNI NAYAK </t>
  </si>
  <si>
    <t>14-09-2013</t>
  </si>
  <si>
    <t>SUDEEP KUMAR</t>
  </si>
  <si>
    <t>MANOJ KUMAR NAI</t>
  </si>
  <si>
    <t xml:space="preserve">  A25/712384/019</t>
  </si>
  <si>
    <t xml:space="preserve">ANIL KUMAR HALDKAR </t>
  </si>
  <si>
    <t xml:space="preserve">  A25/712384/013</t>
  </si>
  <si>
    <t xml:space="preserve">  A25/712384/026</t>
  </si>
  <si>
    <t xml:space="preserve"> USHA PANDEY</t>
  </si>
  <si>
    <t xml:space="preserve">  A25/712384/010</t>
  </si>
  <si>
    <t xml:space="preserve">  A25/712384/041</t>
  </si>
  <si>
    <t>ARADHANA KOL</t>
  </si>
  <si>
    <t xml:space="preserve">  A25/712384/011</t>
  </si>
  <si>
    <t xml:space="preserve"> ARTI SAHU</t>
  </si>
  <si>
    <t xml:space="preserve">  A25/712384/009</t>
  </si>
  <si>
    <t xml:space="preserve">  A25/712384/021</t>
  </si>
  <si>
    <t>GEETA BAI SAHU</t>
  </si>
  <si>
    <t xml:space="preserve">  A25/712384/020</t>
  </si>
  <si>
    <t xml:space="preserve">DEEPAK KUMAR KOL </t>
  </si>
  <si>
    <t>KAMLA BAI KOL</t>
  </si>
  <si>
    <t xml:space="preserve">  A25/712384/037</t>
  </si>
  <si>
    <t xml:space="preserve">  A25/712384/016</t>
  </si>
  <si>
    <t>PURUSHOTTAM KUSHWAHA</t>
  </si>
  <si>
    <t xml:space="preserve"> NEELAM KUSHWAHA</t>
  </si>
  <si>
    <t>28/06/2010</t>
  </si>
  <si>
    <t xml:space="preserve">  A25/712384/003</t>
  </si>
  <si>
    <t xml:space="preserve">  A25/712384/001</t>
  </si>
  <si>
    <t>JAY PRAKASH PATEL</t>
  </si>
  <si>
    <t xml:space="preserve"> REKHA PATEL</t>
  </si>
  <si>
    <t xml:space="preserve">  A25/712384/018</t>
  </si>
  <si>
    <t xml:space="preserve">PRAMOD KUMAR VISHWAKARMA </t>
  </si>
  <si>
    <t xml:space="preserve">  A25/712384/027</t>
  </si>
  <si>
    <t xml:space="preserve"> KIRAN KOL</t>
  </si>
  <si>
    <t xml:space="preserve">  A25/712384/024</t>
  </si>
  <si>
    <t xml:space="preserve">  A25/712384/029</t>
  </si>
  <si>
    <t xml:space="preserve">  A25/712384/028</t>
  </si>
  <si>
    <t xml:space="preserve">  A25/712384/039</t>
  </si>
  <si>
    <t xml:space="preserve">  A25/712384/022</t>
  </si>
  <si>
    <t xml:space="preserve">  A25/712384/030</t>
  </si>
  <si>
    <t xml:space="preserve">  A25/712384/002</t>
  </si>
  <si>
    <t xml:space="preserve">  A25/712384/036</t>
  </si>
  <si>
    <t xml:space="preserve">  A25/712384/023</t>
  </si>
  <si>
    <t xml:space="preserve">  A25/712384/006</t>
  </si>
  <si>
    <t xml:space="preserve">  A25/712384/034</t>
  </si>
  <si>
    <t xml:space="preserve"> INDRAVATI BAI YADAV</t>
  </si>
  <si>
    <t xml:space="preserve">  A25/712384/033</t>
  </si>
  <si>
    <t xml:space="preserve">  A25/712384/005</t>
  </si>
  <si>
    <t xml:space="preserve">  A25/712384/017</t>
  </si>
  <si>
    <t xml:space="preserve">  A25/712384/007</t>
  </si>
  <si>
    <t>SHARDA KACHHI</t>
  </si>
  <si>
    <t xml:space="preserve">  A25/712384/012</t>
  </si>
  <si>
    <t xml:space="preserve">KIRTI KUMAR PATEL </t>
  </si>
  <si>
    <t xml:space="preserve">  A25/712384/035</t>
  </si>
  <si>
    <t xml:space="preserve">  A25/712384/040</t>
  </si>
  <si>
    <t>HARSH BARMAN</t>
  </si>
  <si>
    <t xml:space="preserve">SONELAL BARMAN </t>
  </si>
  <si>
    <t>GEETA BAI BARMAN</t>
  </si>
  <si>
    <t xml:space="preserve">  A25/712384/042</t>
  </si>
  <si>
    <t xml:space="preserve">KOUSHAL SEN </t>
  </si>
  <si>
    <t>SUNEETA SEN</t>
  </si>
  <si>
    <t xml:space="preserve">  A25/712384/025</t>
  </si>
  <si>
    <t xml:space="preserve">  A25/712384/008</t>
  </si>
  <si>
    <t xml:space="preserve">  A25/712384/032</t>
  </si>
  <si>
    <t>PIYUSH PATEL</t>
  </si>
  <si>
    <t xml:space="preserve">KRISHN KUMAR </t>
  </si>
  <si>
    <t xml:space="preserve">  A25/712384/014</t>
  </si>
  <si>
    <t xml:space="preserve">  A25/712384/015</t>
  </si>
  <si>
    <t>PRINCE PATEL</t>
  </si>
  <si>
    <t xml:space="preserve">DURGA DUTT PATEL </t>
  </si>
  <si>
    <t>SATYAVATI PATEL</t>
  </si>
  <si>
    <t xml:space="preserve">  A25/712384/031</t>
  </si>
  <si>
    <t>GAURI BAI PATEL</t>
  </si>
  <si>
    <t xml:space="preserve">  A25/712384/004</t>
  </si>
  <si>
    <t>SHREYANSH YADAV</t>
  </si>
  <si>
    <t xml:space="preserve">LALCHAND YADAV </t>
  </si>
  <si>
    <t xml:space="preserve">  A25/712384/038</t>
  </si>
  <si>
    <t>COM</t>
  </si>
  <si>
    <t xml:space="preserve">PRO </t>
  </si>
  <si>
    <t xml:space="preserve">SRAJAN LODHI </t>
  </si>
  <si>
    <t>HINDI</t>
  </si>
  <si>
    <t>HALP YEARLY EXAM</t>
  </si>
  <si>
    <t xml:space="preserve">HALP YEARLY EXAM </t>
  </si>
  <si>
    <t>QAURTARLY EXAM</t>
  </si>
  <si>
    <t xml:space="preserve">QUARTARLY YEARLY EXAM </t>
  </si>
  <si>
    <t xml:space="preserve">ENG </t>
  </si>
  <si>
    <t>6 0</t>
  </si>
  <si>
    <t>5 2</t>
  </si>
  <si>
    <t>TOTAL</t>
  </si>
  <si>
    <t xml:space="preserve">HALF  YEARLY </t>
  </si>
  <si>
    <t>ENG</t>
  </si>
  <si>
    <t>SAN</t>
  </si>
  <si>
    <t>SCI</t>
  </si>
  <si>
    <t>SO SCI</t>
  </si>
  <si>
    <t>COMP</t>
  </si>
  <si>
    <t xml:space="preserve">ANNUAL EXAM </t>
  </si>
  <si>
    <t>SESSION: 2025 -26</t>
  </si>
  <si>
    <t>School Dise Code - 23390302804</t>
  </si>
  <si>
    <t>REPORT CARD</t>
  </si>
  <si>
    <t>SSSM ID -</t>
  </si>
  <si>
    <t>ROLL NO-</t>
  </si>
  <si>
    <t>:</t>
  </si>
  <si>
    <t xml:space="preserve">FATHER'S NAME  : </t>
  </si>
  <si>
    <t xml:space="preserve">MOTHER'S NAME                        </t>
  </si>
  <si>
    <t>DATE OF BIRTH    :</t>
  </si>
  <si>
    <t xml:space="preserve">MEDIUM OF EXAMINATION </t>
  </si>
  <si>
    <t>DATE -</t>
  </si>
  <si>
    <t>HEADMASTER</t>
  </si>
  <si>
    <t xml:space="preserve">SEAL &amp; SIGNATURE </t>
  </si>
  <si>
    <t xml:space="preserve"> PERCENTAGE</t>
  </si>
  <si>
    <t xml:space="preserve">ADMISSION NO. -                            </t>
  </si>
  <si>
    <t xml:space="preserve">NAME OF STUDENT                 </t>
  </si>
  <si>
    <t>Registration No - 04/14/01/13295/11</t>
  </si>
  <si>
    <t>CLASS                          :</t>
  </si>
  <si>
    <t>MAX.
(60)</t>
  </si>
  <si>
    <t xml:space="preserve">OBTAIN MARKS
(60) </t>
  </si>
  <si>
    <t>MAX.
(100)</t>
  </si>
  <si>
    <t xml:space="preserve">THEORY
(60) </t>
  </si>
  <si>
    <r>
      <rPr>
        <b/>
        <sz val="11"/>
        <color rgb="FF002060"/>
        <rFont val="Cambria"/>
        <family val="1"/>
        <scheme val="major"/>
      </rPr>
      <t>PROJECT</t>
    </r>
    <r>
      <rPr>
        <b/>
        <sz val="8"/>
        <color rgb="FF002060"/>
        <rFont val="Cambria"/>
        <family val="1"/>
        <scheme val="major"/>
      </rPr>
      <t xml:space="preserve"> 
</t>
    </r>
    <r>
      <rPr>
        <b/>
        <sz val="11"/>
        <color rgb="FF002060"/>
        <rFont val="Cambria"/>
        <family val="1"/>
        <scheme val="major"/>
      </rPr>
      <t xml:space="preserve">(40)  </t>
    </r>
  </si>
  <si>
    <t>SO . SCIENCE</t>
  </si>
  <si>
    <t xml:space="preserve">total </t>
  </si>
  <si>
    <t xml:space="preserve">OBTAIN MARKS 
(100) </t>
  </si>
  <si>
    <t xml:space="preserve">DASAI RAM </t>
  </si>
  <si>
    <t>SAVITA LODHI</t>
  </si>
  <si>
    <t>07-04-2019</t>
  </si>
  <si>
    <t xml:space="preserve">SANJAY KUMAR  DUBEY </t>
  </si>
  <si>
    <t xml:space="preserve">ROSHANI YADAV </t>
  </si>
  <si>
    <t xml:space="preserve">ROSHANI RAJPOOT </t>
  </si>
  <si>
    <t xml:space="preserve">VIVAAN GARG </t>
  </si>
  <si>
    <t xml:space="preserve">JANVI  </t>
  </si>
  <si>
    <t>23-08-2017</t>
  </si>
  <si>
    <t xml:space="preserve">VAISHALI JAYSWAL </t>
  </si>
  <si>
    <t xml:space="preserve">SURY PRAKASH KUSHWAHA </t>
  </si>
  <si>
    <t>AMBIKA PRASAD</t>
  </si>
  <si>
    <t>NANDNI PATEL</t>
  </si>
  <si>
    <t xml:space="preserve">VINEET RAJPAL </t>
  </si>
  <si>
    <t>BLOCK MAJHOLI DISTT. JABALPUR M.P.</t>
  </si>
  <si>
    <t xml:space="preserve">CLASS - 9TH </t>
  </si>
  <si>
    <t>SESSION - 2025-26</t>
  </si>
  <si>
    <t>DISE CODE - 23390302804</t>
  </si>
  <si>
    <t xml:space="preserve">अनुक्रमांक
ROLL NO. </t>
  </si>
  <si>
    <t>नामांकन क्रमांक 
ENROLMENT NO.</t>
  </si>
  <si>
    <t xml:space="preserve">प्रवेश क्रमांक 
SCHOLAR NO. </t>
  </si>
  <si>
    <t>संस्था क्रमांक 
SCHOOL CODE</t>
  </si>
  <si>
    <t xml:space="preserve">माध्यम 
MEDIUM </t>
  </si>
  <si>
    <t>श्री/श्रीमती/कुमारी SHRI/SMT/KUMARI -</t>
  </si>
  <si>
    <t>पिता का नाम श्री FATHER'S NAME SHRI-</t>
  </si>
  <si>
    <t xml:space="preserve">माता का नाम श्रीमती MOTHER'S NAME SMT - </t>
  </si>
  <si>
    <t xml:space="preserve">जन्मतिथि DATE OF BIRTH - </t>
  </si>
  <si>
    <t xml:space="preserve">विषय 
SUBJECT </t>
  </si>
  <si>
    <t xml:space="preserve">न्यूनतम अंक
MINIMUM MARKS </t>
  </si>
  <si>
    <t>अधिकतम अंक 
MAXIMUM MARKS</t>
  </si>
  <si>
    <t xml:space="preserve">प्राप्तांक 
OBTAINED MARKS </t>
  </si>
  <si>
    <t xml:space="preserve">अंतिम परिणाम 
FINAL RESULT </t>
  </si>
  <si>
    <t>अधिभार
WEIGHTAGE</t>
  </si>
  <si>
    <t xml:space="preserve">कुल अंक 
GRAND TOTAL </t>
  </si>
  <si>
    <t xml:space="preserve">त्रेमासिक परीक्षा 
5% OF QUARTERLY EXAM </t>
  </si>
  <si>
    <t>अर्ध्दवार्षिक परीक्षा 
5% OF HALF YEARLY EXAM</t>
  </si>
  <si>
    <t>(i)</t>
  </si>
  <si>
    <t>(ii)</t>
  </si>
  <si>
    <t>(iii)</t>
  </si>
  <si>
    <t>(i+ii+iii)</t>
  </si>
  <si>
    <t>विशेष 
REMARKS</t>
  </si>
  <si>
    <t>वार्षिक परीक्षा
ANNUAL EXAM</t>
  </si>
  <si>
    <t xml:space="preserve">समग्र आईडी
SSSMID </t>
  </si>
  <si>
    <t>PHOTO</t>
  </si>
  <si>
    <t>(401) HINDI</t>
  </si>
  <si>
    <t>(411) ENGLISH</t>
  </si>
  <si>
    <t xml:space="preserve">(512) SANSKRIT </t>
  </si>
  <si>
    <t xml:space="preserve">(100) MATHS (STANDARD) </t>
  </si>
  <si>
    <t>(200) SCIENCE</t>
  </si>
  <si>
    <t>(300) SOCIAL SCIENCE</t>
  </si>
  <si>
    <t xml:space="preserve">प्रवेशित तिथि </t>
  </si>
  <si>
    <t>परीक्षा परिणाम</t>
  </si>
  <si>
    <t xml:space="preserve">पूर्णांक </t>
  </si>
  <si>
    <t>कुल प्राप्तांक</t>
  </si>
  <si>
    <t>प्रतिशत</t>
  </si>
  <si>
    <t>श्रेणी</t>
  </si>
  <si>
    <t xml:space="preserve">PUBLISH DATE </t>
  </si>
  <si>
    <t xml:space="preserve">EXAM RESULT </t>
  </si>
  <si>
    <t>MAX. MARKS</t>
  </si>
  <si>
    <t>PARCENTAGE</t>
  </si>
  <si>
    <t xml:space="preserve">DIVISION </t>
  </si>
  <si>
    <t>ग्रेड</t>
  </si>
  <si>
    <r>
      <rPr>
        <b/>
        <sz val="11"/>
        <color theme="6" tint="-0.249977111117893"/>
        <rFont val="Calibri"/>
        <family val="2"/>
        <scheme val="minor"/>
      </rPr>
      <t xml:space="preserve">पर्यावरण शिक्षा एवं आपदा 
प्रबंधन 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scheme val="minor"/>
      </rPr>
      <t>ENVIRONMENTAL EDUCATION &amp;  DISASTER MANAGEMENT GRADE</t>
    </r>
  </si>
  <si>
    <t>SIGNATURE OF CLASS TEACHER</t>
  </si>
  <si>
    <t>SIGNATURE OF EXAM INCHARGE</t>
  </si>
  <si>
    <t xml:space="preserve">SEAL AND SIGNATURE OF </t>
  </si>
  <si>
    <t xml:space="preserve">PRINCIPAL </t>
  </si>
  <si>
    <t>DIVISION (श्रेणी)</t>
  </si>
  <si>
    <t>प्रथम श्रेणी(FIRST DIVISION:&gt;60%)</t>
  </si>
  <si>
    <t>द्वितीय श्रेणी(SECOND DIVISION:&gt;45%)</t>
  </si>
  <si>
    <t>तृतीया श्रेणी(THIRD DIVISION:&gt;60%)</t>
  </si>
  <si>
    <t>प्राप्तांक प्रतिशत</t>
  </si>
  <si>
    <t>GRADE (ग्रेड)</t>
  </si>
  <si>
    <t>85% TO 100%</t>
  </si>
  <si>
    <t>60% TO 74.9%</t>
  </si>
  <si>
    <t>75% TO 84.9%</t>
  </si>
  <si>
    <t>45% TO 59.9%</t>
  </si>
  <si>
    <t>33% TO 44.9%</t>
  </si>
  <si>
    <r>
      <rPr>
        <b/>
        <sz val="12"/>
        <color rgb="FF002060"/>
        <rFont val="ChunkFive Print"/>
        <family val="3"/>
      </rPr>
      <t xml:space="preserve">      अंकसूची</t>
    </r>
    <r>
      <rPr>
        <sz val="11"/>
        <color rgb="FF002060"/>
        <rFont val="ChunkFive Print"/>
        <family val="3"/>
      </rPr>
      <t xml:space="preserve">
             MARKSHEET</t>
    </r>
  </si>
  <si>
    <t>DAMISSION DATE</t>
  </si>
  <si>
    <t>*0.6</t>
  </si>
  <si>
    <t>PRO 15</t>
  </si>
  <si>
    <t>pre</t>
  </si>
  <si>
    <t xml:space="preserve">rank </t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</si>
</sst>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202">
    <font>
      <sz val="11"/>
      <color theme="1"/>
      <name val="Calibri"/>
      <family val="2"/>
      <scheme val="minor"/>
    </font>
    <font>
      <b/>
      <sz val="10"/>
      <color theme="0"/>
      <name val="Cambria"/>
      <family val="1"/>
      <scheme val="major"/>
    </font>
    <font>
      <sz val="10"/>
      <color theme="0"/>
      <name val="Cambria"/>
      <family val="1"/>
      <scheme val="major"/>
    </font>
    <font>
      <sz val="14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1"/>
      <name val="Calibri"/>
      <family val="2"/>
      <scheme val="minor"/>
    </font>
    <font>
      <sz val="11"/>
      <color theme="1"/>
      <name val="Bahnschrift SemiBold"/>
      <family val="2"/>
    </font>
    <font>
      <b/>
      <sz val="11"/>
      <color theme="1"/>
      <name val="Bahnschrift SemiBold"/>
      <family val="2"/>
    </font>
    <font>
      <sz val="14"/>
      <color theme="1"/>
      <name val="Bahnschrift Condensed"/>
      <family val="2"/>
    </font>
    <font>
      <b/>
      <sz val="28"/>
      <color rgb="FF0070C0"/>
      <name val="Cambria"/>
      <family val="1"/>
      <scheme val="major"/>
    </font>
    <font>
      <sz val="11"/>
      <color theme="1"/>
      <name val="Cambria"/>
      <family val="1"/>
      <scheme val="major"/>
    </font>
    <font>
      <sz val="14"/>
      <color rgb="FFFF0000"/>
      <name val="Cambria"/>
      <family val="1"/>
      <scheme val="major"/>
    </font>
    <font>
      <sz val="16"/>
      <color rgb="FF0070C0"/>
      <name val="Cambria"/>
      <family val="1"/>
      <scheme val="major"/>
    </font>
    <font>
      <sz val="12"/>
      <color theme="0"/>
      <name val="Arial Black"/>
      <family val="2"/>
    </font>
    <font>
      <sz val="14"/>
      <color theme="8" tint="-0.499984740745262"/>
      <name val="Cambria"/>
      <family val="1"/>
      <scheme val="major"/>
    </font>
    <font>
      <b/>
      <sz val="11"/>
      <color rgb="FFC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4"/>
      <color rgb="FF0070C0"/>
      <name val="Cambria"/>
      <family val="1"/>
      <scheme val="major"/>
    </font>
    <font>
      <sz val="14"/>
      <color theme="1"/>
      <name val="Cambria"/>
      <family val="1"/>
      <scheme val="major"/>
    </font>
    <font>
      <sz val="11"/>
      <color rgb="FFC00000"/>
      <name val="Cambria"/>
      <family val="1"/>
      <scheme val="major"/>
    </font>
    <font>
      <b/>
      <sz val="14"/>
      <color rgb="FF0070C0"/>
      <name val="Bahnschrift SemiBold"/>
      <family val="2"/>
    </font>
    <font>
      <sz val="14"/>
      <color theme="1"/>
      <name val="Bahnschrift SemiBold"/>
      <family val="2"/>
    </font>
    <font>
      <b/>
      <sz val="14"/>
      <color rgb="FF002060"/>
      <name val="Cambria"/>
      <family val="1"/>
      <scheme val="major"/>
    </font>
    <font>
      <b/>
      <sz val="9"/>
      <color rgb="FFFF0000"/>
      <name val="Cambria"/>
      <family val="1"/>
      <scheme val="major"/>
    </font>
    <font>
      <b/>
      <sz val="13"/>
      <color rgb="FFFF0000"/>
      <name val="Cambria"/>
      <family val="1"/>
    </font>
    <font>
      <b/>
      <sz val="13"/>
      <color rgb="FFFF0000"/>
      <name val="Cambria"/>
      <family val="1"/>
      <scheme val="major"/>
    </font>
    <font>
      <b/>
      <sz val="8"/>
      <color rgb="FF002060"/>
      <name val="Cambria"/>
      <family val="1"/>
    </font>
    <font>
      <b/>
      <sz val="8"/>
      <color rgb="FFC00000"/>
      <name val="Cambria"/>
      <family val="1"/>
    </font>
    <font>
      <b/>
      <sz val="8"/>
      <color rgb="FF002060"/>
      <name val="Cambria"/>
      <family val="1"/>
      <scheme val="major"/>
    </font>
    <font>
      <b/>
      <sz val="8"/>
      <color rgb="FFFF0000"/>
      <name val="Cambria"/>
      <family val="1"/>
      <scheme val="major"/>
    </font>
    <font>
      <sz val="8"/>
      <color rgb="FFFF0000"/>
      <name val="Cambria"/>
      <family val="1"/>
      <scheme val="major"/>
    </font>
    <font>
      <sz val="8"/>
      <color rgb="FFC00000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3"/>
      <name val="Cambria"/>
      <family val="1"/>
      <scheme val="major"/>
    </font>
    <font>
      <b/>
      <sz val="13"/>
      <color theme="8" tint="-0.249977111117893"/>
      <name val="Cambria"/>
      <family val="1"/>
      <scheme val="major"/>
    </font>
    <font>
      <b/>
      <sz val="13"/>
      <color rgb="FFC00000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4"/>
      <color theme="8" tint="-0.249977111117893"/>
      <name val="Cambria"/>
      <family val="1"/>
      <scheme val="major"/>
    </font>
    <font>
      <b/>
      <sz val="12"/>
      <color rgb="FFC00000"/>
      <name val="Cambria"/>
      <family val="1"/>
      <scheme val="major"/>
    </font>
    <font>
      <b/>
      <sz val="14"/>
      <color rgb="FFC00000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4"/>
      <color rgb="FF0070C0"/>
      <name val="Cambria"/>
      <family val="1"/>
      <scheme val="major"/>
    </font>
    <font>
      <b/>
      <sz val="11"/>
      <color rgb="FF7030A0"/>
      <name val="Cambria"/>
      <family val="1"/>
      <scheme val="major"/>
    </font>
    <font>
      <b/>
      <sz val="14"/>
      <color rgb="FFFF0000"/>
      <name val="Cambria"/>
      <family val="1"/>
      <scheme val="major"/>
    </font>
    <font>
      <sz val="11"/>
      <color rgb="FF0070C0"/>
      <name val="Cambria"/>
      <family val="1"/>
      <scheme val="major"/>
    </font>
    <font>
      <sz val="17"/>
      <color rgb="FF1F1F1F"/>
      <name val="Inherit"/>
    </font>
    <font>
      <sz val="17"/>
      <color rgb="FF1F1F1F"/>
      <name val="Arial"/>
      <family val="2"/>
    </font>
    <font>
      <sz val="11"/>
      <color rgb="FF1F1F1F"/>
      <name val="Cambria"/>
      <family val="1"/>
      <scheme val="major"/>
    </font>
    <font>
      <sz val="14"/>
      <color theme="8" tint="-0.499984740745262"/>
      <name val="Bahnschrift SemiBold Condensed"/>
      <family val="2"/>
    </font>
    <font>
      <sz val="14"/>
      <color theme="1"/>
      <name val="Bahnschrift SemiBold Condensed"/>
      <family val="2"/>
    </font>
    <font>
      <b/>
      <sz val="11"/>
      <color rgb="FF0070C0"/>
      <name val="Cambria"/>
      <family val="1"/>
      <scheme val="major"/>
    </font>
    <font>
      <b/>
      <sz val="14"/>
      <name val="Bahnschrift SemiBold Condensed"/>
      <family val="2"/>
    </font>
    <font>
      <b/>
      <sz val="11"/>
      <name val="Cambria"/>
      <family val="1"/>
      <scheme val="major"/>
    </font>
    <font>
      <b/>
      <sz val="26"/>
      <color rgb="FF002060"/>
      <name val="Cambria"/>
      <family val="1"/>
      <scheme val="major"/>
    </font>
    <font>
      <sz val="11"/>
      <color rgb="FF002060"/>
      <name val="Cambria"/>
      <family val="1"/>
      <scheme val="major"/>
    </font>
    <font>
      <sz val="9"/>
      <color rgb="FF0070C0"/>
      <name val="Cambria"/>
      <family val="1"/>
      <scheme val="major"/>
    </font>
    <font>
      <b/>
      <sz val="14"/>
      <color rgb="FFFFFF00"/>
      <name val="Cambria"/>
      <family val="1"/>
      <scheme val="major"/>
    </font>
    <font>
      <b/>
      <sz val="12"/>
      <color rgb="FFFFFF00"/>
      <name val="Cambria"/>
      <family val="1"/>
      <scheme val="major"/>
    </font>
    <font>
      <sz val="12"/>
      <color rgb="FFFFFF00"/>
      <name val="Arial Black"/>
      <family val="2"/>
    </font>
    <font>
      <b/>
      <sz val="14"/>
      <color theme="0"/>
      <name val="Bahnschrift SemiBold"/>
      <family val="2"/>
    </font>
    <font>
      <sz val="11"/>
      <name val="Bahnschrift SemiBold"/>
      <family val="2"/>
    </font>
    <font>
      <sz val="16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Bahnschrift SemiCondensed"/>
      <family val="2"/>
    </font>
    <font>
      <sz val="12"/>
      <color rgb="FF000000"/>
      <name val="Bahnschrift SemiCondensed"/>
      <family val="2"/>
    </font>
    <font>
      <sz val="11"/>
      <color theme="1"/>
      <name val="Bahnschrift SemiBold SemiConden"/>
      <family val="2"/>
    </font>
    <font>
      <b/>
      <sz val="14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1"/>
      <color theme="0"/>
      <name val="Cambria"/>
      <family val="1"/>
      <scheme val="major"/>
    </font>
    <font>
      <sz val="14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sz val="12"/>
      <color theme="1"/>
      <name val="Arial Rounded MT Bold"/>
      <family val="2"/>
    </font>
    <font>
      <b/>
      <sz val="11"/>
      <color rgb="FF002060"/>
      <name val="Cambria"/>
      <family val="1"/>
      <scheme val="maj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Bahnschrift SemiBold SemiConden"/>
      <family val="2"/>
    </font>
    <font>
      <sz val="14"/>
      <color rgb="FFFF0000"/>
      <name val="Bahnschrift SemiBold SemiConden"/>
      <family val="2"/>
    </font>
    <font>
      <sz val="20"/>
      <color theme="1"/>
      <name val="Bahnschrift SemiBold SemiConden"/>
      <family val="2"/>
    </font>
    <font>
      <sz val="14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Bahnschrift SemiBold"/>
      <family val="2"/>
    </font>
    <font>
      <sz val="10"/>
      <color theme="1"/>
      <name val="Calibri"/>
      <family val="2"/>
      <scheme val="minor"/>
    </font>
    <font>
      <sz val="12"/>
      <name val="Arial Rounded MT Bold"/>
      <family val="2"/>
    </font>
    <font>
      <sz val="14"/>
      <color theme="1"/>
      <name val="Bahnschrift SemiCondensed"/>
      <family val="2"/>
    </font>
    <font>
      <sz val="11"/>
      <color theme="1"/>
      <name val="Arial Black"/>
      <family val="2"/>
    </font>
    <font>
      <sz val="10"/>
      <color theme="1"/>
      <name val="Arial Black"/>
      <family val="2"/>
    </font>
    <font>
      <sz val="20"/>
      <color rgb="FFFF0000"/>
      <name val="Bahnschrift SemiBold SemiConden"/>
      <family val="2"/>
    </font>
    <font>
      <sz val="12"/>
      <color rgb="FFFF0000"/>
      <name val="Bahnschrift Condensed"/>
      <family val="2"/>
    </font>
    <font>
      <b/>
      <sz val="14"/>
      <color rgb="FFFFFF00"/>
      <name val="Bahnschrift Condensed"/>
      <family val="2"/>
    </font>
    <font>
      <b/>
      <sz val="14"/>
      <color rgb="FFFFFF00"/>
      <name val="Calibri"/>
      <family val="2"/>
      <scheme val="minor"/>
    </font>
    <font>
      <sz val="12"/>
      <name val="Bahnschrift Condensed"/>
      <family val="2"/>
    </font>
    <font>
      <sz val="14"/>
      <name val="Bahnschrift Condensed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16"/>
      <color theme="1"/>
      <name val="Bernard MT Condensed"/>
      <family val="1"/>
    </font>
    <font>
      <sz val="20"/>
      <color theme="0"/>
      <name val="Britannic Bold"/>
      <family val="2"/>
    </font>
    <font>
      <sz val="12"/>
      <color theme="1"/>
      <name val="Bodoni MT"/>
      <family val="1"/>
    </font>
    <font>
      <sz val="11"/>
      <color theme="1"/>
      <name val="Bodoni MT"/>
      <family val="1"/>
    </font>
    <font>
      <sz val="12"/>
      <color theme="1"/>
      <name val="Bahnschrift SemiBold SemiConden"/>
      <family val="2"/>
    </font>
    <font>
      <sz val="13"/>
      <color theme="1"/>
      <name val="Bahnschrift Condensed"/>
      <family val="2"/>
    </font>
    <font>
      <sz val="13"/>
      <color theme="0"/>
      <name val="Bahnschrift Condensed"/>
      <family val="2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Bahnschrift SemiBold"/>
      <family val="2"/>
    </font>
    <font>
      <sz val="10"/>
      <color theme="1"/>
      <name val="Bahnschrift SemiBold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Arial Black"/>
      <family val="2"/>
    </font>
    <font>
      <sz val="12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2"/>
      <color rgb="FFC00000"/>
      <name val="Bahnschrift Condensed"/>
      <family val="2"/>
    </font>
    <font>
      <b/>
      <sz val="11"/>
      <name val="Bahnschrift Condensed"/>
      <family val="2"/>
    </font>
    <font>
      <b/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6"/>
      <color theme="0"/>
      <name val="Arial Black"/>
      <family val="2"/>
    </font>
    <font>
      <b/>
      <sz val="16"/>
      <color rgb="FF0070C0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Cambria"/>
      <family val="1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sz val="11"/>
      <color rgb="FF212529"/>
      <name val="Cambria"/>
      <family val="1"/>
    </font>
    <font>
      <sz val="12"/>
      <color theme="0"/>
      <name val="Bahnschrift SemiBold SemiConden"/>
      <family val="2"/>
    </font>
    <font>
      <b/>
      <sz val="14"/>
      <color theme="0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1"/>
      <color theme="1"/>
      <name val="Bahnschrift SemiBold SemiConden"/>
      <family val="2"/>
    </font>
    <font>
      <sz val="14"/>
      <color rgb="FFFF0000"/>
      <name val="Calibri"/>
      <family val="2"/>
      <scheme val="minor"/>
    </font>
    <font>
      <sz val="14"/>
      <color rgb="FF002060"/>
      <name val="Calibri"/>
      <family val="2"/>
      <scheme val="minor"/>
    </font>
    <font>
      <sz val="12"/>
      <color rgb="FF002060"/>
      <name val="Bahnschrift SemiBold SemiConden"/>
      <family val="2"/>
    </font>
    <font>
      <b/>
      <sz val="12"/>
      <color rgb="FF002060"/>
      <name val="Bahnschrift SemiBold SemiConden"/>
      <family val="2"/>
    </font>
    <font>
      <sz val="12"/>
      <color rgb="FFC00000"/>
      <name val="Bahnschrift SemiBold SemiConden"/>
      <family val="2"/>
    </font>
    <font>
      <b/>
      <sz val="14"/>
      <color rgb="FF002060"/>
      <name val="Calibri"/>
      <family val="2"/>
      <scheme val="minor"/>
    </font>
    <font>
      <b/>
      <sz val="12"/>
      <color theme="1"/>
      <name val="Bahnschrift SemiBold SemiConden"/>
      <family val="2"/>
    </font>
    <font>
      <b/>
      <sz val="12"/>
      <color rgb="FFC00000"/>
      <name val="Bahnschrift SemiBold SemiConden"/>
      <family val="2"/>
    </font>
    <font>
      <sz val="12"/>
      <color theme="3"/>
      <name val="Bahnschrift SemiBold SemiConden"/>
      <family val="2"/>
    </font>
    <font>
      <sz val="10"/>
      <color theme="3"/>
      <name val="Bahnschrift SemiBold SemiConden"/>
      <family val="2"/>
    </font>
    <font>
      <sz val="12"/>
      <color rgb="FF0070C0"/>
      <name val="Bahnschrift SemiBold SemiConden"/>
      <family val="2"/>
    </font>
    <font>
      <sz val="11"/>
      <color rgb="FF0070C0"/>
      <name val="Bahnschrift SemiBold SemiConden"/>
      <family val="2"/>
    </font>
    <font>
      <sz val="11"/>
      <color theme="6" tint="-0.499984740745262"/>
      <name val="Franklin Gothic Heavy"/>
      <family val="2"/>
    </font>
    <font>
      <sz val="11"/>
      <color rgb="FFC00000"/>
      <name val="Arial Rounded MT Bold"/>
      <family val="2"/>
    </font>
    <font>
      <b/>
      <sz val="12"/>
      <color theme="1"/>
      <name val="Arial Rounded MT Bold"/>
      <family val="2"/>
    </font>
    <font>
      <b/>
      <sz val="12"/>
      <color rgb="FFC00000"/>
      <name val="Arial Rounded MT Bold"/>
      <family val="2"/>
    </font>
    <font>
      <b/>
      <sz val="9"/>
      <color theme="1"/>
      <name val="Cambria"/>
      <family val="1"/>
      <scheme val="major"/>
    </font>
    <font>
      <b/>
      <sz val="12"/>
      <color rgb="FF002060"/>
      <name val="Arial Rounded MT Bold"/>
      <family val="2"/>
    </font>
    <font>
      <sz val="11"/>
      <color rgb="FFC00000"/>
      <name val="Arial Black"/>
      <family val="2"/>
    </font>
    <font>
      <sz val="16"/>
      <color rgb="FF002060"/>
      <name val="ChunkFive Print"/>
      <family val="3"/>
    </font>
    <font>
      <sz val="18"/>
      <color rgb="FF00B0F0"/>
      <name val="ChunkFive Print"/>
      <family val="3"/>
    </font>
    <font>
      <sz val="12"/>
      <color theme="1"/>
      <name val="Arial Black"/>
      <family val="2"/>
    </font>
    <font>
      <b/>
      <sz val="12"/>
      <color theme="1"/>
      <name val="Arial Black"/>
      <family val="2"/>
    </font>
    <font>
      <b/>
      <sz val="26"/>
      <color theme="1"/>
      <name val="Cambria"/>
      <family val="1"/>
      <scheme val="major"/>
    </font>
    <font>
      <b/>
      <sz val="14"/>
      <color theme="1"/>
      <name val="Bahnschrift SemiBold Condensed"/>
      <family val="2"/>
    </font>
    <font>
      <sz val="12"/>
      <name val="Bahnschrift SemiBold SemiConden"/>
      <family val="2"/>
    </font>
    <font>
      <sz val="12"/>
      <color rgb="FF0070C0"/>
      <name val="Arial Rounded MT Bold"/>
      <family val="2"/>
    </font>
    <font>
      <b/>
      <sz val="9"/>
      <color rgb="FF002060"/>
      <name val="Cambria"/>
      <family val="1"/>
      <scheme val="major"/>
    </font>
    <font>
      <b/>
      <sz val="12"/>
      <color rgb="FF002060"/>
      <name val="Arial Black"/>
      <family val="2"/>
    </font>
    <font>
      <b/>
      <sz val="12"/>
      <color theme="1" tint="4.9989318521683403E-2"/>
      <name val="Bahnschrift SemiBold SemiConden"/>
      <family val="2"/>
    </font>
    <font>
      <sz val="11"/>
      <color rgb="FF002060"/>
      <name val="Britannic Bold"/>
      <family val="2"/>
    </font>
    <font>
      <b/>
      <sz val="12"/>
      <color rgb="FF002060"/>
      <name val="Britannic Bold"/>
      <family val="2"/>
    </font>
    <font>
      <sz val="13"/>
      <color theme="1" tint="0.14999847407452621"/>
      <name val="Cambria"/>
      <family val="1"/>
      <scheme val="major"/>
    </font>
    <font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name val="Cambria"/>
      <family val="1"/>
      <scheme val="major"/>
    </font>
    <font>
      <sz val="13"/>
      <color theme="1"/>
      <name val="Bahnschrift SemiBold SemiConden"/>
      <family val="2"/>
    </font>
    <font>
      <sz val="16"/>
      <color rgb="FFFF0000"/>
      <name val="ChunkFive Print"/>
      <family val="3"/>
    </font>
    <font>
      <sz val="12"/>
      <color rgb="FFFF0000"/>
      <name val="Arial Rounded MT Bold"/>
      <family val="2"/>
    </font>
    <font>
      <b/>
      <sz val="12"/>
      <color rgb="FFFF0000"/>
      <name val="Arial Black"/>
      <family val="2"/>
    </font>
    <font>
      <sz val="11"/>
      <color rgb="FFFF0000"/>
      <name val="Arial Black"/>
      <family val="2"/>
    </font>
    <font>
      <sz val="12"/>
      <color rgb="FFFF0000"/>
      <name val="Arial Black"/>
      <family val="2"/>
    </font>
    <font>
      <b/>
      <sz val="12"/>
      <color rgb="FFFF0000"/>
      <name val="Bahnschrift SemiBold SemiConden"/>
      <family val="2"/>
    </font>
    <font>
      <sz val="12"/>
      <color rgb="FF002060"/>
      <name val="Arial Rounded MT Bold"/>
      <family val="2"/>
    </font>
    <font>
      <b/>
      <sz val="12"/>
      <color rgb="FFFF0000"/>
      <name val="Arial Rounded MT Bold"/>
      <family val="2"/>
    </font>
    <font>
      <sz val="24"/>
      <color rgb="FF0070C0"/>
      <name val="Bodoni MT Black"/>
      <family val="1"/>
    </font>
    <font>
      <sz val="14"/>
      <color rgb="FFC00000"/>
      <name val="Arial Black"/>
      <family val="2"/>
    </font>
    <font>
      <sz val="12"/>
      <color theme="9" tint="-0.249977111117893"/>
      <name val="Berlin Sans FB Demi"/>
      <family val="2"/>
    </font>
    <font>
      <sz val="11"/>
      <color rgb="FF002060"/>
      <name val="ChunkFive Print"/>
      <family val="3"/>
    </font>
    <font>
      <b/>
      <sz val="12"/>
      <color rgb="FF002060"/>
      <name val="ChunkFive Print"/>
      <family val="3"/>
    </font>
    <font>
      <sz val="11"/>
      <color rgb="FF0070C0"/>
      <name val="Arial Black"/>
      <family val="2"/>
    </font>
    <font>
      <b/>
      <sz val="11"/>
      <color rgb="FF0070C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2"/>
      <color rgb="FFC00000"/>
      <name val="Cambria"/>
      <family val="1"/>
      <scheme val="major"/>
    </font>
    <font>
      <sz val="10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rgb="FF002060"/>
      <name val="Cambria"/>
      <family val="1"/>
      <scheme val="major"/>
    </font>
    <font>
      <sz val="12"/>
      <color rgb="FF002060"/>
      <name val="Bahnschrift Condensed"/>
      <family val="2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40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 style="thick">
        <color rgb="FF002060"/>
      </right>
      <top/>
      <bottom style="double">
        <color rgb="FF0070C0"/>
      </bottom>
      <diagonal/>
    </border>
    <border>
      <left style="thick">
        <color rgb="FF00206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/>
      <top style="double">
        <color rgb="FF0070C0"/>
      </top>
      <bottom style="double">
        <color rgb="FF0070C0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/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/>
      <right style="thick">
        <color rgb="FF00206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thick">
        <color rgb="FF002060"/>
      </right>
      <top style="double">
        <color rgb="FF0070C0"/>
      </top>
      <bottom style="double">
        <color rgb="FF0070C0"/>
      </bottom>
      <diagonal/>
    </border>
    <border>
      <left/>
      <right/>
      <top style="double">
        <color rgb="FF0070C0"/>
      </top>
      <bottom/>
      <diagonal/>
    </border>
    <border>
      <left style="thick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ck">
        <color rgb="FF002060"/>
      </right>
      <top/>
      <bottom style="double">
        <color rgb="FF002060"/>
      </bottom>
      <diagonal/>
    </border>
    <border>
      <left style="thick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 style="thick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 style="thick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rgb="FF002060"/>
      </left>
      <right/>
      <top style="double">
        <color rgb="FF002060"/>
      </top>
      <bottom style="double">
        <color rgb="FF002060"/>
      </bottom>
      <diagonal/>
    </border>
    <border>
      <left style="thick">
        <color rgb="FF002060"/>
      </left>
      <right/>
      <top/>
      <bottom style="double">
        <color rgb="FF00B0F0"/>
      </bottom>
      <diagonal/>
    </border>
    <border>
      <left/>
      <right style="thick">
        <color rgb="FFC00000"/>
      </right>
      <top/>
      <bottom style="double">
        <color rgb="FF00B0F0"/>
      </bottom>
      <diagonal/>
    </border>
    <border>
      <left style="thick">
        <color rgb="FFC0000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rgb="FF002060"/>
      </left>
      <right/>
      <top style="double">
        <color rgb="FF00B0F0"/>
      </top>
      <bottom style="double">
        <color rgb="FF00B0F0"/>
      </bottom>
      <diagonal/>
    </border>
    <border>
      <left/>
      <right style="thick">
        <color rgb="FFC00000"/>
      </right>
      <top style="double">
        <color rgb="FF00B0F0"/>
      </top>
      <bottom style="double">
        <color rgb="FF00B0F0"/>
      </bottom>
      <diagonal/>
    </border>
    <border>
      <left style="thick">
        <color rgb="FFC0000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B0F0"/>
      </top>
      <bottom style="double">
        <color rgb="FF00B0F0"/>
      </bottom>
      <diagonal/>
    </border>
    <border>
      <left style="thick">
        <color rgb="FF002060"/>
      </left>
      <right/>
      <top style="double">
        <color rgb="FF00B0F0"/>
      </top>
      <bottom style="thick">
        <color rgb="FFC00000"/>
      </bottom>
      <diagonal/>
    </border>
    <border>
      <left/>
      <right style="thick">
        <color rgb="FFC00000"/>
      </right>
      <top style="double">
        <color rgb="FF00B0F0"/>
      </top>
      <bottom style="thick">
        <color rgb="FFC00000"/>
      </bottom>
      <diagonal/>
    </border>
    <border>
      <left style="thick">
        <color rgb="FFC00000"/>
      </left>
      <right/>
      <top style="double">
        <color rgb="FF002060"/>
      </top>
      <bottom style="thick">
        <color rgb="FFC00000"/>
      </bottom>
      <diagonal/>
    </border>
    <border>
      <left/>
      <right/>
      <top style="double">
        <color rgb="FF002060"/>
      </top>
      <bottom style="thick">
        <color rgb="FFC00000"/>
      </bottom>
      <diagonal/>
    </border>
    <border>
      <left/>
      <right style="double">
        <color rgb="FF002060"/>
      </right>
      <top style="double">
        <color rgb="FF002060"/>
      </top>
      <bottom style="thick">
        <color rgb="FFC00000"/>
      </bottom>
      <diagonal/>
    </border>
    <border>
      <left style="double">
        <color rgb="FF002060"/>
      </left>
      <right/>
      <top style="double">
        <color rgb="FF002060"/>
      </top>
      <bottom style="thick">
        <color rgb="FFC0000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thick">
        <color rgb="FFC00000"/>
      </bottom>
      <diagonal/>
    </border>
    <border>
      <left style="double">
        <color rgb="FF002060"/>
      </left>
      <right style="thick">
        <color rgb="FF002060"/>
      </right>
      <top style="double">
        <color rgb="FF002060"/>
      </top>
      <bottom style="thick">
        <color rgb="FFC0000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n">
        <color indexed="64"/>
      </left>
      <right style="slantDashDot">
        <color rgb="FFC0000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 style="double">
        <color rgb="FF00B0F0"/>
      </bottom>
      <diagonal/>
    </border>
    <border>
      <left style="thick">
        <color rgb="FFC0000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thick">
        <color rgb="FFC00000"/>
      </right>
      <top style="double">
        <color rgb="FF00B0F0"/>
      </top>
      <bottom style="double">
        <color rgb="FF00B0F0"/>
      </bottom>
      <diagonal/>
    </border>
    <border>
      <left style="thick">
        <color rgb="FFC00000"/>
      </left>
      <right/>
      <top style="double">
        <color rgb="FF00B0F0"/>
      </top>
      <bottom style="double">
        <color rgb="FF00B0F0"/>
      </bottom>
      <diagonal/>
    </border>
    <border>
      <left style="thick">
        <color rgb="FFC00000"/>
      </left>
      <right style="double">
        <color rgb="FF0070C0"/>
      </right>
      <top/>
      <bottom style="double">
        <color rgb="FF0070C0"/>
      </bottom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  <border>
      <left/>
      <right style="thick">
        <color rgb="FFC00000"/>
      </right>
      <top/>
      <bottom style="double">
        <color rgb="FF0070C0"/>
      </bottom>
      <diagonal/>
    </border>
    <border>
      <left style="thick">
        <color rgb="FFC0000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thick">
        <color rgb="FFC00000"/>
      </right>
      <top style="double">
        <color rgb="FF0070C0"/>
      </top>
      <bottom style="double">
        <color rgb="FF0070C0"/>
      </bottom>
      <diagonal/>
    </border>
    <border>
      <left style="thick">
        <color rgb="FFC00000"/>
      </left>
      <right/>
      <top style="double">
        <color rgb="FF0070C0"/>
      </top>
      <bottom style="double">
        <color rgb="FF0070C0"/>
      </bottom>
      <diagonal/>
    </border>
    <border>
      <left/>
      <right style="thick">
        <color rgb="FFC00000"/>
      </right>
      <top style="double">
        <color rgb="FF0070C0"/>
      </top>
      <bottom style="double">
        <color rgb="FF0070C0"/>
      </bottom>
      <diagonal/>
    </border>
    <border>
      <left style="thick">
        <color rgb="FFC00000"/>
      </left>
      <right/>
      <top style="double">
        <color rgb="FF00B0F0"/>
      </top>
      <bottom style="thick">
        <color rgb="FFC00000"/>
      </bottom>
      <diagonal/>
    </border>
    <border>
      <left style="thick">
        <color rgb="FFC00000"/>
      </left>
      <right/>
      <top style="double">
        <color rgb="FF0070C0"/>
      </top>
      <bottom style="thick">
        <color rgb="FFC00000"/>
      </bottom>
      <diagonal/>
    </border>
    <border>
      <left/>
      <right/>
      <top style="double">
        <color rgb="FF0070C0"/>
      </top>
      <bottom style="thick">
        <color rgb="FFC00000"/>
      </bottom>
      <diagonal/>
    </border>
    <border>
      <left/>
      <right style="thick">
        <color rgb="FFC00000"/>
      </right>
      <top style="double">
        <color rgb="FF0070C0"/>
      </top>
      <bottom style="thick">
        <color rgb="FFC00000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C00000"/>
      </top>
      <bottom/>
      <diagonal/>
    </border>
    <border>
      <left/>
      <right/>
      <top/>
      <bottom style="thick">
        <color rgb="FFC00000"/>
      </bottom>
      <diagonal/>
    </border>
    <border>
      <left style="thick">
        <color rgb="FFC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ck">
        <color rgb="FF0070C0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rgb="FFC00000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/>
      <diagonal/>
    </border>
    <border>
      <left style="thick">
        <color rgb="FFC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0070C0"/>
      </right>
      <top/>
      <bottom style="thin">
        <color indexed="64"/>
      </bottom>
      <diagonal/>
    </border>
    <border>
      <left style="thick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0070C0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0070C0"/>
      </right>
      <top style="thin">
        <color indexed="64"/>
      </top>
      <bottom/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 style="thick">
        <color rgb="FFFFFF00"/>
      </left>
      <right style="thin">
        <color indexed="64"/>
      </right>
      <top style="thick">
        <color rgb="FFFFFF00"/>
      </top>
      <bottom/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ck">
        <color rgb="FFFFFF00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/>
      <top style="thick">
        <color rgb="FFFFFF00"/>
      </top>
      <bottom style="thin">
        <color indexed="64"/>
      </bottom>
      <diagonal/>
    </border>
    <border>
      <left/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/>
      <top style="thin">
        <color indexed="64"/>
      </top>
      <bottom style="thick">
        <color rgb="FFFFFF00"/>
      </bottom>
      <diagonal/>
    </border>
    <border>
      <left/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ck">
        <color rgb="FFFFFF00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ck">
        <color rgb="FF0070C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 style="thick">
        <color rgb="FFC00000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C00000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n">
        <color auto="1"/>
      </top>
      <bottom style="thin">
        <color indexed="64"/>
      </bottom>
      <diagonal/>
    </border>
    <border>
      <left style="thick">
        <color rgb="FFC00000"/>
      </left>
      <right style="thin">
        <color auto="1"/>
      </right>
      <top style="thick">
        <color rgb="FFC00000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ck">
        <color rgb="FFC00000"/>
      </top>
      <bottom style="thin">
        <color auto="1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 style="thin">
        <color auto="1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n">
        <color auto="1"/>
      </top>
      <bottom/>
      <diagonal/>
    </border>
    <border>
      <left style="thick">
        <color rgb="FFC00000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rgb="FFC00000"/>
      </top>
      <bottom style="double">
        <color rgb="FFC00000"/>
      </bottom>
      <diagonal/>
    </border>
    <border>
      <left/>
      <right/>
      <top style="double">
        <color rgb="FFC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2060"/>
      </left>
      <right/>
      <top style="double">
        <color rgb="FFC00000"/>
      </top>
      <bottom style="double">
        <color rgb="FFC00000"/>
      </bottom>
      <diagonal/>
    </border>
    <border>
      <left/>
      <right style="thick">
        <color rgb="FF002060"/>
      </right>
      <top style="double">
        <color rgb="FFC00000"/>
      </top>
      <bottom style="double">
        <color rgb="FFC00000"/>
      </bottom>
      <diagonal/>
    </border>
    <border>
      <left style="thick">
        <color rgb="FF002060"/>
      </left>
      <right/>
      <top style="double">
        <color rgb="FFC00000"/>
      </top>
      <bottom/>
      <diagonal/>
    </border>
    <border>
      <left/>
      <right style="thick">
        <color rgb="FF002060"/>
      </right>
      <top style="double">
        <color rgb="FFC00000"/>
      </top>
      <bottom/>
      <diagonal/>
    </border>
    <border>
      <left style="thick">
        <color rgb="FF00206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rgb="FF002060"/>
      </right>
      <top style="medium">
        <color auto="1"/>
      </top>
      <bottom style="medium">
        <color auto="1"/>
      </bottom>
      <diagonal/>
    </border>
    <border>
      <left style="thick">
        <color rgb="FF002060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002060"/>
      </right>
      <top style="medium">
        <color auto="1"/>
      </top>
      <bottom style="medium">
        <color auto="1"/>
      </bottom>
      <diagonal/>
    </border>
    <border>
      <left style="thick">
        <color rgb="FF002060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rgb="FF002060"/>
      </right>
      <top style="thick">
        <color auto="1"/>
      </top>
      <bottom style="thick">
        <color auto="1"/>
      </bottom>
      <diagonal/>
    </border>
    <border>
      <left/>
      <right style="thick">
        <color rgb="FF002060"/>
      </right>
      <top style="medium">
        <color auto="1"/>
      </top>
      <bottom/>
      <diagonal/>
    </border>
    <border>
      <left/>
      <right style="thick">
        <color rgb="FF002060"/>
      </right>
      <top/>
      <bottom style="medium">
        <color auto="1"/>
      </bottom>
      <diagonal/>
    </border>
    <border>
      <left style="thick">
        <color rgb="FF0070C0"/>
      </left>
      <right style="medium">
        <color rgb="FFFF0000"/>
      </right>
      <top style="thick">
        <color rgb="FF0070C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ck">
        <color rgb="FF0070C0"/>
      </top>
      <bottom style="medium">
        <color rgb="FFFF0000"/>
      </bottom>
      <diagonal/>
    </border>
    <border>
      <left style="medium">
        <color rgb="FFFF0000"/>
      </left>
      <right style="thick">
        <color rgb="FF0070C0"/>
      </right>
      <top style="thick">
        <color rgb="FF0070C0"/>
      </top>
      <bottom style="medium">
        <color rgb="FFFF0000"/>
      </bottom>
      <diagonal/>
    </border>
    <border>
      <left style="thick">
        <color rgb="FF0070C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ck">
        <color rgb="FF0070C0"/>
      </right>
      <top style="medium">
        <color rgb="FFFF0000"/>
      </top>
      <bottom style="medium">
        <color rgb="FFFF0000"/>
      </bottom>
      <diagonal/>
    </border>
    <border>
      <left style="thick">
        <color rgb="FF0070C0"/>
      </left>
      <right style="medium">
        <color rgb="FFFF0000"/>
      </right>
      <top style="medium">
        <color rgb="FFFF0000"/>
      </top>
      <bottom style="thick">
        <color rgb="FF007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ck">
        <color rgb="FF0070C0"/>
      </bottom>
      <diagonal/>
    </border>
    <border>
      <left style="medium">
        <color rgb="FFFF0000"/>
      </left>
      <right style="thick">
        <color rgb="FF0070C0"/>
      </right>
      <top style="medium">
        <color rgb="FFFF0000"/>
      </top>
      <bottom style="thick">
        <color rgb="FF0070C0"/>
      </bottom>
      <diagonal/>
    </border>
    <border>
      <left style="thick">
        <color rgb="FF0070C0"/>
      </left>
      <right style="medium">
        <color rgb="FFC00000"/>
      </right>
      <top style="thick">
        <color rgb="FF0070C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ck">
        <color rgb="FF0070C0"/>
      </top>
      <bottom style="medium">
        <color rgb="FFC00000"/>
      </bottom>
      <diagonal/>
    </border>
    <border>
      <left style="medium">
        <color rgb="FFC00000"/>
      </left>
      <right style="thick">
        <color rgb="FF0070C0"/>
      </right>
      <top style="thick">
        <color rgb="FF0070C0"/>
      </top>
      <bottom style="medium">
        <color rgb="FFC00000"/>
      </bottom>
      <diagonal/>
    </border>
    <border>
      <left style="thick">
        <color rgb="FF0070C0"/>
      </left>
      <right style="medium">
        <color rgb="FFC00000"/>
      </right>
      <top style="medium">
        <color rgb="FFC00000"/>
      </top>
      <bottom style="thick">
        <color rgb="FF0070C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ck">
        <color rgb="FF0070C0"/>
      </bottom>
      <diagonal/>
    </border>
    <border>
      <left style="medium">
        <color rgb="FFC00000"/>
      </left>
      <right style="thick">
        <color rgb="FF0070C0"/>
      </right>
      <top style="medium">
        <color rgb="FFC00000"/>
      </top>
      <bottom style="thick">
        <color rgb="FF0070C0"/>
      </bottom>
      <diagonal/>
    </border>
    <border>
      <left style="thick">
        <color rgb="FF0070C0"/>
      </left>
      <right style="medium">
        <color rgb="FFFF0000"/>
      </right>
      <top style="thick">
        <color rgb="FF0070C0"/>
      </top>
      <bottom/>
      <diagonal/>
    </border>
    <border>
      <left style="medium">
        <color rgb="FFFF0000"/>
      </left>
      <right style="medium">
        <color rgb="FFFF0000"/>
      </right>
      <top style="thick">
        <color rgb="FF0070C0"/>
      </top>
      <bottom/>
      <diagonal/>
    </border>
    <border>
      <left style="thick">
        <color rgb="FF0070C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ck">
        <color rgb="FF0070C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0070C0"/>
      </left>
      <right style="medium">
        <color rgb="FFFF0000"/>
      </right>
      <top/>
      <bottom style="thick">
        <color rgb="FF0070C0"/>
      </bottom>
      <diagonal/>
    </border>
    <border>
      <left style="medium">
        <color rgb="FFFF0000"/>
      </left>
      <right style="medium">
        <color rgb="FFFF0000"/>
      </right>
      <top/>
      <bottom style="thick">
        <color rgb="FF0070C0"/>
      </bottom>
      <diagonal/>
    </border>
    <border>
      <left style="medium">
        <color rgb="FFFF0000"/>
      </left>
      <right/>
      <top style="thick">
        <color rgb="FF0070C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ck">
        <color rgb="FF0070C0"/>
      </bottom>
      <diagonal/>
    </border>
    <border>
      <left style="medium">
        <color rgb="FFFF0000"/>
      </left>
      <right/>
      <top style="medium">
        <color rgb="FFFF0000"/>
      </top>
      <bottom style="thick">
        <color rgb="FF0070C0"/>
      </bottom>
      <diagonal/>
    </border>
    <border>
      <left/>
      <right/>
      <top style="medium">
        <color rgb="FFFF0000"/>
      </top>
      <bottom style="thick">
        <color rgb="FF0070C0"/>
      </bottom>
      <diagonal/>
    </border>
    <border>
      <left/>
      <right style="medium">
        <color rgb="FFFF0000"/>
      </right>
      <top style="medium">
        <color rgb="FFFF000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133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0" borderId="2" xfId="0" applyBorder="1"/>
    <xf numFmtId="0" fontId="6" fillId="0" borderId="2" xfId="0" applyFont="1" applyBorder="1"/>
    <xf numFmtId="0" fontId="6" fillId="0" borderId="0" xfId="0" applyFont="1"/>
    <xf numFmtId="0" fontId="6" fillId="4" borderId="2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15" fillId="0" borderId="21" xfId="0" applyFont="1" applyBorder="1" applyAlignment="1">
      <alignment vertical="center"/>
    </xf>
    <xf numFmtId="0" fontId="15" fillId="0" borderId="0" xfId="0" applyFont="1"/>
    <xf numFmtId="0" fontId="17" fillId="0" borderId="15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8" fillId="0" borderId="0" xfId="0" applyFont="1" applyAlignment="1">
      <alignment vertical="center"/>
    </xf>
    <xf numFmtId="0" fontId="20" fillId="0" borderId="16" xfId="0" applyFont="1" applyBorder="1"/>
    <xf numFmtId="0" fontId="21" fillId="0" borderId="0" xfId="0" applyFont="1" applyAlignment="1">
      <alignment horizontal="left" vertical="center"/>
    </xf>
    <xf numFmtId="0" fontId="22" fillId="0" borderId="0" xfId="0" applyFont="1"/>
    <xf numFmtId="0" fontId="27" fillId="0" borderId="3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vertical="center"/>
    </xf>
    <xf numFmtId="9" fontId="31" fillId="0" borderId="32" xfId="0" applyNumberFormat="1" applyFont="1" applyBorder="1" applyAlignment="1">
      <alignment horizontal="center" vertical="center"/>
    </xf>
    <xf numFmtId="9" fontId="32" fillId="0" borderId="37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39" xfId="0" applyFont="1" applyBorder="1" applyAlignment="1">
      <alignment vertical="center"/>
    </xf>
    <xf numFmtId="0" fontId="34" fillId="0" borderId="40" xfId="0" applyFont="1" applyBorder="1" applyAlignment="1">
      <alignment vertical="center"/>
    </xf>
    <xf numFmtId="0" fontId="35" fillId="0" borderId="41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4" fillId="0" borderId="42" xfId="0" applyFont="1" applyBorder="1" applyAlignment="1">
      <alignment vertical="center"/>
    </xf>
    <xf numFmtId="0" fontId="34" fillId="0" borderId="43" xfId="0" applyFont="1" applyBorder="1" applyAlignment="1">
      <alignment vertical="center"/>
    </xf>
    <xf numFmtId="0" fontId="40" fillId="0" borderId="42" xfId="0" applyFont="1" applyBorder="1"/>
    <xf numFmtId="0" fontId="40" fillId="0" borderId="43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42" xfId="0" applyFont="1" applyBorder="1" applyAlignment="1">
      <alignment horizontal="left" vertical="center"/>
    </xf>
    <xf numFmtId="0" fontId="42" fillId="0" borderId="4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4" fillId="0" borderId="42" xfId="0" applyFont="1" applyBorder="1"/>
    <xf numFmtId="0" fontId="34" fillId="0" borderId="45" xfId="0" applyFont="1" applyBorder="1"/>
    <xf numFmtId="0" fontId="10" fillId="0" borderId="44" xfId="0" applyFont="1" applyBorder="1"/>
    <xf numFmtId="0" fontId="38" fillId="0" borderId="34" xfId="0" applyFont="1" applyBorder="1"/>
    <xf numFmtId="0" fontId="38" fillId="0" borderId="35" xfId="0" applyFont="1" applyBorder="1"/>
    <xf numFmtId="0" fontId="10" fillId="0" borderId="33" xfId="0" applyFont="1" applyBorder="1"/>
    <xf numFmtId="0" fontId="37" fillId="0" borderId="35" xfId="0" applyFont="1" applyBorder="1"/>
    <xf numFmtId="0" fontId="37" fillId="0" borderId="36" xfId="0" applyFont="1" applyBorder="1"/>
    <xf numFmtId="0" fontId="34" fillId="0" borderId="43" xfId="0" applyFont="1" applyBorder="1"/>
    <xf numFmtId="0" fontId="44" fillId="0" borderId="46" xfId="0" applyFont="1" applyBorder="1"/>
    <xf numFmtId="0" fontId="26" fillId="0" borderId="47" xfId="0" applyFont="1" applyBorder="1"/>
    <xf numFmtId="0" fontId="4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3" fillId="0" borderId="0" xfId="0" applyFont="1"/>
    <xf numFmtId="0" fontId="20" fillId="0" borderId="0" xfId="0" applyFont="1"/>
    <xf numFmtId="0" fontId="17" fillId="0" borderId="15" xfId="0" applyFont="1" applyBorder="1"/>
    <xf numFmtId="0" fontId="17" fillId="0" borderId="54" xfId="0" applyFont="1" applyBorder="1"/>
    <xf numFmtId="0" fontId="10" fillId="0" borderId="55" xfId="0" applyFont="1" applyBorder="1"/>
    <xf numFmtId="0" fontId="20" fillId="0" borderId="55" xfId="0" applyFont="1" applyBorder="1"/>
    <xf numFmtId="0" fontId="43" fillId="0" borderId="55" xfId="0" applyFont="1" applyBorder="1"/>
    <xf numFmtId="0" fontId="20" fillId="0" borderId="56" xfId="0" applyFont="1" applyBorder="1"/>
    <xf numFmtId="0" fontId="17" fillId="0" borderId="0" xfId="0" applyFont="1"/>
    <xf numFmtId="0" fontId="10" fillId="4" borderId="0" xfId="0" applyFont="1" applyFill="1"/>
    <xf numFmtId="0" fontId="45" fillId="0" borderId="0" xfId="0" applyFont="1" applyAlignment="1">
      <alignment horizontal="center" vertical="center"/>
    </xf>
    <xf numFmtId="0" fontId="15" fillId="0" borderId="59" xfId="0" applyFont="1" applyBorder="1"/>
    <xf numFmtId="0" fontId="15" fillId="0" borderId="0" xfId="0" applyFont="1" applyAlignment="1">
      <alignment horizontal="center" vertical="center"/>
    </xf>
    <xf numFmtId="0" fontId="10" fillId="0" borderId="59" xfId="0" applyFont="1" applyBorder="1"/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4" fontId="10" fillId="0" borderId="0" xfId="0" applyNumberFormat="1" applyFont="1" applyAlignment="1">
      <alignment horizontal="left" vertical="center"/>
    </xf>
    <xf numFmtId="14" fontId="21" fillId="0" borderId="0" xfId="0" applyNumberFormat="1" applyFont="1" applyAlignment="1">
      <alignment horizontal="left" vertical="center"/>
    </xf>
    <xf numFmtId="0" fontId="10" fillId="0" borderId="59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10" fillId="0" borderId="59" xfId="0" applyFont="1" applyBorder="1" applyAlignment="1">
      <alignment horizontal="center"/>
    </xf>
    <xf numFmtId="0" fontId="46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/>
    </xf>
    <xf numFmtId="0" fontId="26" fillId="0" borderId="64" xfId="0" applyFont="1" applyBorder="1" applyAlignment="1">
      <alignment horizontal="center"/>
    </xf>
    <xf numFmtId="0" fontId="26" fillId="0" borderId="64" xfId="0" applyFont="1" applyBorder="1"/>
    <xf numFmtId="0" fontId="37" fillId="0" borderId="65" xfId="0" applyFont="1" applyBorder="1" applyAlignment="1">
      <alignment horizontal="center" vertical="center"/>
    </xf>
    <xf numFmtId="0" fontId="38" fillId="0" borderId="66" xfId="0" applyFont="1" applyBorder="1" applyAlignment="1">
      <alignment vertical="center"/>
    </xf>
    <xf numFmtId="0" fontId="38" fillId="0" borderId="43" xfId="0" applyFont="1" applyBorder="1" applyAlignment="1">
      <alignment vertical="center"/>
    </xf>
    <xf numFmtId="0" fontId="35" fillId="0" borderId="63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38" fillId="0" borderId="64" xfId="0" applyFont="1" applyBorder="1" applyAlignment="1">
      <alignment horizontal="center" vertical="center"/>
    </xf>
    <xf numFmtId="0" fontId="10" fillId="0" borderId="64" xfId="0" applyFont="1" applyBorder="1"/>
    <xf numFmtId="0" fontId="35" fillId="0" borderId="65" xfId="0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8" fillId="0" borderId="2" xfId="0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38" fillId="0" borderId="66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/>
    </xf>
    <xf numFmtId="0" fontId="49" fillId="0" borderId="0" xfId="0" applyFont="1" applyAlignment="1">
      <alignment horizontal="center" vertical="center"/>
    </xf>
    <xf numFmtId="0" fontId="37" fillId="0" borderId="66" xfId="0" applyFont="1" applyBorder="1" applyAlignment="1">
      <alignment horizontal="center"/>
    </xf>
    <xf numFmtId="0" fontId="37" fillId="0" borderId="43" xfId="0" applyFont="1" applyBorder="1" applyAlignment="1">
      <alignment horizontal="center" vertical="center"/>
    </xf>
    <xf numFmtId="0" fontId="37" fillId="0" borderId="6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7" fillId="0" borderId="69" xfId="0" applyFont="1" applyBorder="1" applyAlignment="1">
      <alignment horizontal="center" vertical="center"/>
    </xf>
    <xf numFmtId="0" fontId="50" fillId="0" borderId="0" xfId="0" applyFont="1"/>
    <xf numFmtId="0" fontId="35" fillId="0" borderId="66" xfId="0" applyFont="1" applyBorder="1" applyAlignment="1">
      <alignment horizontal="left" vertical="center"/>
    </xf>
    <xf numFmtId="0" fontId="35" fillId="0" borderId="43" xfId="0" applyFont="1" applyBorder="1" applyAlignment="1">
      <alignment horizontal="center" vertical="center"/>
    </xf>
    <xf numFmtId="0" fontId="35" fillId="0" borderId="71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38" fillId="0" borderId="66" xfId="0" applyFont="1" applyBorder="1"/>
    <xf numFmtId="0" fontId="38" fillId="0" borderId="45" xfId="0" applyFont="1" applyBorder="1"/>
    <xf numFmtId="0" fontId="10" fillId="0" borderId="73" xfId="0" applyFont="1" applyBorder="1"/>
    <xf numFmtId="0" fontId="38" fillId="0" borderId="23" xfId="0" applyFont="1" applyBorder="1"/>
    <xf numFmtId="0" fontId="38" fillId="0" borderId="74" xfId="0" applyFont="1" applyBorder="1"/>
    <xf numFmtId="0" fontId="26" fillId="0" borderId="75" xfId="0" applyFont="1" applyBorder="1"/>
    <xf numFmtId="0" fontId="10" fillId="0" borderId="0" xfId="0" applyFont="1" applyAlignment="1">
      <alignment horizontal="center" vertical="center"/>
    </xf>
    <xf numFmtId="0" fontId="52" fillId="0" borderId="0" xfId="0" applyFont="1" applyAlignment="1">
      <alignment wrapText="1"/>
    </xf>
    <xf numFmtId="0" fontId="53" fillId="0" borderId="0" xfId="0" applyFont="1"/>
    <xf numFmtId="0" fontId="53" fillId="0" borderId="0" xfId="0" applyFont="1" applyAlignment="1">
      <alignment horizontal="left"/>
    </xf>
    <xf numFmtId="0" fontId="44" fillId="0" borderId="2" xfId="0" applyFont="1" applyBorder="1" applyAlignment="1">
      <alignment horizontal="center" vertical="center"/>
    </xf>
    <xf numFmtId="0" fontId="44" fillId="0" borderId="6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52" fillId="0" borderId="0" xfId="0" applyFont="1"/>
    <xf numFmtId="0" fontId="10" fillId="6" borderId="0" xfId="0" applyFont="1" applyFill="1"/>
    <xf numFmtId="0" fontId="10" fillId="6" borderId="59" xfId="0" applyFont="1" applyFill="1" applyBorder="1"/>
    <xf numFmtId="0" fontId="49" fillId="6" borderId="0" xfId="0" applyFont="1" applyFill="1" applyAlignment="1">
      <alignment horizontal="left" vertical="center"/>
    </xf>
    <xf numFmtId="0" fontId="38" fillId="6" borderId="66" xfId="0" applyFont="1" applyFill="1" applyBorder="1" applyAlignment="1">
      <alignment vertical="center"/>
    </xf>
    <xf numFmtId="0" fontId="38" fillId="6" borderId="43" xfId="0" applyFont="1" applyFill="1" applyBorder="1" applyAlignment="1">
      <alignment vertical="center"/>
    </xf>
    <xf numFmtId="0" fontId="35" fillId="6" borderId="63" xfId="0" applyFont="1" applyFill="1" applyBorder="1" applyAlignment="1">
      <alignment horizontal="center" vertical="center"/>
    </xf>
    <xf numFmtId="0" fontId="43" fillId="6" borderId="64" xfId="0" applyFont="1" applyFill="1" applyBorder="1" applyAlignment="1">
      <alignment horizontal="center" vertical="center"/>
    </xf>
    <xf numFmtId="0" fontId="38" fillId="6" borderId="64" xfId="0" applyFont="1" applyFill="1" applyBorder="1" applyAlignment="1">
      <alignment horizontal="center" vertical="center"/>
    </xf>
    <xf numFmtId="0" fontId="10" fillId="6" borderId="64" xfId="0" applyFont="1" applyFill="1" applyBorder="1"/>
    <xf numFmtId="0" fontId="35" fillId="6" borderId="65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4" fillId="4" borderId="0" xfId="0" applyFont="1" applyFill="1"/>
    <xf numFmtId="0" fontId="15" fillId="4" borderId="0" xfId="0" applyFont="1" applyFill="1"/>
    <xf numFmtId="0" fontId="47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/>
    </xf>
    <xf numFmtId="0" fontId="44" fillId="4" borderId="0" xfId="0" applyFont="1" applyFill="1" applyAlignment="1">
      <alignment horizontal="center" vertical="center"/>
    </xf>
    <xf numFmtId="0" fontId="55" fillId="4" borderId="0" xfId="0" applyFont="1" applyFill="1" applyAlignment="1">
      <alignment horizontal="left" vertical="center"/>
    </xf>
    <xf numFmtId="0" fontId="55" fillId="0" borderId="0" xfId="0" applyFont="1"/>
    <xf numFmtId="0" fontId="56" fillId="0" borderId="0" xfId="0" applyFont="1"/>
    <xf numFmtId="0" fontId="10" fillId="7" borderId="0" xfId="0" applyFont="1" applyFill="1"/>
    <xf numFmtId="0" fontId="51" fillId="0" borderId="81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0" fillId="8" borderId="79" xfId="0" applyFont="1" applyFill="1" applyBorder="1"/>
    <xf numFmtId="0" fontId="10" fillId="8" borderId="80" xfId="0" applyFont="1" applyFill="1" applyBorder="1"/>
    <xf numFmtId="0" fontId="13" fillId="8" borderId="59" xfId="0" applyFont="1" applyFill="1" applyBorder="1" applyAlignment="1">
      <alignment horizontal="center" vertical="center"/>
    </xf>
    <xf numFmtId="0" fontId="13" fillId="8" borderId="59" xfId="0" applyFont="1" applyFill="1" applyBorder="1" applyAlignment="1">
      <alignment vertical="center"/>
    </xf>
    <xf numFmtId="0" fontId="14" fillId="8" borderId="59" xfId="0" applyFont="1" applyFill="1" applyBorder="1" applyAlignment="1">
      <alignment wrapText="1"/>
    </xf>
    <xf numFmtId="0" fontId="15" fillId="8" borderId="59" xfId="0" applyFont="1" applyFill="1" applyBorder="1"/>
    <xf numFmtId="0" fontId="10" fillId="8" borderId="59" xfId="0" applyFont="1" applyFill="1" applyBorder="1"/>
    <xf numFmtId="0" fontId="10" fillId="8" borderId="59" xfId="0" applyFont="1" applyFill="1" applyBorder="1" applyAlignment="1">
      <alignment vertical="center"/>
    </xf>
    <xf numFmtId="0" fontId="10" fillId="8" borderId="59" xfId="0" applyFont="1" applyFill="1" applyBorder="1" applyAlignment="1">
      <alignment horizontal="center"/>
    </xf>
    <xf numFmtId="0" fontId="44" fillId="8" borderId="59" xfId="0" applyFont="1" applyFill="1" applyBorder="1" applyAlignment="1">
      <alignment horizontal="center" vertical="center"/>
    </xf>
    <xf numFmtId="0" fontId="11" fillId="8" borderId="60" xfId="0" applyFont="1" applyFill="1" applyBorder="1" applyAlignment="1">
      <alignment vertical="center"/>
    </xf>
    <xf numFmtId="0" fontId="45" fillId="8" borderId="60" xfId="0" applyFont="1" applyFill="1" applyBorder="1" applyAlignment="1">
      <alignment vertical="center"/>
    </xf>
    <xf numFmtId="0" fontId="10" fillId="8" borderId="60" xfId="0" applyFont="1" applyFill="1" applyBorder="1" applyAlignment="1">
      <alignment vertical="center"/>
    </xf>
    <xf numFmtId="0" fontId="14" fillId="8" borderId="60" xfId="0" applyFont="1" applyFill="1" applyBorder="1"/>
    <xf numFmtId="0" fontId="15" fillId="8" borderId="60" xfId="0" applyFont="1" applyFill="1" applyBorder="1"/>
    <xf numFmtId="0" fontId="10" fillId="8" borderId="60" xfId="0" applyFont="1" applyFill="1" applyBorder="1"/>
    <xf numFmtId="0" fontId="47" fillId="8" borderId="60" xfId="0" applyFont="1" applyFill="1" applyBorder="1" applyAlignment="1">
      <alignment vertical="center"/>
    </xf>
    <xf numFmtId="0" fontId="10" fillId="8" borderId="60" xfId="0" applyFont="1" applyFill="1" applyBorder="1" applyAlignment="1">
      <alignment horizontal="center"/>
    </xf>
    <xf numFmtId="0" fontId="44" fillId="8" borderId="60" xfId="0" applyFont="1" applyFill="1" applyBorder="1" applyAlignment="1">
      <alignment horizontal="center" vertical="center"/>
    </xf>
    <xf numFmtId="0" fontId="58" fillId="8" borderId="84" xfId="0" applyFont="1" applyFill="1" applyBorder="1"/>
    <xf numFmtId="0" fontId="45" fillId="0" borderId="59" xfId="0" applyFont="1" applyBorder="1" applyAlignment="1">
      <alignment horizontal="center" vertical="center"/>
    </xf>
    <xf numFmtId="0" fontId="45" fillId="0" borderId="60" xfId="0" applyFont="1" applyBorder="1" applyAlignment="1">
      <alignment horizontal="center" vertical="center"/>
    </xf>
    <xf numFmtId="0" fontId="13" fillId="4" borderId="59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52" fillId="0" borderId="59" xfId="0" applyFont="1" applyBorder="1" applyAlignment="1">
      <alignment horizontal="left" wrapText="1"/>
    </xf>
    <xf numFmtId="0" fontId="53" fillId="0" borderId="60" xfId="0" applyFont="1" applyBorder="1"/>
    <xf numFmtId="0" fontId="55" fillId="4" borderId="59" xfId="0" applyFont="1" applyFill="1" applyBorder="1" applyAlignment="1">
      <alignment vertical="center"/>
    </xf>
    <xf numFmtId="0" fontId="55" fillId="4" borderId="60" xfId="0" applyFont="1" applyFill="1" applyBorder="1" applyAlignment="1">
      <alignment horizontal="left" vertical="center"/>
    </xf>
    <xf numFmtId="0" fontId="53" fillId="0" borderId="59" xfId="0" applyFont="1" applyBorder="1" applyAlignment="1">
      <alignment horizontal="left" vertical="center"/>
    </xf>
    <xf numFmtId="0" fontId="10" fillId="0" borderId="59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60" xfId="0" applyFont="1" applyBorder="1"/>
    <xf numFmtId="0" fontId="46" fillId="0" borderId="86" xfId="0" applyFont="1" applyBorder="1" applyAlignment="1">
      <alignment horizontal="center" vertical="center"/>
    </xf>
    <xf numFmtId="0" fontId="10" fillId="0" borderId="87" xfId="0" applyFont="1" applyBorder="1" applyAlignment="1">
      <alignment vertical="center"/>
    </xf>
    <xf numFmtId="0" fontId="44" fillId="0" borderId="86" xfId="0" applyFont="1" applyBorder="1" applyAlignment="1">
      <alignment horizontal="center" vertical="center"/>
    </xf>
    <xf numFmtId="0" fontId="44" fillId="0" borderId="87" xfId="0" applyFont="1" applyBorder="1" applyAlignment="1">
      <alignment vertical="center"/>
    </xf>
    <xf numFmtId="0" fontId="48" fillId="0" borderId="87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center"/>
    </xf>
    <xf numFmtId="0" fontId="48" fillId="0" borderId="88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5" fillId="0" borderId="60" xfId="0" applyFont="1" applyBorder="1"/>
    <xf numFmtId="0" fontId="10" fillId="0" borderId="79" xfId="0" applyFont="1" applyBorder="1"/>
    <xf numFmtId="0" fontId="10" fillId="0" borderId="84" xfId="0" applyFont="1" applyBorder="1"/>
    <xf numFmtId="0" fontId="10" fillId="0" borderId="80" xfId="0" applyFont="1" applyBorder="1"/>
    <xf numFmtId="0" fontId="10" fillId="0" borderId="90" xfId="0" applyFont="1" applyBorder="1" applyAlignment="1">
      <alignment horizontal="left" vertical="center"/>
    </xf>
    <xf numFmtId="0" fontId="54" fillId="0" borderId="91" xfId="0" applyFont="1" applyBorder="1" applyAlignment="1">
      <alignment vertical="center"/>
    </xf>
    <xf numFmtId="0" fontId="54" fillId="0" borderId="92" xfId="0" applyFont="1" applyBorder="1" applyAlignment="1">
      <alignment vertical="center"/>
    </xf>
    <xf numFmtId="0" fontId="54" fillId="0" borderId="7" xfId="0" applyFont="1" applyBorder="1"/>
    <xf numFmtId="2" fontId="54" fillId="0" borderId="91" xfId="0" applyNumberFormat="1" applyFont="1" applyBorder="1"/>
    <xf numFmtId="0" fontId="54" fillId="0" borderId="91" xfId="0" applyFont="1" applyBorder="1"/>
    <xf numFmtId="0" fontId="54" fillId="0" borderId="93" xfId="0" applyFont="1" applyBorder="1"/>
    <xf numFmtId="0" fontId="48" fillId="0" borderId="90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48" fillId="0" borderId="94" xfId="0" applyFont="1" applyBorder="1" applyAlignment="1">
      <alignment horizontal="center" vertical="center"/>
    </xf>
    <xf numFmtId="0" fontId="48" fillId="0" borderId="85" xfId="0" applyFont="1" applyBorder="1" applyAlignment="1">
      <alignment horizontal="center" vertical="center"/>
    </xf>
    <xf numFmtId="0" fontId="48" fillId="0" borderId="96" xfId="0" applyFont="1" applyBorder="1" applyAlignment="1">
      <alignment horizontal="center" vertical="center"/>
    </xf>
    <xf numFmtId="0" fontId="48" fillId="0" borderId="97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0" fillId="3" borderId="0" xfId="0" applyFill="1"/>
    <xf numFmtId="0" fontId="1" fillId="3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3" fillId="2" borderId="3" xfId="0" applyFont="1" applyFill="1" applyBorder="1" applyAlignment="1">
      <alignment horizontal="center" vertical="center" wrapText="1"/>
    </xf>
    <xf numFmtId="0" fontId="64" fillId="4" borderId="2" xfId="0" applyFont="1" applyFill="1" applyBorder="1" applyAlignment="1">
      <alignment horizontal="center" vertical="center"/>
    </xf>
    <xf numFmtId="0" fontId="64" fillId="4" borderId="2" xfId="0" applyFont="1" applyFill="1" applyBorder="1" applyAlignment="1">
      <alignment horizontal="left" vertical="center"/>
    </xf>
    <xf numFmtId="49" fontId="6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2" fillId="0" borderId="0" xfId="0" applyFont="1" applyAlignment="1">
      <alignment horizontal="left" wrapText="1"/>
    </xf>
    <xf numFmtId="0" fontId="54" fillId="0" borderId="10" xfId="0" applyFont="1" applyBorder="1" applyAlignment="1">
      <alignment vertical="center"/>
    </xf>
    <xf numFmtId="0" fontId="54" fillId="0" borderId="5" xfId="0" applyFont="1" applyBorder="1" applyAlignment="1">
      <alignment vertical="center"/>
    </xf>
    <xf numFmtId="0" fontId="54" fillId="0" borderId="9" xfId="0" applyFont="1" applyBorder="1"/>
    <xf numFmtId="2" fontId="54" fillId="0" borderId="9" xfId="0" applyNumberFormat="1" applyFont="1" applyBorder="1"/>
    <xf numFmtId="0" fontId="66" fillId="0" borderId="2" xfId="0" applyFont="1" applyBorder="1" applyAlignment="1">
      <alignment horizontal="center" vertical="center"/>
    </xf>
    <xf numFmtId="0" fontId="66" fillId="0" borderId="2" xfId="0" applyFont="1" applyBorder="1"/>
    <xf numFmtId="49" fontId="66" fillId="0" borderId="2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66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7" fillId="0" borderId="2" xfId="0" applyFont="1" applyBorder="1"/>
    <xf numFmtId="49" fontId="67" fillId="0" borderId="2" xfId="0" applyNumberFormat="1" applyFont="1" applyBorder="1"/>
    <xf numFmtId="0" fontId="68" fillId="0" borderId="2" xfId="0" applyFont="1" applyBorder="1"/>
    <xf numFmtId="0" fontId="6" fillId="0" borderId="0" xfId="0" applyFont="1" applyAlignment="1">
      <alignment horizontal="center"/>
    </xf>
    <xf numFmtId="0" fontId="69" fillId="0" borderId="2" xfId="0" applyFont="1" applyBorder="1"/>
    <xf numFmtId="49" fontId="69" fillId="0" borderId="2" xfId="0" applyNumberFormat="1" applyFont="1" applyBorder="1"/>
    <xf numFmtId="0" fontId="68" fillId="9" borderId="2" xfId="0" applyFont="1" applyFill="1" applyBorder="1" applyAlignment="1">
      <alignment horizontal="right" wrapText="1"/>
    </xf>
    <xf numFmtId="0" fontId="75" fillId="0" borderId="2" xfId="0" applyFont="1" applyBorder="1" applyAlignment="1">
      <alignment horizontal="center" vertical="center"/>
    </xf>
    <xf numFmtId="0" fontId="6" fillId="0" borderId="5" xfId="0" applyFont="1" applyBorder="1"/>
    <xf numFmtId="0" fontId="72" fillId="10" borderId="106" xfId="0" applyFont="1" applyFill="1" applyBorder="1"/>
    <xf numFmtId="0" fontId="72" fillId="10" borderId="107" xfId="0" applyFont="1" applyFill="1" applyBorder="1"/>
    <xf numFmtId="0" fontId="72" fillId="10" borderId="108" xfId="0" applyFont="1" applyFill="1" applyBorder="1"/>
    <xf numFmtId="0" fontId="13" fillId="10" borderId="105" xfId="0" applyFont="1" applyFill="1" applyBorder="1" applyAlignment="1">
      <alignment horizontal="center" vertical="center"/>
    </xf>
    <xf numFmtId="0" fontId="13" fillId="10" borderId="105" xfId="0" applyFont="1" applyFill="1" applyBorder="1" applyAlignment="1">
      <alignment vertical="center"/>
    </xf>
    <xf numFmtId="0" fontId="73" fillId="10" borderId="105" xfId="0" applyFont="1" applyFill="1" applyBorder="1" applyAlignment="1">
      <alignment wrapText="1"/>
    </xf>
    <xf numFmtId="0" fontId="74" fillId="10" borderId="105" xfId="0" applyFont="1" applyFill="1" applyBorder="1"/>
    <xf numFmtId="0" fontId="72" fillId="10" borderId="105" xfId="0" applyFont="1" applyFill="1" applyBorder="1"/>
    <xf numFmtId="0" fontId="72" fillId="10" borderId="105" xfId="0" applyFont="1" applyFill="1" applyBorder="1" applyAlignment="1">
      <alignment vertical="center"/>
    </xf>
    <xf numFmtId="0" fontId="72" fillId="10" borderId="105" xfId="0" applyFont="1" applyFill="1" applyBorder="1" applyAlignment="1">
      <alignment horizontal="center"/>
    </xf>
    <xf numFmtId="0" fontId="74" fillId="10" borderId="105" xfId="0" applyFont="1" applyFill="1" applyBorder="1" applyAlignment="1">
      <alignment horizontal="center" vertical="center"/>
    </xf>
    <xf numFmtId="0" fontId="73" fillId="10" borderId="104" xfId="0" applyFont="1" applyFill="1" applyBorder="1" applyAlignment="1">
      <alignment vertical="center"/>
    </xf>
    <xf numFmtId="0" fontId="72" fillId="10" borderId="104" xfId="0" applyFont="1" applyFill="1" applyBorder="1" applyAlignment="1">
      <alignment vertical="center"/>
    </xf>
    <xf numFmtId="0" fontId="73" fillId="10" borderId="104" xfId="0" applyFont="1" applyFill="1" applyBorder="1"/>
    <xf numFmtId="0" fontId="74" fillId="10" borderId="104" xfId="0" applyFont="1" applyFill="1" applyBorder="1"/>
    <xf numFmtId="0" fontId="72" fillId="10" borderId="104" xfId="0" applyFont="1" applyFill="1" applyBorder="1"/>
    <xf numFmtId="0" fontId="70" fillId="10" borderId="104" xfId="0" applyFont="1" applyFill="1" applyBorder="1" applyAlignment="1">
      <alignment vertical="center"/>
    </xf>
    <xf numFmtId="0" fontId="72" fillId="10" borderId="104" xfId="0" applyFont="1" applyFill="1" applyBorder="1" applyAlignment="1">
      <alignment horizontal="center"/>
    </xf>
    <xf numFmtId="0" fontId="74" fillId="10" borderId="104" xfId="0" applyFont="1" applyFill="1" applyBorder="1" applyAlignment="1">
      <alignment horizontal="center" vertical="center"/>
    </xf>
    <xf numFmtId="0" fontId="45" fillId="0" borderId="127" xfId="0" applyFont="1" applyBorder="1" applyAlignment="1">
      <alignment horizontal="center" vertical="center"/>
    </xf>
    <xf numFmtId="0" fontId="45" fillId="0" borderId="128" xfId="0" applyFont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13" fillId="4" borderId="122" xfId="0" applyFont="1" applyFill="1" applyBorder="1" applyAlignment="1">
      <alignment horizontal="center" vertical="center"/>
    </xf>
    <xf numFmtId="0" fontId="13" fillId="4" borderId="123" xfId="0" applyFont="1" applyFill="1" applyBorder="1" applyAlignment="1">
      <alignment horizontal="center" vertical="center"/>
    </xf>
    <xf numFmtId="0" fontId="13" fillId="4" borderId="124" xfId="0" applyFont="1" applyFill="1" applyBorder="1" applyAlignment="1">
      <alignment horizontal="center" vertical="center"/>
    </xf>
    <xf numFmtId="0" fontId="52" fillId="0" borderId="125" xfId="0" applyFont="1" applyBorder="1" applyAlignment="1">
      <alignment horizontal="left" wrapText="1"/>
    </xf>
    <xf numFmtId="0" fontId="53" fillId="0" borderId="126" xfId="0" applyFont="1" applyBorder="1"/>
    <xf numFmtId="0" fontId="55" fillId="4" borderId="125" xfId="0" applyFont="1" applyFill="1" applyBorder="1" applyAlignment="1">
      <alignment vertical="center"/>
    </xf>
    <xf numFmtId="0" fontId="55" fillId="4" borderId="126" xfId="0" applyFont="1" applyFill="1" applyBorder="1" applyAlignment="1">
      <alignment horizontal="left" vertical="center"/>
    </xf>
    <xf numFmtId="0" fontId="53" fillId="0" borderId="125" xfId="0" applyFont="1" applyBorder="1" applyAlignment="1">
      <alignment horizontal="left" vertical="center"/>
    </xf>
    <xf numFmtId="0" fontId="55" fillId="4" borderId="127" xfId="0" applyFont="1" applyFill="1" applyBorder="1" applyAlignment="1">
      <alignment vertical="center"/>
    </xf>
    <xf numFmtId="0" fontId="55" fillId="4" borderId="128" xfId="0" applyFont="1" applyFill="1" applyBorder="1" applyAlignment="1">
      <alignment horizontal="left" vertical="center"/>
    </xf>
    <xf numFmtId="0" fontId="55" fillId="0" borderId="128" xfId="0" applyFont="1" applyBorder="1"/>
    <xf numFmtId="0" fontId="56" fillId="0" borderId="128" xfId="0" applyFont="1" applyBorder="1"/>
    <xf numFmtId="0" fontId="55" fillId="4" borderId="129" xfId="0" applyFont="1" applyFill="1" applyBorder="1" applyAlignment="1">
      <alignment horizontal="left" vertical="center"/>
    </xf>
    <xf numFmtId="0" fontId="10" fillId="0" borderId="122" xfId="0" applyFont="1" applyBorder="1"/>
    <xf numFmtId="0" fontId="10" fillId="0" borderId="123" xfId="0" applyFont="1" applyBorder="1" applyAlignment="1">
      <alignment horizontal="left" vertical="center"/>
    </xf>
    <xf numFmtId="0" fontId="10" fillId="0" borderId="123" xfId="0" applyFont="1" applyBorder="1"/>
    <xf numFmtId="0" fontId="10" fillId="0" borderId="124" xfId="0" applyFont="1" applyBorder="1"/>
    <xf numFmtId="0" fontId="10" fillId="0" borderId="125" xfId="0" applyFont="1" applyBorder="1" applyAlignment="1">
      <alignment horizontal="left" vertical="center"/>
    </xf>
    <xf numFmtId="0" fontId="10" fillId="0" borderId="126" xfId="0" applyFont="1" applyBorder="1" applyAlignment="1">
      <alignment horizontal="left" vertical="center"/>
    </xf>
    <xf numFmtId="0" fontId="10" fillId="0" borderId="126" xfId="0" applyFont="1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46" fillId="0" borderId="134" xfId="0" applyFont="1" applyBorder="1" applyAlignment="1">
      <alignment horizontal="center" vertical="center"/>
    </xf>
    <xf numFmtId="0" fontId="10" fillId="0" borderId="135" xfId="0" applyFont="1" applyBorder="1" applyAlignment="1">
      <alignment vertical="center"/>
    </xf>
    <xf numFmtId="0" fontId="44" fillId="0" borderId="134" xfId="0" applyFont="1" applyBorder="1" applyAlignment="1">
      <alignment horizontal="center" vertical="center"/>
    </xf>
    <xf numFmtId="0" fontId="44" fillId="0" borderId="135" xfId="0" applyFont="1" applyBorder="1" applyAlignment="1">
      <alignment vertical="center"/>
    </xf>
    <xf numFmtId="0" fontId="44" fillId="4" borderId="134" xfId="0" applyFont="1" applyFill="1" applyBorder="1" applyAlignment="1">
      <alignment horizontal="center" vertical="center"/>
    </xf>
    <xf numFmtId="0" fontId="10" fillId="0" borderId="135" xfId="0" applyFont="1" applyBorder="1" applyAlignment="1">
      <alignment horizontal="left" vertical="center"/>
    </xf>
    <xf numFmtId="0" fontId="54" fillId="0" borderId="136" xfId="0" applyFont="1" applyBorder="1"/>
    <xf numFmtId="0" fontId="10" fillId="0" borderId="127" xfId="0" applyFont="1" applyBorder="1" applyAlignment="1">
      <alignment horizontal="left" vertical="center"/>
    </xf>
    <xf numFmtId="2" fontId="54" fillId="0" borderId="128" xfId="0" applyNumberFormat="1" applyFont="1" applyBorder="1" applyAlignment="1">
      <alignment horizontal="right" vertical="center"/>
    </xf>
    <xf numFmtId="0" fontId="54" fillId="0" borderId="128" xfId="0" applyFont="1" applyBorder="1" applyAlignment="1">
      <alignment vertical="center"/>
    </xf>
    <xf numFmtId="0" fontId="54" fillId="0" borderId="128" xfId="0" applyFont="1" applyBorder="1"/>
    <xf numFmtId="2" fontId="54" fillId="0" borderId="128" xfId="0" applyNumberFormat="1" applyFont="1" applyBorder="1"/>
    <xf numFmtId="0" fontId="54" fillId="0" borderId="129" xfId="0" applyFont="1" applyBorder="1"/>
    <xf numFmtId="0" fontId="48" fillId="0" borderId="137" xfId="0" applyFont="1" applyBorder="1" applyAlignment="1">
      <alignment horizontal="center" vertical="center"/>
    </xf>
    <xf numFmtId="0" fontId="48" fillId="0" borderId="131" xfId="0" applyFont="1" applyBorder="1" applyAlignment="1">
      <alignment horizontal="center" vertical="center"/>
    </xf>
    <xf numFmtId="0" fontId="48" fillId="0" borderId="132" xfId="0" applyFont="1" applyBorder="1" applyAlignment="1">
      <alignment horizontal="center" vertical="center"/>
    </xf>
    <xf numFmtId="0" fontId="48" fillId="0" borderId="135" xfId="0" applyFont="1" applyBorder="1" applyAlignment="1">
      <alignment horizontal="center" vertical="center"/>
    </xf>
    <xf numFmtId="0" fontId="48" fillId="0" borderId="134" xfId="0" applyFont="1" applyBorder="1" applyAlignment="1">
      <alignment horizontal="center" vertical="center"/>
    </xf>
    <xf numFmtId="0" fontId="48" fillId="0" borderId="140" xfId="0" applyFont="1" applyBorder="1" applyAlignment="1">
      <alignment horizontal="center" vertical="center"/>
    </xf>
    <xf numFmtId="0" fontId="48" fillId="0" borderId="141" xfId="0" applyFont="1" applyBorder="1" applyAlignment="1">
      <alignment horizontal="center" vertical="center"/>
    </xf>
    <xf numFmtId="0" fontId="48" fillId="0" borderId="144" xfId="0" applyFont="1" applyBorder="1" applyAlignment="1">
      <alignment horizontal="center" vertical="center"/>
    </xf>
    <xf numFmtId="0" fontId="10" fillId="0" borderId="131" xfId="0" applyFont="1" applyBorder="1" applyAlignment="1">
      <alignment horizontal="center" vertical="center"/>
    </xf>
    <xf numFmtId="0" fontId="10" fillId="0" borderId="132" xfId="0" applyFont="1" applyBorder="1" applyAlignment="1">
      <alignment horizontal="center" vertical="center"/>
    </xf>
    <xf numFmtId="0" fontId="48" fillId="0" borderId="145" xfId="0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0" fontId="15" fillId="0" borderId="125" xfId="0" applyFont="1" applyBorder="1"/>
    <xf numFmtId="0" fontId="15" fillId="0" borderId="126" xfId="0" applyFont="1" applyBorder="1"/>
    <xf numFmtId="0" fontId="10" fillId="0" borderId="125" xfId="0" applyFont="1" applyBorder="1"/>
    <xf numFmtId="0" fontId="10" fillId="0" borderId="127" xfId="0" applyFont="1" applyBorder="1"/>
    <xf numFmtId="0" fontId="10" fillId="0" borderId="128" xfId="0" applyFont="1" applyBorder="1"/>
    <xf numFmtId="0" fontId="10" fillId="0" borderId="129" xfId="0" applyFont="1" applyBorder="1"/>
    <xf numFmtId="0" fontId="1" fillId="2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49" fontId="0" fillId="0" borderId="2" xfId="0" applyNumberFormat="1" applyBorder="1"/>
    <xf numFmtId="0" fontId="79" fillId="0" borderId="159" xfId="0" applyFont="1" applyBorder="1"/>
    <xf numFmtId="49" fontId="79" fillId="0" borderId="85" xfId="0" applyNumberFormat="1" applyFont="1" applyBorder="1" applyAlignment="1">
      <alignment horizontal="center"/>
    </xf>
    <xf numFmtId="49" fontId="79" fillId="0" borderId="96" xfId="0" applyNumberFormat="1" applyFont="1" applyBorder="1" applyAlignment="1">
      <alignment horizontal="center"/>
    </xf>
    <xf numFmtId="49" fontId="80" fillId="0" borderId="97" xfId="0" applyNumberFormat="1" applyFont="1" applyBorder="1" applyAlignment="1">
      <alignment horizontal="center"/>
    </xf>
    <xf numFmtId="0" fontId="79" fillId="0" borderId="153" xfId="0" applyFont="1" applyBorder="1"/>
    <xf numFmtId="49" fontId="79" fillId="0" borderId="87" xfId="0" applyNumberFormat="1" applyFont="1" applyBorder="1" applyAlignment="1">
      <alignment horizontal="center"/>
    </xf>
    <xf numFmtId="49" fontId="79" fillId="0" borderId="2" xfId="0" applyNumberFormat="1" applyFont="1" applyBorder="1" applyAlignment="1">
      <alignment horizontal="center"/>
    </xf>
    <xf numFmtId="49" fontId="80" fillId="0" borderId="86" xfId="0" applyNumberFormat="1" applyFont="1" applyBorder="1" applyAlignment="1">
      <alignment horizontal="center"/>
    </xf>
    <xf numFmtId="0" fontId="78" fillId="0" borderId="0" xfId="0" applyFont="1"/>
    <xf numFmtId="0" fontId="79" fillId="3" borderId="150" xfId="0" applyFont="1" applyFill="1" applyBorder="1" applyAlignment="1">
      <alignment horizontal="center" vertical="center"/>
    </xf>
    <xf numFmtId="0" fontId="79" fillId="3" borderId="151" xfId="0" applyFont="1" applyFill="1" applyBorder="1" applyAlignment="1">
      <alignment horizontal="center" vertical="center"/>
    </xf>
    <xf numFmtId="0" fontId="79" fillId="3" borderId="152" xfId="0" applyFont="1" applyFill="1" applyBorder="1" applyAlignment="1">
      <alignment horizontal="center" vertical="center"/>
    </xf>
    <xf numFmtId="0" fontId="79" fillId="0" borderId="156" xfId="0" applyFont="1" applyBorder="1" applyAlignment="1">
      <alignment horizontal="center"/>
    </xf>
    <xf numFmtId="0" fontId="79" fillId="0" borderId="157" xfId="0" applyFont="1" applyBorder="1" applyAlignment="1">
      <alignment horizontal="center"/>
    </xf>
    <xf numFmtId="0" fontId="80" fillId="0" borderId="157" xfId="0" applyFont="1" applyBorder="1" applyAlignment="1">
      <alignment horizontal="center"/>
    </xf>
    <xf numFmtId="0" fontId="80" fillId="0" borderId="158" xfId="0" applyFont="1" applyBorder="1" applyAlignment="1">
      <alignment horizontal="center"/>
    </xf>
    <xf numFmtId="0" fontId="80" fillId="0" borderId="86" xfId="0" applyFont="1" applyBorder="1" applyAlignment="1">
      <alignment horizontal="center"/>
    </xf>
    <xf numFmtId="0" fontId="79" fillId="0" borderId="160" xfId="0" applyFont="1" applyBorder="1"/>
    <xf numFmtId="49" fontId="79" fillId="0" borderId="90" xfId="0" applyNumberFormat="1" applyFont="1" applyBorder="1" applyAlignment="1">
      <alignment horizontal="center"/>
    </xf>
    <xf numFmtId="49" fontId="79" fillId="0" borderId="6" xfId="0" applyNumberFormat="1" applyFont="1" applyBorder="1" applyAlignment="1">
      <alignment horizontal="center"/>
    </xf>
    <xf numFmtId="49" fontId="80" fillId="0" borderId="94" xfId="0" applyNumberFormat="1" applyFont="1" applyBorder="1" applyAlignment="1">
      <alignment horizontal="center"/>
    </xf>
    <xf numFmtId="0" fontId="79" fillId="0" borderId="161" xfId="0" applyFont="1" applyBorder="1"/>
    <xf numFmtId="0" fontId="80" fillId="0" borderId="147" xfId="0" applyFont="1" applyBorder="1"/>
    <xf numFmtId="49" fontId="80" fillId="0" borderId="162" xfId="0" applyNumberFormat="1" applyFont="1" applyBorder="1" applyAlignment="1">
      <alignment horizontal="center"/>
    </xf>
    <xf numFmtId="0" fontId="79" fillId="0" borderId="87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79" fillId="0" borderId="85" xfId="0" applyFont="1" applyBorder="1" applyAlignment="1">
      <alignment horizontal="center"/>
    </xf>
    <xf numFmtId="0" fontId="79" fillId="0" borderId="96" xfId="0" applyFont="1" applyBorder="1" applyAlignment="1">
      <alignment horizontal="center"/>
    </xf>
    <xf numFmtId="0" fontId="80" fillId="0" borderId="97" xfId="0" applyFont="1" applyBorder="1" applyAlignment="1">
      <alignment horizontal="center"/>
    </xf>
    <xf numFmtId="0" fontId="79" fillId="0" borderId="90" xfId="0" applyFont="1" applyBorder="1" applyAlignment="1">
      <alignment horizontal="center"/>
    </xf>
    <xf numFmtId="0" fontId="79" fillId="0" borderId="6" xfId="0" applyFont="1" applyBorder="1" applyAlignment="1">
      <alignment horizontal="center"/>
    </xf>
    <xf numFmtId="0" fontId="80" fillId="0" borderId="94" xfId="0" applyFont="1" applyBorder="1" applyAlignment="1">
      <alignment horizontal="center"/>
    </xf>
    <xf numFmtId="0" fontId="80" fillId="0" borderId="157" xfId="0" applyFont="1" applyBorder="1" applyAlignment="1">
      <alignment horizontal="center" vertical="center"/>
    </xf>
    <xf numFmtId="0" fontId="80" fillId="0" borderId="147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49" fontId="80" fillId="0" borderId="147" xfId="0" applyNumberFormat="1" applyFont="1" applyBorder="1" applyAlignment="1">
      <alignment horizontal="center" vertical="center"/>
    </xf>
    <xf numFmtId="0" fontId="0" fillId="4" borderId="0" xfId="0" applyFill="1"/>
    <xf numFmtId="0" fontId="75" fillId="4" borderId="2" xfId="0" applyFont="1" applyFill="1" applyBorder="1" applyAlignment="1">
      <alignment horizontal="center" vertical="center"/>
    </xf>
    <xf numFmtId="0" fontId="6" fillId="4" borderId="0" xfId="0" applyFont="1" applyFill="1"/>
    <xf numFmtId="0" fontId="85" fillId="2" borderId="3" xfId="0" applyFont="1" applyFill="1" applyBorder="1" applyAlignment="1">
      <alignment horizontal="center" vertical="center" wrapText="1"/>
    </xf>
    <xf numFmtId="0" fontId="86" fillId="0" borderId="0" xfId="0" applyFont="1"/>
    <xf numFmtId="0" fontId="6" fillId="0" borderId="120" xfId="0" applyFont="1" applyBorder="1"/>
    <xf numFmtId="0" fontId="6" fillId="0" borderId="120" xfId="0" applyFont="1" applyBorder="1" applyAlignment="1">
      <alignment horizontal="center" vertical="center"/>
    </xf>
    <xf numFmtId="49" fontId="6" fillId="0" borderId="120" xfId="0" applyNumberFormat="1" applyFont="1" applyBorder="1" applyAlignment="1">
      <alignment horizontal="center" vertical="center"/>
    </xf>
    <xf numFmtId="49" fontId="6" fillId="4" borderId="2" xfId="0" applyNumberFormat="1" applyFont="1" applyFill="1" applyBorder="1" applyAlignment="1">
      <alignment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4" fillId="4" borderId="2" xfId="0" applyFont="1" applyFill="1" applyBorder="1"/>
    <xf numFmtId="0" fontId="64" fillId="4" borderId="2" xfId="0" applyFont="1" applyFill="1" applyBorder="1" applyAlignment="1">
      <alignment horizontal="center"/>
    </xf>
    <xf numFmtId="0" fontId="64" fillId="4" borderId="5" xfId="0" applyFont="1" applyFill="1" applyBorder="1"/>
    <xf numFmtId="0" fontId="6" fillId="0" borderId="10" xfId="0" applyFont="1" applyBorder="1"/>
    <xf numFmtId="0" fontId="6" fillId="4" borderId="10" xfId="0" applyFont="1" applyFill="1" applyBorder="1"/>
    <xf numFmtId="0" fontId="64" fillId="4" borderId="10" xfId="0" applyFont="1" applyFill="1" applyBorder="1"/>
    <xf numFmtId="0" fontId="6" fillId="0" borderId="163" xfId="0" applyFont="1" applyBorder="1"/>
    <xf numFmtId="0" fontId="87" fillId="4" borderId="2" xfId="0" applyFont="1" applyFill="1" applyBorder="1" applyAlignment="1">
      <alignment horizontal="center" vertical="center"/>
    </xf>
    <xf numFmtId="49" fontId="80" fillId="0" borderId="11" xfId="0" applyNumberFormat="1" applyFont="1" applyBorder="1" applyAlignment="1">
      <alignment horizontal="center"/>
    </xf>
    <xf numFmtId="49" fontId="80" fillId="0" borderId="5" xfId="0" applyNumberFormat="1" applyFont="1" applyBorder="1" applyAlignment="1">
      <alignment horizontal="center"/>
    </xf>
    <xf numFmtId="49" fontId="80" fillId="0" borderId="7" xfId="0" applyNumberFormat="1" applyFont="1" applyBorder="1" applyAlignment="1">
      <alignment horizontal="center"/>
    </xf>
    <xf numFmtId="49" fontId="79" fillId="3" borderId="2" xfId="0" applyNumberFormat="1" applyFont="1" applyFill="1" applyBorder="1" applyAlignment="1">
      <alignment horizontal="center"/>
    </xf>
    <xf numFmtId="0" fontId="80" fillId="0" borderId="11" xfId="0" applyFont="1" applyBorder="1" applyAlignment="1">
      <alignment horizontal="center"/>
    </xf>
    <xf numFmtId="0" fontId="80" fillId="0" borderId="5" xfId="0" applyFont="1" applyBorder="1" applyAlignment="1">
      <alignment horizontal="center"/>
    </xf>
    <xf numFmtId="0" fontId="80" fillId="0" borderId="7" xfId="0" applyFont="1" applyBorder="1" applyAlignment="1">
      <alignment horizontal="center"/>
    </xf>
    <xf numFmtId="49" fontId="80" fillId="3" borderId="149" xfId="0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center"/>
    </xf>
    <xf numFmtId="49" fontId="80" fillId="0" borderId="98" xfId="0" applyNumberFormat="1" applyFont="1" applyBorder="1" applyAlignment="1">
      <alignment horizontal="center"/>
    </xf>
    <xf numFmtId="0" fontId="80" fillId="3" borderId="149" xfId="0" applyFont="1" applyFill="1" applyBorder="1" applyAlignment="1">
      <alignment horizontal="center" vertical="center"/>
    </xf>
    <xf numFmtId="49" fontId="80" fillId="3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left" vertical="center"/>
    </xf>
    <xf numFmtId="49" fontId="6" fillId="4" borderId="2" xfId="0" applyNumberFormat="1" applyFont="1" applyFill="1" applyBorder="1"/>
    <xf numFmtId="49" fontId="6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vertical="center"/>
    </xf>
    <xf numFmtId="49" fontId="6" fillId="4" borderId="2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6" fillId="4" borderId="120" xfId="0" applyFont="1" applyFill="1" applyBorder="1"/>
    <xf numFmtId="49" fontId="0" fillId="4" borderId="0" xfId="0" applyNumberFormat="1" applyFill="1"/>
    <xf numFmtId="0" fontId="6" fillId="4" borderId="12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/>
    </xf>
    <xf numFmtId="49" fontId="6" fillId="4" borderId="12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9" fontId="0" fillId="0" borderId="0" xfId="0" applyNumberFormat="1"/>
    <xf numFmtId="0" fontId="66" fillId="0" borderId="0" xfId="0" applyFont="1"/>
    <xf numFmtId="0" fontId="66" fillId="0" borderId="2" xfId="0" applyFont="1" applyBorder="1" applyAlignment="1">
      <alignment horizontal="center"/>
    </xf>
    <xf numFmtId="14" fontId="66" fillId="0" borderId="2" xfId="0" applyNumberFormat="1" applyFont="1" applyBorder="1" applyAlignment="1">
      <alignment horizontal="center" vertical="center"/>
    </xf>
    <xf numFmtId="0" fontId="88" fillId="0" borderId="2" xfId="0" applyFont="1" applyBorder="1" applyAlignment="1">
      <alignment horizontal="center" vertical="center"/>
    </xf>
    <xf numFmtId="0" fontId="88" fillId="0" borderId="2" xfId="0" applyFont="1" applyBorder="1"/>
    <xf numFmtId="49" fontId="88" fillId="0" borderId="2" xfId="0" applyNumberFormat="1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8" fillId="0" borderId="0" xfId="0" applyFont="1"/>
    <xf numFmtId="49" fontId="88" fillId="0" borderId="0" xfId="0" applyNumberFormat="1" applyFont="1" applyAlignment="1">
      <alignment horizontal="center" vertical="center"/>
    </xf>
    <xf numFmtId="0" fontId="88" fillId="0" borderId="120" xfId="0" applyFont="1" applyBorder="1"/>
    <xf numFmtId="0" fontId="88" fillId="0" borderId="120" xfId="0" applyFont="1" applyBorder="1" applyAlignment="1">
      <alignment horizontal="center" vertical="center"/>
    </xf>
    <xf numFmtId="0" fontId="88" fillId="0" borderId="164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4" borderId="2" xfId="0" applyFont="1" applyFill="1" applyBorder="1"/>
    <xf numFmtId="0" fontId="88" fillId="4" borderId="2" xfId="0" applyFont="1" applyFill="1" applyBorder="1" applyAlignment="1">
      <alignment horizontal="center" vertical="center"/>
    </xf>
    <xf numFmtId="49" fontId="88" fillId="4" borderId="2" xfId="0" applyNumberFormat="1" applyFont="1" applyFill="1" applyBorder="1" applyAlignment="1">
      <alignment horizontal="center" vertical="center"/>
    </xf>
    <xf numFmtId="0" fontId="88" fillId="4" borderId="5" xfId="0" applyFont="1" applyFill="1" applyBorder="1" applyAlignment="1">
      <alignment horizontal="center" vertical="center"/>
    </xf>
    <xf numFmtId="0" fontId="88" fillId="4" borderId="0" xfId="0" applyFont="1" applyFill="1"/>
    <xf numFmtId="0" fontId="88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8" fillId="0" borderId="2" xfId="0" applyNumberFormat="1" applyFont="1" applyBorder="1" applyAlignment="1">
      <alignment horizontal="center"/>
    </xf>
    <xf numFmtId="0" fontId="6" fillId="11" borderId="2" xfId="0" applyFont="1" applyFill="1" applyBorder="1" applyAlignment="1">
      <alignment horizontal="center" vertical="center"/>
    </xf>
    <xf numFmtId="0" fontId="81" fillId="0" borderId="0" xfId="0" applyFont="1"/>
    <xf numFmtId="0" fontId="79" fillId="0" borderId="0" xfId="0" applyFont="1"/>
    <xf numFmtId="0" fontId="79" fillId="4" borderId="0" xfId="0" applyFont="1" applyFill="1" applyAlignment="1">
      <alignment horizontal="center"/>
    </xf>
    <xf numFmtId="0" fontId="53" fillId="0" borderId="2" xfId="0" applyFont="1" applyBorder="1" applyAlignment="1">
      <alignment horizontal="center" vertical="center"/>
    </xf>
    <xf numFmtId="0" fontId="79" fillId="4" borderId="169" xfId="0" applyFont="1" applyFill="1" applyBorder="1" applyAlignment="1">
      <alignment horizontal="center"/>
    </xf>
    <xf numFmtId="0" fontId="0" fillId="0" borderId="168" xfId="0" applyBorder="1"/>
    <xf numFmtId="0" fontId="0" fillId="0" borderId="169" xfId="0" applyBorder="1"/>
    <xf numFmtId="0" fontId="0" fillId="0" borderId="170" xfId="0" applyBorder="1"/>
    <xf numFmtId="49" fontId="0" fillId="0" borderId="171" xfId="0" applyNumberFormat="1" applyBorder="1"/>
    <xf numFmtId="0" fontId="0" fillId="0" borderId="171" xfId="0" applyBorder="1"/>
    <xf numFmtId="0" fontId="0" fillId="0" borderId="172" xfId="0" applyBorder="1"/>
    <xf numFmtId="0" fontId="93" fillId="12" borderId="0" xfId="0" applyFont="1" applyFill="1" applyAlignment="1">
      <alignment horizontal="center" vertical="center"/>
    </xf>
    <xf numFmtId="0" fontId="94" fillId="13" borderId="2" xfId="0" applyFont="1" applyFill="1" applyBorder="1" applyAlignment="1">
      <alignment horizontal="center" vertical="center" wrapText="1"/>
    </xf>
    <xf numFmtId="0" fontId="94" fillId="13" borderId="173" xfId="0" applyFont="1" applyFill="1" applyBorder="1" applyAlignment="1">
      <alignment horizontal="center" vertical="center" wrapText="1"/>
    </xf>
    <xf numFmtId="0" fontId="94" fillId="13" borderId="174" xfId="0" applyFont="1" applyFill="1" applyBorder="1" applyAlignment="1">
      <alignment horizontal="center" vertical="center" wrapText="1"/>
    </xf>
    <xf numFmtId="0" fontId="94" fillId="12" borderId="2" xfId="0" applyFont="1" applyFill="1" applyBorder="1" applyAlignment="1">
      <alignment horizontal="center" vertical="center"/>
    </xf>
    <xf numFmtId="0" fontId="94" fillId="12" borderId="0" xfId="0" applyFont="1" applyFill="1" applyAlignment="1">
      <alignment horizontal="center" vertical="center"/>
    </xf>
    <xf numFmtId="0" fontId="95" fillId="14" borderId="2" xfId="0" applyFont="1" applyFill="1" applyBorder="1" applyAlignment="1">
      <alignment horizontal="center" vertical="center"/>
    </xf>
    <xf numFmtId="0" fontId="96" fillId="15" borderId="2" xfId="0" applyFont="1" applyFill="1" applyBorder="1" applyAlignment="1">
      <alignment horizontal="center" vertical="center" wrapText="1"/>
    </xf>
    <xf numFmtId="0" fontId="96" fillId="15" borderId="2" xfId="0" applyFont="1" applyFill="1" applyBorder="1" applyAlignment="1">
      <alignment horizontal="left" vertical="center" wrapText="1"/>
    </xf>
    <xf numFmtId="164" fontId="96" fillId="15" borderId="5" xfId="0" applyNumberFormat="1" applyFont="1" applyFill="1" applyBorder="1" applyAlignment="1">
      <alignment horizontal="center" vertical="center" wrapText="1"/>
    </xf>
    <xf numFmtId="0" fontId="96" fillId="14" borderId="2" xfId="0" applyFont="1" applyFill="1" applyBorder="1" applyAlignment="1">
      <alignment horizontal="center" vertical="center"/>
    </xf>
    <xf numFmtId="0" fontId="96" fillId="14" borderId="2" xfId="0" applyFont="1" applyFill="1" applyBorder="1"/>
    <xf numFmtId="0" fontId="5" fillId="14" borderId="0" xfId="0" applyFont="1" applyFill="1"/>
    <xf numFmtId="0" fontId="96" fillId="4" borderId="2" xfId="0" applyFont="1" applyFill="1" applyBorder="1" applyAlignment="1">
      <alignment horizontal="center" vertical="center" wrapText="1"/>
    </xf>
    <xf numFmtId="0" fontId="96" fillId="4" borderId="2" xfId="0" applyFont="1" applyFill="1" applyBorder="1" applyAlignment="1">
      <alignment horizontal="left" vertical="center" wrapText="1"/>
    </xf>
    <xf numFmtId="164" fontId="96" fillId="4" borderId="5" xfId="0" applyNumberFormat="1" applyFont="1" applyFill="1" applyBorder="1" applyAlignment="1">
      <alignment horizontal="center" vertical="center" wrapText="1"/>
    </xf>
    <xf numFmtId="0" fontId="96" fillId="14" borderId="2" xfId="0" applyFont="1" applyFill="1" applyBorder="1" applyAlignment="1">
      <alignment horizontal="center" vertical="center" wrapText="1"/>
    </xf>
    <xf numFmtId="0" fontId="96" fillId="14" borderId="2" xfId="0" applyFont="1" applyFill="1" applyBorder="1" applyAlignment="1">
      <alignment horizontal="left" vertical="center" wrapText="1"/>
    </xf>
    <xf numFmtId="164" fontId="96" fillId="14" borderId="5" xfId="0" applyNumberFormat="1" applyFont="1" applyFill="1" applyBorder="1" applyAlignment="1">
      <alignment horizontal="center" vertical="center" wrapText="1"/>
    </xf>
    <xf numFmtId="0" fontId="96" fillId="16" borderId="2" xfId="0" applyFont="1" applyFill="1" applyBorder="1" applyAlignment="1">
      <alignment horizontal="center" vertical="center" wrapText="1"/>
    </xf>
    <xf numFmtId="0" fontId="96" fillId="16" borderId="2" xfId="0" applyFont="1" applyFill="1" applyBorder="1" applyAlignment="1">
      <alignment horizontal="left" vertical="center" wrapText="1"/>
    </xf>
    <xf numFmtId="164" fontId="96" fillId="16" borderId="5" xfId="0" applyNumberFormat="1" applyFont="1" applyFill="1" applyBorder="1" applyAlignment="1">
      <alignment horizontal="center" vertical="center" wrapText="1"/>
    </xf>
    <xf numFmtId="49" fontId="88" fillId="0" borderId="2" xfId="0" applyNumberFormat="1" applyFont="1" applyBorder="1" applyAlignment="1">
      <alignment horizontal="center"/>
    </xf>
    <xf numFmtId="0" fontId="88" fillId="0" borderId="5" xfId="0" applyFont="1" applyBorder="1" applyAlignment="1">
      <alignment horizontal="center"/>
    </xf>
    <xf numFmtId="0" fontId="53" fillId="3" borderId="2" xfId="0" applyFont="1" applyFill="1" applyBorder="1" applyAlignment="1">
      <alignment horizontal="center" vertical="center"/>
    </xf>
    <xf numFmtId="0" fontId="98" fillId="0" borderId="0" xfId="0" applyFont="1"/>
    <xf numFmtId="0" fontId="0" fillId="0" borderId="167" xfId="0" applyBorder="1"/>
    <xf numFmtId="0" fontId="0" fillId="17" borderId="169" xfId="0" applyFill="1" applyBorder="1"/>
    <xf numFmtId="0" fontId="102" fillId="0" borderId="0" xfId="0" applyFont="1"/>
    <xf numFmtId="0" fontId="103" fillId="0" borderId="176" xfId="0" applyFont="1" applyBorder="1" applyAlignment="1">
      <alignment horizontal="center" vertical="center"/>
    </xf>
    <xf numFmtId="0" fontId="104" fillId="0" borderId="17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0" fontId="106" fillId="2" borderId="8" xfId="0" applyFont="1" applyFill="1" applyBorder="1" applyAlignment="1">
      <alignment horizontal="center" vertical="center" wrapText="1"/>
    </xf>
    <xf numFmtId="0" fontId="106" fillId="2" borderId="3" xfId="0" applyFont="1" applyFill="1" applyBorder="1" applyAlignment="1">
      <alignment horizontal="center" vertical="center" wrapText="1"/>
    </xf>
    <xf numFmtId="0" fontId="105" fillId="0" borderId="2" xfId="0" applyFont="1" applyBorder="1" applyAlignment="1">
      <alignment horizontal="center" vertical="center"/>
    </xf>
    <xf numFmtId="0" fontId="105" fillId="4" borderId="2" xfId="0" applyFont="1" applyFill="1" applyBorder="1" applyAlignment="1">
      <alignment horizontal="center" vertical="center" wrapText="1"/>
    </xf>
    <xf numFmtId="0" fontId="66" fillId="4" borderId="0" xfId="0" applyFont="1" applyFill="1" applyAlignment="1">
      <alignment horizontal="center" vertical="center"/>
    </xf>
    <xf numFmtId="0" fontId="66" fillId="18" borderId="2" xfId="0" applyFont="1" applyFill="1" applyBorder="1" applyAlignment="1">
      <alignment horizontal="center" vertical="center"/>
    </xf>
    <xf numFmtId="0" fontId="92" fillId="4" borderId="2" xfId="0" applyFont="1" applyFill="1" applyBorder="1" applyAlignment="1">
      <alignment horizontal="center" vertical="center"/>
    </xf>
    <xf numFmtId="0" fontId="92" fillId="18" borderId="2" xfId="0" applyFont="1" applyFill="1" applyBorder="1" applyAlignment="1">
      <alignment horizontal="center" vertical="center"/>
    </xf>
    <xf numFmtId="0" fontId="107" fillId="2" borderId="2" xfId="0" applyFont="1" applyFill="1" applyBorder="1" applyAlignment="1">
      <alignment horizontal="center" vertical="center"/>
    </xf>
    <xf numFmtId="164" fontId="96" fillId="4" borderId="2" xfId="0" applyNumberFormat="1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 wrapText="1"/>
    </xf>
    <xf numFmtId="0" fontId="66" fillId="0" borderId="5" xfId="0" applyFont="1" applyBorder="1" applyAlignment="1">
      <alignment horizontal="center"/>
    </xf>
    <xf numFmtId="0" fontId="107" fillId="2" borderId="180" xfId="0" applyFont="1" applyFill="1" applyBorder="1" applyAlignment="1">
      <alignment horizontal="center" vertical="center"/>
    </xf>
    <xf numFmtId="0" fontId="107" fillId="2" borderId="181" xfId="0" applyFont="1" applyFill="1" applyBorder="1" applyAlignment="1">
      <alignment horizontal="center" vertical="center"/>
    </xf>
    <xf numFmtId="0" fontId="107" fillId="2" borderId="182" xfId="0" applyFont="1" applyFill="1" applyBorder="1" applyAlignment="1">
      <alignment horizontal="center" vertical="center"/>
    </xf>
    <xf numFmtId="0" fontId="5" fillId="14" borderId="2" xfId="0" applyFont="1" applyFill="1" applyBorder="1"/>
    <xf numFmtId="0" fontId="5" fillId="4" borderId="2" xfId="0" applyFont="1" applyFill="1" applyBorder="1"/>
    <xf numFmtId="0" fontId="5" fillId="14" borderId="183" xfId="0" applyFont="1" applyFill="1" applyBorder="1"/>
    <xf numFmtId="0" fontId="5" fillId="14" borderId="184" xfId="0" applyFont="1" applyFill="1" applyBorder="1"/>
    <xf numFmtId="0" fontId="5" fillId="4" borderId="183" xfId="0" applyFont="1" applyFill="1" applyBorder="1"/>
    <xf numFmtId="0" fontId="5" fillId="4" borderId="184" xfId="0" applyFont="1" applyFill="1" applyBorder="1"/>
    <xf numFmtId="0" fontId="5" fillId="14" borderId="185" xfId="0" applyFont="1" applyFill="1" applyBorder="1"/>
    <xf numFmtId="0" fontId="5" fillId="14" borderId="186" xfId="0" applyFont="1" applyFill="1" applyBorder="1"/>
    <xf numFmtId="0" fontId="5" fillId="14" borderId="187" xfId="0" applyFont="1" applyFill="1" applyBorder="1"/>
    <xf numFmtId="0" fontId="108" fillId="4" borderId="0" xfId="0" applyFont="1" applyFill="1"/>
    <xf numFmtId="0" fontId="107" fillId="4" borderId="0" xfId="0" applyFont="1" applyFill="1"/>
    <xf numFmtId="0" fontId="109" fillId="2" borderId="3" xfId="0" applyFont="1" applyFill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111" fillId="21" borderId="2" xfId="0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112" fillId="21" borderId="2" xfId="0" applyFont="1" applyFill="1" applyBorder="1" applyAlignment="1">
      <alignment horizontal="center" vertical="center"/>
    </xf>
    <xf numFmtId="0" fontId="113" fillId="0" borderId="2" xfId="0" applyFont="1" applyBorder="1" applyAlignment="1">
      <alignment horizontal="center" vertical="center"/>
    </xf>
    <xf numFmtId="0" fontId="113" fillId="20" borderId="0" xfId="0" applyFont="1" applyFill="1" applyAlignment="1">
      <alignment horizontal="center"/>
    </xf>
    <xf numFmtId="0" fontId="71" fillId="20" borderId="6" xfId="0" applyFont="1" applyFill="1" applyBorder="1" applyAlignment="1">
      <alignment horizontal="center" vertical="center" wrapText="1"/>
    </xf>
    <xf numFmtId="0" fontId="71" fillId="20" borderId="7" xfId="0" applyFont="1" applyFill="1" applyBorder="1" applyAlignment="1">
      <alignment horizontal="center" vertical="center" wrapText="1"/>
    </xf>
    <xf numFmtId="0" fontId="71" fillId="20" borderId="2" xfId="0" applyFont="1" applyFill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/>
    </xf>
    <xf numFmtId="0" fontId="6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05" fillId="3" borderId="2" xfId="0" applyFont="1" applyFill="1" applyBorder="1" applyAlignment="1">
      <alignment horizontal="center" vertical="center"/>
    </xf>
    <xf numFmtId="0" fontId="105" fillId="0" borderId="6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/>
    </xf>
    <xf numFmtId="0" fontId="114" fillId="0" borderId="2" xfId="0" applyFont="1" applyFill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0" fontId="117" fillId="8" borderId="2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2" xfId="0" applyFont="1" applyBorder="1" applyAlignment="1">
      <alignment horizontal="center" vertical="center"/>
    </xf>
    <xf numFmtId="0" fontId="121" fillId="21" borderId="2" xfId="0" applyFont="1" applyFill="1" applyBorder="1" applyAlignment="1">
      <alignment horizontal="center" vertical="center"/>
    </xf>
    <xf numFmtId="0" fontId="122" fillId="0" borderId="2" xfId="0" applyFont="1" applyFill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6" fillId="0" borderId="2" xfId="0" applyFont="1" applyBorder="1" applyAlignment="1">
      <alignment horizontal="center" vertical="center"/>
    </xf>
    <xf numFmtId="0" fontId="126" fillId="0" borderId="2" xfId="0" applyFont="1" applyBorder="1"/>
    <xf numFmtId="49" fontId="126" fillId="0" borderId="2" xfId="0" applyNumberFormat="1" applyFont="1" applyBorder="1" applyAlignment="1">
      <alignment horizontal="center" vertical="center"/>
    </xf>
    <xf numFmtId="0" fontId="126" fillId="0" borderId="2" xfId="0" applyFont="1" applyBorder="1" applyAlignment="1">
      <alignment horizontal="center"/>
    </xf>
    <xf numFmtId="0" fontId="126" fillId="0" borderId="5" xfId="0" applyFont="1" applyBorder="1" applyAlignment="1">
      <alignment horizontal="center"/>
    </xf>
    <xf numFmtId="0" fontId="127" fillId="0" borderId="180" xfId="0" applyFont="1" applyBorder="1" applyAlignment="1">
      <alignment horizontal="center" vertical="center"/>
    </xf>
    <xf numFmtId="0" fontId="127" fillId="0" borderId="181" xfId="0" applyFont="1" applyBorder="1" applyAlignment="1">
      <alignment horizontal="center" vertical="center"/>
    </xf>
    <xf numFmtId="0" fontId="127" fillId="0" borderId="188" xfId="0" applyFont="1" applyBorder="1" applyAlignment="1">
      <alignment horizontal="center" vertical="center"/>
    </xf>
    <xf numFmtId="0" fontId="127" fillId="0" borderId="2" xfId="0" applyFont="1" applyBorder="1" applyAlignment="1">
      <alignment horizontal="center" vertical="center"/>
    </xf>
    <xf numFmtId="0" fontId="126" fillId="0" borderId="0" xfId="0" applyFont="1"/>
    <xf numFmtId="0" fontId="127" fillId="0" borderId="183" xfId="0" applyFont="1" applyBorder="1" applyAlignment="1">
      <alignment horizontal="center" vertical="center"/>
    </xf>
    <xf numFmtId="0" fontId="127" fillId="0" borderId="5" xfId="0" applyFont="1" applyBorder="1" applyAlignment="1">
      <alignment horizontal="center" vertical="center"/>
    </xf>
    <xf numFmtId="0" fontId="130" fillId="0" borderId="2" xfId="0" applyFont="1" applyBorder="1" applyAlignment="1">
      <alignment horizontal="center"/>
    </xf>
    <xf numFmtId="0" fontId="127" fillId="4" borderId="2" xfId="0" applyFont="1" applyFill="1" applyBorder="1" applyAlignment="1">
      <alignment horizontal="center" vertical="center"/>
    </xf>
    <xf numFmtId="0" fontId="131" fillId="0" borderId="2" xfId="0" applyFont="1" applyBorder="1" applyAlignment="1">
      <alignment horizontal="center"/>
    </xf>
    <xf numFmtId="0" fontId="132" fillId="0" borderId="2" xfId="0" applyFont="1" applyBorder="1" applyAlignment="1">
      <alignment horizontal="center"/>
    </xf>
    <xf numFmtId="49" fontId="126" fillId="0" borderId="2" xfId="0" applyNumberFormat="1" applyFont="1" applyBorder="1" applyAlignment="1">
      <alignment horizontal="center"/>
    </xf>
    <xf numFmtId="0" fontId="126" fillId="0" borderId="5" xfId="0" applyFont="1" applyBorder="1"/>
    <xf numFmtId="0" fontId="126" fillId="0" borderId="0" xfId="0" applyFont="1" applyAlignment="1">
      <alignment horizontal="center"/>
    </xf>
    <xf numFmtId="0" fontId="126" fillId="4" borderId="2" xfId="0" applyFont="1" applyFill="1" applyBorder="1"/>
    <xf numFmtId="49" fontId="126" fillId="4" borderId="2" xfId="0" applyNumberFormat="1" applyFont="1" applyFill="1" applyBorder="1" applyAlignment="1">
      <alignment horizontal="center" vertical="center"/>
    </xf>
    <xf numFmtId="0" fontId="126" fillId="4" borderId="2" xfId="0" applyFont="1" applyFill="1" applyBorder="1" applyAlignment="1">
      <alignment horizontal="center"/>
    </xf>
    <xf numFmtId="0" fontId="126" fillId="4" borderId="2" xfId="0" applyFont="1" applyFill="1" applyBorder="1" applyAlignment="1">
      <alignment horizontal="center" vertical="center"/>
    </xf>
    <xf numFmtId="0" fontId="127" fillId="0" borderId="185" xfId="0" applyFont="1" applyBorder="1" applyAlignment="1">
      <alignment horizontal="center" vertical="center"/>
    </xf>
    <xf numFmtId="0" fontId="127" fillId="0" borderId="186" xfId="0" applyFont="1" applyBorder="1" applyAlignment="1">
      <alignment horizontal="center" vertical="center"/>
    </xf>
    <xf numFmtId="0" fontId="127" fillId="0" borderId="189" xfId="0" applyFont="1" applyBorder="1" applyAlignment="1">
      <alignment horizontal="center" vertical="center"/>
    </xf>
    <xf numFmtId="0" fontId="133" fillId="23" borderId="2" xfId="0" applyFont="1" applyFill="1" applyBorder="1" applyAlignment="1">
      <alignment horizontal="center" vertical="center"/>
    </xf>
    <xf numFmtId="0" fontId="1" fillId="20" borderId="164" xfId="0" applyFont="1" applyFill="1" applyBorder="1" applyAlignment="1">
      <alignment horizontal="center" vertical="center" wrapText="1"/>
    </xf>
    <xf numFmtId="0" fontId="128" fillId="0" borderId="5" xfId="0" applyFont="1" applyBorder="1" applyAlignment="1">
      <alignment horizontal="center" vertical="center"/>
    </xf>
    <xf numFmtId="0" fontId="108" fillId="23" borderId="165" xfId="0" applyFont="1" applyFill="1" applyBorder="1"/>
    <xf numFmtId="0" fontId="108" fillId="23" borderId="166" xfId="0" applyFont="1" applyFill="1" applyBorder="1"/>
    <xf numFmtId="0" fontId="108" fillId="23" borderId="167" xfId="0" applyFont="1" applyFill="1" applyBorder="1"/>
    <xf numFmtId="0" fontId="133" fillId="23" borderId="183" xfId="0" applyFont="1" applyFill="1" applyBorder="1" applyAlignment="1">
      <alignment horizontal="center" vertical="center"/>
    </xf>
    <xf numFmtId="0" fontId="109" fillId="23" borderId="184" xfId="0" applyFont="1" applyFill="1" applyBorder="1" applyAlignment="1">
      <alignment horizontal="center" vertical="center"/>
    </xf>
    <xf numFmtId="0" fontId="126" fillId="0" borderId="0" xfId="0" applyFont="1" applyBorder="1" applyAlignment="1">
      <alignment horizontal="center" vertical="center"/>
    </xf>
    <xf numFmtId="0" fontId="127" fillId="4" borderId="183" xfId="0" applyFont="1" applyFill="1" applyBorder="1" applyAlignment="1">
      <alignment horizontal="center" vertical="center"/>
    </xf>
    <xf numFmtId="0" fontId="135" fillId="0" borderId="2" xfId="0" applyFont="1" applyBorder="1" applyAlignment="1">
      <alignment horizontal="center" vertical="center"/>
    </xf>
    <xf numFmtId="0" fontId="135" fillId="0" borderId="2" xfId="0" applyFont="1" applyBorder="1"/>
    <xf numFmtId="49" fontId="135" fillId="0" borderId="2" xfId="0" applyNumberFormat="1" applyFont="1" applyBorder="1" applyAlignment="1">
      <alignment horizontal="center" vertical="center"/>
    </xf>
    <xf numFmtId="0" fontId="135" fillId="0" borderId="5" xfId="0" applyFont="1" applyBorder="1"/>
    <xf numFmtId="0" fontId="135" fillId="4" borderId="180" xfId="0" applyFont="1" applyFill="1" applyBorder="1" applyAlignment="1">
      <alignment horizontal="center" vertical="center"/>
    </xf>
    <xf numFmtId="0" fontId="135" fillId="4" borderId="181" xfId="0" applyFont="1" applyFill="1" applyBorder="1" applyAlignment="1">
      <alignment horizontal="center" vertical="center"/>
    </xf>
    <xf numFmtId="0" fontId="135" fillId="4" borderId="188" xfId="0" applyFont="1" applyFill="1" applyBorder="1" applyAlignment="1">
      <alignment horizontal="center" vertical="center"/>
    </xf>
    <xf numFmtId="0" fontId="135" fillId="4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35" fillId="4" borderId="183" xfId="0" applyFont="1" applyFill="1" applyBorder="1" applyAlignment="1">
      <alignment horizontal="center" vertical="center"/>
    </xf>
    <xf numFmtId="0" fontId="135" fillId="4" borderId="5" xfId="0" applyFont="1" applyFill="1" applyBorder="1" applyAlignment="1">
      <alignment horizontal="center" vertical="center"/>
    </xf>
    <xf numFmtId="0" fontId="135" fillId="19" borderId="2" xfId="0" applyFont="1" applyFill="1" applyBorder="1" applyAlignment="1">
      <alignment horizontal="center" vertical="center"/>
    </xf>
    <xf numFmtId="0" fontId="135" fillId="19" borderId="2" xfId="0" applyFont="1" applyFill="1" applyBorder="1" applyAlignment="1">
      <alignment horizontal="left" vertical="center"/>
    </xf>
    <xf numFmtId="49" fontId="135" fillId="19" borderId="2" xfId="0" applyNumberFormat="1" applyFont="1" applyFill="1" applyBorder="1" applyAlignment="1">
      <alignment horizontal="center" vertical="center"/>
    </xf>
    <xf numFmtId="0" fontId="135" fillId="19" borderId="5" xfId="0" applyFont="1" applyFill="1" applyBorder="1"/>
    <xf numFmtId="0" fontId="10" fillId="19" borderId="2" xfId="0" applyFont="1" applyFill="1" applyBorder="1" applyAlignment="1">
      <alignment horizontal="center"/>
    </xf>
    <xf numFmtId="0" fontId="10" fillId="19" borderId="0" xfId="0" applyFont="1" applyFill="1" applyAlignment="1">
      <alignment horizontal="center"/>
    </xf>
    <xf numFmtId="0" fontId="135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35" fillId="4" borderId="2" xfId="0" applyFont="1" applyFill="1" applyBorder="1"/>
    <xf numFmtId="49" fontId="135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36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/>
    <xf numFmtId="0" fontId="135" fillId="0" borderId="2" xfId="0" applyFont="1" applyBorder="1" applyAlignment="1">
      <alignment horizontal="left"/>
    </xf>
    <xf numFmtId="0" fontId="10" fillId="3" borderId="2" xfId="0" applyFont="1" applyFill="1" applyBorder="1"/>
    <xf numFmtId="49" fontId="10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35" fillId="0" borderId="120" xfId="0" applyFont="1" applyBorder="1"/>
    <xf numFmtId="0" fontId="10" fillId="0" borderId="120" xfId="0" applyFont="1" applyBorder="1"/>
    <xf numFmtId="49" fontId="10" fillId="0" borderId="0" xfId="0" applyNumberFormat="1" applyFont="1"/>
    <xf numFmtId="0" fontId="10" fillId="0" borderId="120" xfId="0" applyFont="1" applyBorder="1" applyAlignment="1">
      <alignment horizontal="center" vertical="center"/>
    </xf>
    <xf numFmtId="0" fontId="135" fillId="19" borderId="2" xfId="0" applyFont="1" applyFill="1" applyBorder="1"/>
    <xf numFmtId="0" fontId="19" fillId="19" borderId="2" xfId="0" applyFont="1" applyFill="1" applyBorder="1" applyAlignment="1">
      <alignment horizontal="center" vertical="center"/>
    </xf>
    <xf numFmtId="0" fontId="19" fillId="19" borderId="5" xfId="0" applyFont="1" applyFill="1" applyBorder="1"/>
    <xf numFmtId="0" fontId="10" fillId="19" borderId="2" xfId="0" applyFont="1" applyFill="1" applyBorder="1"/>
    <xf numFmtId="0" fontId="19" fillId="4" borderId="2" xfId="0" applyFont="1" applyFill="1" applyBorder="1" applyAlignment="1">
      <alignment horizontal="center" vertical="center"/>
    </xf>
    <xf numFmtId="0" fontId="19" fillId="4" borderId="5" xfId="0" applyFont="1" applyFill="1" applyBorder="1"/>
    <xf numFmtId="0" fontId="135" fillId="4" borderId="185" xfId="0" applyFont="1" applyFill="1" applyBorder="1" applyAlignment="1">
      <alignment horizontal="center" vertical="center"/>
    </xf>
    <xf numFmtId="0" fontId="135" fillId="4" borderId="186" xfId="0" applyFont="1" applyFill="1" applyBorder="1" applyAlignment="1">
      <alignment horizontal="center" vertical="center"/>
    </xf>
    <xf numFmtId="0" fontId="135" fillId="4" borderId="189" xfId="0" applyFont="1" applyFill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0" fontId="137" fillId="0" borderId="2" xfId="0" applyFont="1" applyBorder="1" applyAlignment="1">
      <alignment horizontal="center" vertical="center"/>
    </xf>
    <xf numFmtId="0" fontId="138" fillId="0" borderId="2" xfId="0" applyFont="1" applyBorder="1" applyAlignment="1">
      <alignment horizontal="center" vertical="center"/>
    </xf>
    <xf numFmtId="0" fontId="140" fillId="3" borderId="2" xfId="0" applyFont="1" applyFill="1" applyBorder="1" applyAlignment="1">
      <alignment horizontal="center" vertical="center"/>
    </xf>
    <xf numFmtId="0" fontId="141" fillId="3" borderId="6" xfId="0" applyFont="1" applyFill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0" fontId="104" fillId="4" borderId="2" xfId="0" applyFont="1" applyFill="1" applyBorder="1" applyAlignment="1">
      <alignment horizontal="center" vertical="center"/>
    </xf>
    <xf numFmtId="0" fontId="69" fillId="4" borderId="2" xfId="0" applyFont="1" applyFill="1" applyBorder="1" applyAlignment="1">
      <alignment horizontal="center" vertical="center"/>
    </xf>
    <xf numFmtId="0" fontId="139" fillId="3" borderId="2" xfId="0" applyFont="1" applyFill="1" applyBorder="1"/>
    <xf numFmtId="0" fontId="142" fillId="0" borderId="2" xfId="0" applyFont="1" applyBorder="1" applyAlignment="1">
      <alignment horizontal="center" vertical="center"/>
    </xf>
    <xf numFmtId="0" fontId="142" fillId="4" borderId="2" xfId="0" applyFont="1" applyFill="1" applyBorder="1" applyAlignment="1">
      <alignment horizontal="center" vertical="center"/>
    </xf>
    <xf numFmtId="0" fontId="69" fillId="0" borderId="120" xfId="0" applyFont="1" applyBorder="1" applyAlignment="1">
      <alignment horizontal="center" vertical="center"/>
    </xf>
    <xf numFmtId="0" fontId="1" fillId="20" borderId="7" xfId="0" applyFont="1" applyFill="1" applyBorder="1" applyAlignment="1">
      <alignment horizontal="center" vertical="center" wrapText="1"/>
    </xf>
    <xf numFmtId="0" fontId="144" fillId="3" borderId="2" xfId="0" applyFont="1" applyFill="1" applyBorder="1" applyAlignment="1">
      <alignment horizontal="center" vertical="center"/>
    </xf>
    <xf numFmtId="0" fontId="145" fillId="3" borderId="2" xfId="0" applyFont="1" applyFill="1" applyBorder="1"/>
    <xf numFmtId="0" fontId="5" fillId="0" borderId="0" xfId="0" applyFont="1"/>
    <xf numFmtId="0" fontId="0" fillId="0" borderId="0" xfId="0" applyAlignment="1">
      <alignment vertical="center"/>
    </xf>
    <xf numFmtId="0" fontId="98" fillId="0" borderId="0" xfId="0" applyFont="1" applyAlignment="1">
      <alignment horizontal="center"/>
    </xf>
    <xf numFmtId="0" fontId="151" fillId="0" borderId="0" xfId="0" applyFont="1" applyAlignment="1">
      <alignment horizontal="center" vertical="center"/>
    </xf>
    <xf numFmtId="0" fontId="156" fillId="0" borderId="0" xfId="0" applyFont="1"/>
    <xf numFmtId="0" fontId="0" fillId="0" borderId="0" xfId="0" applyBorder="1"/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69" fillId="0" borderId="0" xfId="0" applyFont="1" applyBorder="1"/>
    <xf numFmtId="0" fontId="142" fillId="0" borderId="0" xfId="0" applyFont="1" applyBorder="1"/>
    <xf numFmtId="0" fontId="76" fillId="0" borderId="0" xfId="0" applyFont="1" applyBorder="1" applyAlignment="1">
      <alignment vertical="center"/>
    </xf>
    <xf numFmtId="0" fontId="159" fillId="24" borderId="121" xfId="0" applyFont="1" applyFill="1" applyBorder="1" applyAlignment="1">
      <alignment horizontal="center" vertical="center"/>
    </xf>
    <xf numFmtId="0" fontId="19" fillId="24" borderId="104" xfId="0" applyFont="1" applyFill="1" applyBorder="1" applyAlignment="1">
      <alignment vertical="center"/>
    </xf>
    <xf numFmtId="0" fontId="159" fillId="24" borderId="105" xfId="0" applyFont="1" applyFill="1" applyBorder="1" applyAlignment="1">
      <alignment horizontal="center" vertical="center"/>
    </xf>
    <xf numFmtId="0" fontId="19" fillId="24" borderId="105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24" borderId="104" xfId="0" applyFont="1" applyFill="1" applyBorder="1" applyAlignment="1">
      <alignment horizontal="center" vertical="center"/>
    </xf>
    <xf numFmtId="0" fontId="10" fillId="24" borderId="104" xfId="0" applyFont="1" applyFill="1" applyBorder="1" applyAlignment="1">
      <alignment vertical="center"/>
    </xf>
    <xf numFmtId="0" fontId="159" fillId="24" borderId="105" xfId="0" applyFont="1" applyFill="1" applyBorder="1" applyAlignment="1">
      <alignment vertical="center"/>
    </xf>
    <xf numFmtId="0" fontId="159" fillId="24" borderId="0" xfId="0" applyFont="1" applyFill="1" applyAlignment="1">
      <alignment horizontal="center" vertical="center"/>
    </xf>
    <xf numFmtId="0" fontId="159" fillId="24" borderId="104" xfId="0" applyFont="1" applyFill="1" applyBorder="1" applyAlignment="1">
      <alignment horizontal="center" vertical="center"/>
    </xf>
    <xf numFmtId="0" fontId="19" fillId="24" borderId="105" xfId="0" applyFont="1" applyFill="1" applyBorder="1" applyAlignment="1">
      <alignment wrapText="1"/>
    </xf>
    <xf numFmtId="0" fontId="53" fillId="24" borderId="105" xfId="0" applyFont="1" applyFill="1" applyBorder="1" applyAlignment="1">
      <alignment horizontal="left" wrapText="1"/>
    </xf>
    <xf numFmtId="0" fontId="53" fillId="24" borderId="0" xfId="0" applyFont="1" applyFill="1" applyAlignment="1">
      <alignment horizontal="left" wrapText="1"/>
    </xf>
    <xf numFmtId="0" fontId="53" fillId="24" borderId="0" xfId="0" applyFont="1" applyFill="1" applyAlignment="1">
      <alignment wrapText="1"/>
    </xf>
    <xf numFmtId="0" fontId="53" fillId="24" borderId="0" xfId="0" applyFont="1" applyFill="1"/>
    <xf numFmtId="0" fontId="53" fillId="24" borderId="0" xfId="0" applyFont="1" applyFill="1" applyAlignment="1">
      <alignment horizontal="left"/>
    </xf>
    <xf numFmtId="0" fontId="53" fillId="24" borderId="104" xfId="0" applyFont="1" applyFill="1" applyBorder="1"/>
    <xf numFmtId="0" fontId="19" fillId="24" borderId="104" xfId="0" applyFont="1" applyFill="1" applyBorder="1"/>
    <xf numFmtId="0" fontId="16" fillId="24" borderId="105" xfId="0" applyFont="1" applyFill="1" applyBorder="1"/>
    <xf numFmtId="0" fontId="162" fillId="24" borderId="105" xfId="0" applyFont="1" applyFill="1" applyBorder="1" applyAlignment="1">
      <alignment vertical="center"/>
    </xf>
    <xf numFmtId="0" fontId="162" fillId="24" borderId="0" xfId="0" applyFont="1" applyFill="1" applyAlignment="1">
      <alignment horizontal="left" vertical="center"/>
    </xf>
    <xf numFmtId="0" fontId="162" fillId="24" borderId="0" xfId="0" applyFont="1" applyFill="1"/>
    <xf numFmtId="0" fontId="162" fillId="24" borderId="104" xfId="0" applyFont="1" applyFill="1" applyBorder="1" applyAlignment="1">
      <alignment horizontal="left" vertical="center"/>
    </xf>
    <xf numFmtId="0" fontId="16" fillId="24" borderId="104" xfId="0" applyFont="1" applyFill="1" applyBorder="1"/>
    <xf numFmtId="0" fontId="53" fillId="24" borderId="105" xfId="0" applyFont="1" applyFill="1" applyBorder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16" fillId="24" borderId="0" xfId="0" applyFont="1" applyFill="1"/>
    <xf numFmtId="0" fontId="10" fillId="24" borderId="105" xfId="0" applyFont="1" applyFill="1" applyBorder="1"/>
    <xf numFmtId="0" fontId="10" fillId="24" borderId="0" xfId="0" applyFont="1" applyFill="1" applyAlignment="1">
      <alignment horizontal="left" vertical="center"/>
    </xf>
    <xf numFmtId="0" fontId="10" fillId="24" borderId="0" xfId="0" applyFont="1" applyFill="1"/>
    <xf numFmtId="0" fontId="10" fillId="24" borderId="104" xfId="0" applyFont="1" applyFill="1" applyBorder="1"/>
    <xf numFmtId="0" fontId="69" fillId="24" borderId="105" xfId="0" applyFont="1" applyFill="1" applyBorder="1" applyAlignment="1">
      <alignment horizontal="left" vertical="center"/>
    </xf>
    <xf numFmtId="0" fontId="69" fillId="24" borderId="0" xfId="0" applyFont="1" applyFill="1" applyAlignment="1">
      <alignment horizontal="left" vertical="center"/>
    </xf>
    <xf numFmtId="0" fontId="69" fillId="24" borderId="0" xfId="0" applyFont="1" applyFill="1"/>
    <xf numFmtId="0" fontId="69" fillId="24" borderId="104" xfId="0" applyFont="1" applyFill="1" applyBorder="1" applyAlignment="1">
      <alignment horizontal="left" vertical="center"/>
    </xf>
    <xf numFmtId="0" fontId="69" fillId="24" borderId="104" xfId="0" applyFont="1" applyFill="1" applyBorder="1"/>
    <xf numFmtId="14" fontId="69" fillId="24" borderId="0" xfId="0" applyNumberFormat="1" applyFont="1" applyFill="1" applyAlignment="1">
      <alignment horizontal="left" vertical="center"/>
    </xf>
    <xf numFmtId="0" fontId="0" fillId="24" borderId="105" xfId="0" applyFont="1" applyFill="1" applyBorder="1"/>
    <xf numFmtId="0" fontId="0" fillId="24" borderId="0" xfId="0" applyFont="1" applyFill="1"/>
    <xf numFmtId="0" fontId="0" fillId="24" borderId="104" xfId="0" applyFont="1" applyFill="1" applyBorder="1"/>
    <xf numFmtId="0" fontId="10" fillId="24" borderId="105" xfId="0" applyFont="1" applyFill="1" applyBorder="1" applyAlignment="1">
      <alignment vertical="center"/>
    </xf>
    <xf numFmtId="0" fontId="43" fillId="24" borderId="104" xfId="0" applyFont="1" applyFill="1" applyBorder="1" applyAlignment="1">
      <alignment vertical="center"/>
    </xf>
    <xf numFmtId="0" fontId="10" fillId="24" borderId="105" xfId="0" applyFont="1" applyFill="1" applyBorder="1" applyAlignment="1">
      <alignment horizontal="center"/>
    </xf>
    <xf numFmtId="0" fontId="16" fillId="24" borderId="2" xfId="0" applyFont="1" applyFill="1" applyBorder="1" applyAlignment="1">
      <alignment horizontal="center" vertical="center"/>
    </xf>
    <xf numFmtId="0" fontId="16" fillId="24" borderId="112" xfId="0" applyFont="1" applyFill="1" applyBorder="1" applyAlignment="1">
      <alignment horizontal="center" vertical="center"/>
    </xf>
    <xf numFmtId="0" fontId="10" fillId="24" borderId="104" xfId="0" applyFont="1" applyFill="1" applyBorder="1" applyAlignment="1">
      <alignment horizontal="center"/>
    </xf>
    <xf numFmtId="0" fontId="10" fillId="24" borderId="113" xfId="0" applyFont="1" applyFill="1" applyBorder="1" applyAlignment="1">
      <alignment vertical="center"/>
    </xf>
    <xf numFmtId="0" fontId="10" fillId="24" borderId="2" xfId="0" applyFont="1" applyFill="1" applyBorder="1" applyAlignment="1">
      <alignment horizontal="center" vertical="center"/>
    </xf>
    <xf numFmtId="0" fontId="10" fillId="24" borderId="0" xfId="0" applyFont="1" applyFill="1" applyAlignment="1">
      <alignment horizontal="center" vertical="center"/>
    </xf>
    <xf numFmtId="0" fontId="16" fillId="24" borderId="105" xfId="0" applyFont="1" applyFill="1" applyBorder="1" applyAlignment="1">
      <alignment horizontal="center" vertical="center"/>
    </xf>
    <xf numFmtId="0" fontId="16" fillId="24" borderId="113" xfId="0" applyFont="1" applyFill="1" applyBorder="1" applyAlignment="1">
      <alignment vertical="center"/>
    </xf>
    <xf numFmtId="0" fontId="16" fillId="24" borderId="61" xfId="0" applyFont="1" applyFill="1" applyBorder="1" applyAlignment="1">
      <alignment horizontal="center" vertical="center"/>
    </xf>
    <xf numFmtId="0" fontId="16" fillId="24" borderId="104" xfId="0" applyFont="1" applyFill="1" applyBorder="1" applyAlignment="1">
      <alignment horizontal="center" vertical="center"/>
    </xf>
    <xf numFmtId="0" fontId="10" fillId="24" borderId="113" xfId="0" applyFont="1" applyFill="1" applyBorder="1" applyAlignment="1">
      <alignment horizontal="left" vertical="center"/>
    </xf>
    <xf numFmtId="0" fontId="16" fillId="24" borderId="10" xfId="0" applyFont="1" applyFill="1" applyBorder="1" applyAlignment="1">
      <alignment vertical="center"/>
    </xf>
    <xf numFmtId="0" fontId="16" fillId="24" borderId="5" xfId="0" applyFont="1" applyFill="1" applyBorder="1" applyAlignment="1">
      <alignment vertical="center"/>
    </xf>
    <xf numFmtId="0" fontId="16" fillId="24" borderId="9" xfId="0" applyFont="1" applyFill="1" applyBorder="1"/>
    <xf numFmtId="2" fontId="16" fillId="24" borderId="9" xfId="0" applyNumberFormat="1" applyFont="1" applyFill="1" applyBorder="1"/>
    <xf numFmtId="0" fontId="16" fillId="24" borderId="114" xfId="0" applyFont="1" applyFill="1" applyBorder="1"/>
    <xf numFmtId="0" fontId="10" fillId="24" borderId="105" xfId="0" applyFont="1" applyFill="1" applyBorder="1" applyAlignment="1">
      <alignment horizontal="left" vertical="center"/>
    </xf>
    <xf numFmtId="2" fontId="16" fillId="24" borderId="0" xfId="0" applyNumberFormat="1" applyFont="1" applyFill="1" applyAlignment="1">
      <alignment horizontal="right" vertical="center"/>
    </xf>
    <xf numFmtId="0" fontId="16" fillId="24" borderId="0" xfId="0" applyFont="1" applyFill="1" applyAlignment="1">
      <alignment vertical="center"/>
    </xf>
    <xf numFmtId="2" fontId="16" fillId="24" borderId="0" xfId="0" applyNumberFormat="1" applyFont="1" applyFill="1"/>
    <xf numFmtId="0" fontId="10" fillId="24" borderId="111" xfId="0" applyFont="1" applyFill="1" applyBorder="1" applyAlignment="1">
      <alignment horizontal="center" vertical="center"/>
    </xf>
    <xf numFmtId="0" fontId="10" fillId="24" borderId="96" xfId="0" applyFont="1" applyFill="1" applyBorder="1" applyAlignment="1">
      <alignment horizontal="center" vertical="center"/>
    </xf>
    <xf numFmtId="0" fontId="10" fillId="24" borderId="110" xfId="0" applyFont="1" applyFill="1" applyBorder="1" applyAlignment="1">
      <alignment horizontal="center" vertical="center"/>
    </xf>
    <xf numFmtId="0" fontId="10" fillId="24" borderId="113" xfId="0" applyFont="1" applyFill="1" applyBorder="1" applyAlignment="1">
      <alignment horizontal="center" vertical="center"/>
    </xf>
    <xf numFmtId="0" fontId="10" fillId="24" borderId="112" xfId="0" applyFont="1" applyFill="1" applyBorder="1" applyAlignment="1">
      <alignment horizontal="center" vertical="center"/>
    </xf>
    <xf numFmtId="0" fontId="10" fillId="24" borderId="115" xfId="0" applyFont="1" applyFill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/>
    </xf>
    <xf numFmtId="0" fontId="10" fillId="24" borderId="116" xfId="0" applyFont="1" applyFill="1" applyBorder="1" applyAlignment="1">
      <alignment horizontal="center" vertical="center"/>
    </xf>
    <xf numFmtId="0" fontId="10" fillId="24" borderId="117" xfId="0" applyFont="1" applyFill="1" applyBorder="1" applyAlignment="1">
      <alignment horizontal="center" vertical="center"/>
    </xf>
    <xf numFmtId="0" fontId="10" fillId="24" borderId="81" xfId="0" applyFont="1" applyFill="1" applyBorder="1" applyAlignment="1">
      <alignment horizontal="center" vertical="center"/>
    </xf>
    <xf numFmtId="0" fontId="10" fillId="24" borderId="118" xfId="0" applyFont="1" applyFill="1" applyBorder="1" applyAlignment="1">
      <alignment horizontal="center" vertical="center"/>
    </xf>
    <xf numFmtId="0" fontId="10" fillId="24" borderId="121" xfId="0" applyFont="1" applyFill="1" applyBorder="1"/>
    <xf numFmtId="0" fontId="10" fillId="24" borderId="106" xfId="0" applyFont="1" applyFill="1" applyBorder="1"/>
    <xf numFmtId="0" fontId="10" fillId="24" borderId="107" xfId="0" applyFont="1" applyFill="1" applyBorder="1"/>
    <xf numFmtId="0" fontId="10" fillId="24" borderId="108" xfId="0" applyFont="1" applyFill="1" applyBorder="1"/>
    <xf numFmtId="0" fontId="160" fillId="0" borderId="194" xfId="0" applyFont="1" applyBorder="1" applyAlignment="1">
      <alignment horizontal="center" vertical="center"/>
    </xf>
    <xf numFmtId="0" fontId="155" fillId="0" borderId="197" xfId="0" applyFont="1" applyBorder="1" applyAlignment="1">
      <alignment vertical="center"/>
    </xf>
    <xf numFmtId="0" fontId="153" fillId="0" borderId="195" xfId="0" applyFont="1" applyBorder="1" applyAlignment="1">
      <alignment vertical="center"/>
    </xf>
    <xf numFmtId="0" fontId="155" fillId="0" borderId="196" xfId="0" applyFont="1" applyBorder="1" applyAlignment="1">
      <alignment vertical="center"/>
    </xf>
    <xf numFmtId="0" fontId="155" fillId="0" borderId="196" xfId="0" applyFont="1" applyBorder="1" applyAlignment="1">
      <alignment horizontal="left" vertical="center"/>
    </xf>
    <xf numFmtId="0" fontId="152" fillId="0" borderId="196" xfId="0" applyFont="1" applyBorder="1" applyAlignment="1">
      <alignment vertical="center"/>
    </xf>
    <xf numFmtId="0" fontId="149" fillId="0" borderId="176" xfId="0" applyFont="1" applyBorder="1" applyAlignment="1">
      <alignment horizontal="center" vertical="center"/>
    </xf>
    <xf numFmtId="0" fontId="167" fillId="0" borderId="0" xfId="0" applyFont="1" applyBorder="1"/>
    <xf numFmtId="0" fontId="168" fillId="3" borderId="192" xfId="0" applyFont="1" applyFill="1" applyBorder="1" applyAlignment="1">
      <alignment vertical="center"/>
    </xf>
    <xf numFmtId="0" fontId="169" fillId="3" borderId="192" xfId="0" applyFont="1" applyFill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75" fillId="0" borderId="194" xfId="0" applyFont="1" applyBorder="1" applyAlignment="1">
      <alignment horizontal="center" vertical="center"/>
    </xf>
    <xf numFmtId="0" fontId="87" fillId="0" borderId="194" xfId="0" applyFont="1" applyBorder="1" applyAlignment="1">
      <alignment horizontal="center" vertical="center"/>
    </xf>
    <xf numFmtId="0" fontId="163" fillId="0" borderId="176" xfId="0" applyFont="1" applyBorder="1" applyAlignment="1">
      <alignment horizontal="center" vertical="center"/>
    </xf>
    <xf numFmtId="0" fontId="148" fillId="0" borderId="176" xfId="0" applyFont="1" applyBorder="1" applyAlignment="1">
      <alignment horizontal="center" vertical="center"/>
    </xf>
    <xf numFmtId="0" fontId="104" fillId="0" borderId="176" xfId="0" applyFont="1" applyBorder="1" applyAlignment="1">
      <alignment horizontal="center" vertical="center"/>
    </xf>
    <xf numFmtId="0" fontId="142" fillId="0" borderId="0" xfId="0" applyFont="1" applyBorder="1" applyAlignment="1">
      <alignment horizontal="center"/>
    </xf>
    <xf numFmtId="0" fontId="113" fillId="0" borderId="0" xfId="0" applyFont="1" applyAlignment="1">
      <alignment horizontal="center" vertical="center"/>
    </xf>
    <xf numFmtId="0" fontId="113" fillId="0" borderId="0" xfId="0" applyFont="1" applyAlignment="1">
      <alignment vertical="center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78" fillId="3" borderId="16" xfId="0" applyFont="1" applyFill="1" applyBorder="1"/>
    <xf numFmtId="0" fontId="0" fillId="3" borderId="15" xfId="0" applyFill="1" applyBorder="1" applyAlignment="1">
      <alignment horizontal="center" vertical="center"/>
    </xf>
    <xf numFmtId="0" fontId="78" fillId="3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0" fontId="78" fillId="3" borderId="16" xfId="0" applyFont="1" applyFill="1" applyBorder="1" applyAlignment="1">
      <alignment vertical="center"/>
    </xf>
    <xf numFmtId="0" fontId="5" fillId="3" borderId="15" xfId="0" applyFont="1" applyFill="1" applyBorder="1"/>
    <xf numFmtId="0" fontId="5" fillId="3" borderId="16" xfId="0" applyFont="1" applyFill="1" applyBorder="1"/>
    <xf numFmtId="0" fontId="156" fillId="3" borderId="15" xfId="0" applyFont="1" applyFill="1" applyBorder="1"/>
    <xf numFmtId="0" fontId="156" fillId="3" borderId="16" xfId="0" applyFont="1" applyFill="1" applyBorder="1"/>
    <xf numFmtId="0" fontId="151" fillId="3" borderId="15" xfId="0" applyFont="1" applyFill="1" applyBorder="1" applyAlignment="1">
      <alignment horizontal="center" vertical="center"/>
    </xf>
    <xf numFmtId="0" fontId="151" fillId="3" borderId="16" xfId="0" applyFont="1" applyFill="1" applyBorder="1" applyAlignment="1">
      <alignment horizontal="center" vertical="center"/>
    </xf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8" fillId="3" borderId="198" xfId="0" applyFont="1" applyFill="1" applyBorder="1" applyAlignment="1">
      <alignment vertical="center"/>
    </xf>
    <xf numFmtId="0" fontId="76" fillId="0" borderId="15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54" fillId="0" borderId="15" xfId="0" applyFont="1" applyBorder="1" applyAlignment="1">
      <alignment horizontal="left" vertical="center"/>
    </xf>
    <xf numFmtId="0" fontId="152" fillId="0" borderId="205" xfId="0" applyFont="1" applyBorder="1" applyAlignment="1">
      <alignment vertical="center"/>
    </xf>
    <xf numFmtId="0" fontId="69" fillId="0" borderId="15" xfId="0" applyFont="1" applyBorder="1"/>
    <xf numFmtId="0" fontId="69" fillId="0" borderId="16" xfId="0" applyFont="1" applyBorder="1"/>
    <xf numFmtId="0" fontId="142" fillId="0" borderId="16" xfId="0" applyFont="1" applyBorder="1"/>
    <xf numFmtId="0" fontId="142" fillId="0" borderId="15" xfId="0" applyFont="1" applyBorder="1" applyAlignment="1">
      <alignment horizontal="center"/>
    </xf>
    <xf numFmtId="0" fontId="69" fillId="0" borderId="54" xfId="0" applyFont="1" applyBorder="1"/>
    <xf numFmtId="0" fontId="69" fillId="0" borderId="55" xfId="0" applyFont="1" applyBorder="1"/>
    <xf numFmtId="0" fontId="69" fillId="0" borderId="56" xfId="0" applyFont="1" applyBorder="1"/>
    <xf numFmtId="0" fontId="170" fillId="18" borderId="2" xfId="0" applyFont="1" applyFill="1" applyBorder="1" applyAlignment="1">
      <alignment horizontal="center" vertical="center"/>
    </xf>
    <xf numFmtId="0" fontId="170" fillId="18" borderId="179" xfId="0" applyFont="1" applyFill="1" applyBorder="1" applyAlignment="1">
      <alignment horizontal="center" vertical="center" wrapText="1"/>
    </xf>
    <xf numFmtId="0" fontId="170" fillId="18" borderId="2" xfId="0" applyFont="1" applyFill="1" applyBorder="1"/>
    <xf numFmtId="0" fontId="170" fillId="18" borderId="2" xfId="0" applyFont="1" applyFill="1" applyBorder="1" applyAlignment="1">
      <alignment horizontal="center"/>
    </xf>
    <xf numFmtId="0" fontId="135" fillId="18" borderId="2" xfId="0" applyFont="1" applyFill="1" applyBorder="1" applyAlignment="1">
      <alignment horizontal="center" vertical="center"/>
    </xf>
    <xf numFmtId="0" fontId="171" fillId="4" borderId="0" xfId="0" applyFont="1" applyFill="1"/>
    <xf numFmtId="0" fontId="135" fillId="18" borderId="0" xfId="0" applyFont="1" applyFill="1"/>
    <xf numFmtId="0" fontId="170" fillId="4" borderId="2" xfId="0" applyFont="1" applyFill="1" applyBorder="1" applyAlignment="1">
      <alignment horizontal="center" vertical="center"/>
    </xf>
    <xf numFmtId="0" fontId="170" fillId="4" borderId="179" xfId="0" applyFont="1" applyFill="1" applyBorder="1" applyAlignment="1">
      <alignment horizontal="center" vertical="center" wrapText="1"/>
    </xf>
    <xf numFmtId="0" fontId="170" fillId="4" borderId="2" xfId="0" applyFont="1" applyFill="1" applyBorder="1"/>
    <xf numFmtId="0" fontId="170" fillId="4" borderId="2" xfId="0" applyFont="1" applyFill="1" applyBorder="1" applyAlignment="1">
      <alignment horizontal="center"/>
    </xf>
    <xf numFmtId="0" fontId="135" fillId="4" borderId="0" xfId="0" applyFont="1" applyFill="1"/>
    <xf numFmtId="14" fontId="170" fillId="4" borderId="179" xfId="0" applyNumberFormat="1" applyFont="1" applyFill="1" applyBorder="1" applyAlignment="1">
      <alignment horizontal="center" vertical="center" wrapText="1"/>
    </xf>
    <xf numFmtId="14" fontId="170" fillId="18" borderId="179" xfId="0" applyNumberFormat="1" applyFont="1" applyFill="1" applyBorder="1" applyAlignment="1">
      <alignment horizontal="center" vertical="center" wrapText="1"/>
    </xf>
    <xf numFmtId="0" fontId="172" fillId="4" borderId="2" xfId="0" applyFont="1" applyFill="1" applyBorder="1" applyAlignment="1">
      <alignment horizontal="center" vertical="center"/>
    </xf>
    <xf numFmtId="0" fontId="172" fillId="4" borderId="0" xfId="0" applyFont="1" applyFill="1"/>
    <xf numFmtId="0" fontId="172" fillId="18" borderId="2" xfId="0" applyFont="1" applyFill="1" applyBorder="1" applyAlignment="1">
      <alignment horizontal="center" vertical="center"/>
    </xf>
    <xf numFmtId="0" fontId="17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07" fillId="4" borderId="2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75" fillId="0" borderId="194" xfId="0" applyFont="1" applyBorder="1" applyAlignment="1">
      <alignment horizontal="center" vertical="center"/>
    </xf>
    <xf numFmtId="14" fontId="69" fillId="0" borderId="0" xfId="0" applyNumberFormat="1" applyFont="1" applyBorder="1" applyAlignment="1">
      <alignment horizontal="center"/>
    </xf>
    <xf numFmtId="0" fontId="163" fillId="0" borderId="176" xfId="0" applyFont="1" applyBorder="1" applyAlignment="1">
      <alignment horizontal="center" vertical="center"/>
    </xf>
    <xf numFmtId="0" fontId="148" fillId="0" borderId="176" xfId="0" applyFont="1" applyBorder="1" applyAlignment="1">
      <alignment horizontal="center" vertical="center"/>
    </xf>
    <xf numFmtId="0" fontId="104" fillId="0" borderId="176" xfId="0" applyFont="1" applyBorder="1" applyAlignment="1">
      <alignment horizontal="center" vertical="center"/>
    </xf>
    <xf numFmtId="0" fontId="142" fillId="0" borderId="15" xfId="0" applyFont="1" applyBorder="1" applyAlignment="1">
      <alignment horizontal="center"/>
    </xf>
    <xf numFmtId="0" fontId="14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05" fillId="0" borderId="164" xfId="0" applyFont="1" applyBorder="1" applyAlignment="1">
      <alignment horizontal="center" vertical="center"/>
    </xf>
    <xf numFmtId="0" fontId="0" fillId="0" borderId="5" xfId="0" applyBorder="1"/>
    <xf numFmtId="0" fontId="174" fillId="0" borderId="2" xfId="0" applyFont="1" applyBorder="1" applyAlignment="1">
      <alignment horizontal="center" vertical="center"/>
    </xf>
    <xf numFmtId="0" fontId="69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79" fillId="0" borderId="194" xfId="0" applyFont="1" applyBorder="1" applyAlignment="1">
      <alignment horizontal="center" vertical="center"/>
    </xf>
    <xf numFmtId="0" fontId="178" fillId="0" borderId="0" xfId="0" applyFont="1"/>
    <xf numFmtId="0" fontId="180" fillId="0" borderId="0" xfId="0" applyFont="1" applyBorder="1"/>
    <xf numFmtId="0" fontId="69" fillId="0" borderId="0" xfId="0" applyFont="1" applyBorder="1" applyAlignment="1">
      <alignment horizontal="center" vertical="center"/>
    </xf>
    <xf numFmtId="0" fontId="0" fillId="24" borderId="14" xfId="0" applyFill="1" applyBorder="1"/>
    <xf numFmtId="0" fontId="78" fillId="24" borderId="16" xfId="0" applyFont="1" applyFill="1" applyBorder="1"/>
    <xf numFmtId="0" fontId="78" fillId="24" borderId="16" xfId="0" applyFont="1" applyFill="1" applyBorder="1" applyAlignment="1">
      <alignment horizontal="center" vertical="center"/>
    </xf>
    <xf numFmtId="0" fontId="78" fillId="24" borderId="16" xfId="0" applyFont="1" applyFill="1" applyBorder="1" applyAlignment="1">
      <alignment vertical="center"/>
    </xf>
    <xf numFmtId="0" fontId="178" fillId="24" borderId="16" xfId="0" applyFont="1" applyFill="1" applyBorder="1"/>
    <xf numFmtId="0" fontId="151" fillId="24" borderId="16" xfId="0" applyFont="1" applyFill="1" applyBorder="1" applyAlignment="1">
      <alignment horizontal="center" vertical="center"/>
    </xf>
    <xf numFmtId="0" fontId="0" fillId="24" borderId="56" xfId="0" applyFill="1" applyBorder="1"/>
    <xf numFmtId="0" fontId="0" fillId="24" borderId="0" xfId="0" applyFill="1"/>
    <xf numFmtId="0" fontId="0" fillId="24" borderId="12" xfId="0" applyFill="1" applyBorder="1"/>
    <xf numFmtId="0" fontId="0" fillId="24" borderId="15" xfId="0" applyFill="1" applyBorder="1"/>
    <xf numFmtId="0" fontId="0" fillId="24" borderId="15" xfId="0" applyFill="1" applyBorder="1" applyAlignment="1">
      <alignment horizontal="center" vertical="center"/>
    </xf>
    <xf numFmtId="0" fontId="0" fillId="24" borderId="15" xfId="0" applyFill="1" applyBorder="1" applyAlignment="1">
      <alignment vertical="center"/>
    </xf>
    <xf numFmtId="0" fontId="178" fillId="24" borderId="15" xfId="0" applyFont="1" applyFill="1" applyBorder="1"/>
    <xf numFmtId="0" fontId="151" fillId="24" borderId="15" xfId="0" applyFont="1" applyFill="1" applyBorder="1" applyAlignment="1">
      <alignment horizontal="center" vertical="center"/>
    </xf>
    <xf numFmtId="0" fontId="0" fillId="24" borderId="54" xfId="0" applyFill="1" applyBorder="1"/>
    <xf numFmtId="0" fontId="0" fillId="24" borderId="55" xfId="0" applyFill="1" applyBorder="1"/>
    <xf numFmtId="0" fontId="0" fillId="24" borderId="13" xfId="0" applyFill="1" applyBorder="1"/>
    <xf numFmtId="165" fontId="155" fillId="0" borderId="196" xfId="0" applyNumberFormat="1" applyFont="1" applyBorder="1" applyAlignment="1">
      <alignment vertical="center"/>
    </xf>
    <xf numFmtId="0" fontId="142" fillId="0" borderId="15" xfId="0" applyFont="1" applyBorder="1" applyAlignment="1">
      <alignment horizontal="center"/>
    </xf>
    <xf numFmtId="0" fontId="142" fillId="0" borderId="0" xfId="0" applyFont="1" applyBorder="1" applyAlignment="1">
      <alignment horizontal="center"/>
    </xf>
    <xf numFmtId="14" fontId="69" fillId="0" borderId="0" xfId="0" applyNumberFormat="1" applyFont="1" applyBorder="1" applyAlignment="1">
      <alignment horizontal="center"/>
    </xf>
    <xf numFmtId="0" fontId="163" fillId="0" borderId="176" xfId="0" applyFont="1" applyBorder="1" applyAlignment="1">
      <alignment horizontal="center" vertical="center"/>
    </xf>
    <xf numFmtId="0" fontId="148" fillId="0" borderId="176" xfId="0" applyFont="1" applyBorder="1" applyAlignment="1">
      <alignment horizontal="center" vertical="center"/>
    </xf>
    <xf numFmtId="0" fontId="104" fillId="0" borderId="176" xfId="0" applyFont="1" applyBorder="1" applyAlignment="1">
      <alignment horizontal="center" vertical="center"/>
    </xf>
    <xf numFmtId="0" fontId="179" fillId="0" borderId="194" xfId="0" applyFont="1" applyBorder="1" applyAlignment="1">
      <alignment horizontal="center" vertical="center"/>
    </xf>
    <xf numFmtId="0" fontId="75" fillId="0" borderId="194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87" fillId="0" borderId="194" xfId="0" applyFont="1" applyBorder="1" applyAlignment="1">
      <alignment horizontal="center" vertical="center"/>
    </xf>
    <xf numFmtId="0" fontId="159" fillId="0" borderId="19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26" fillId="3" borderId="2" xfId="0" applyFont="1" applyFill="1" applyBorder="1" applyAlignment="1">
      <alignment horizontal="center"/>
    </xf>
    <xf numFmtId="0" fontId="126" fillId="3" borderId="2" xfId="0" applyFont="1" applyFill="1" applyBorder="1" applyAlignment="1">
      <alignment horizontal="center" vertical="center"/>
    </xf>
    <xf numFmtId="0" fontId="75" fillId="3" borderId="2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6" fillId="3" borderId="2" xfId="0" applyFont="1" applyFill="1" applyBorder="1"/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5" xfId="0" applyFont="1" applyFill="1" applyBorder="1"/>
    <xf numFmtId="0" fontId="113" fillId="3" borderId="2" xfId="0" applyFont="1" applyFill="1" applyBorder="1" applyAlignment="1">
      <alignment horizontal="center" vertical="center"/>
    </xf>
    <xf numFmtId="0" fontId="104" fillId="3" borderId="2" xfId="0" applyFont="1" applyFill="1" applyBorder="1" applyAlignment="1">
      <alignment horizontal="center" vertical="center"/>
    </xf>
    <xf numFmtId="0" fontId="138" fillId="3" borderId="2" xfId="0" applyFont="1" applyFill="1" applyBorder="1" applyAlignment="1">
      <alignment horizontal="center" vertical="center"/>
    </xf>
    <xf numFmtId="0" fontId="178" fillId="3" borderId="15" xfId="0" applyFont="1" applyFill="1" applyBorder="1"/>
    <xf numFmtId="0" fontId="177" fillId="0" borderId="194" xfId="0" applyFont="1" applyBorder="1" applyAlignment="1">
      <alignment horizontal="center" vertical="center"/>
    </xf>
    <xf numFmtId="0" fontId="178" fillId="3" borderId="16" xfId="0" applyFont="1" applyFill="1" applyBorder="1"/>
    <xf numFmtId="0" fontId="10" fillId="0" borderId="0" xfId="0" applyFont="1" applyBorder="1"/>
    <xf numFmtId="0" fontId="0" fillId="0" borderId="0" xfId="0" applyFont="1" applyAlignment="1">
      <alignment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112" fillId="0" borderId="0" xfId="0" applyFont="1" applyBorder="1" applyAlignment="1">
      <alignment horizontal="center" vertical="center" wrapText="1"/>
    </xf>
    <xf numFmtId="0" fontId="189" fillId="0" borderId="214" xfId="0" applyFont="1" applyBorder="1" applyAlignment="1">
      <alignment horizontal="center" vertical="center"/>
    </xf>
    <xf numFmtId="0" fontId="189" fillId="0" borderId="214" xfId="0" applyFont="1" applyBorder="1" applyAlignment="1">
      <alignment horizontal="center" wrapText="1"/>
    </xf>
    <xf numFmtId="0" fontId="113" fillId="0" borderId="213" xfId="0" applyFont="1" applyFill="1" applyBorder="1"/>
    <xf numFmtId="0" fontId="112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vertical="top" wrapText="1"/>
    </xf>
    <xf numFmtId="0" fontId="190" fillId="0" borderId="225" xfId="0" applyFont="1" applyBorder="1" applyAlignment="1">
      <alignment horizontal="center" vertical="center" wrapText="1"/>
    </xf>
    <xf numFmtId="0" fontId="190" fillId="0" borderId="226" xfId="0" applyFont="1" applyBorder="1" applyAlignment="1">
      <alignment horizontal="center" vertical="center"/>
    </xf>
    <xf numFmtId="0" fontId="191" fillId="0" borderId="227" xfId="0" applyFont="1" applyBorder="1" applyAlignment="1">
      <alignment horizontal="center" vertical="center"/>
    </xf>
    <xf numFmtId="0" fontId="191" fillId="0" borderId="228" xfId="0" applyFont="1" applyBorder="1" applyAlignment="1">
      <alignment horizontal="center" vertical="center"/>
    </xf>
    <xf numFmtId="0" fontId="0" fillId="0" borderId="216" xfId="0" applyFill="1" applyBorder="1" applyAlignment="1">
      <alignment horizontal="center" vertical="center"/>
    </xf>
    <xf numFmtId="0" fontId="0" fillId="0" borderId="217" xfId="0" applyBorder="1"/>
    <xf numFmtId="0" fontId="192" fillId="0" borderId="210" xfId="0" applyFont="1" applyBorder="1" applyAlignment="1">
      <alignment horizontal="center" vertical="center"/>
    </xf>
    <xf numFmtId="0" fontId="112" fillId="0" borderId="213" xfId="0" applyFont="1" applyBorder="1" applyAlignment="1">
      <alignment horizontal="center" vertical="center"/>
    </xf>
    <xf numFmtId="0" fontId="112" fillId="0" borderId="214" xfId="0" applyFont="1" applyBorder="1" applyAlignment="1">
      <alignment horizontal="center" vertical="center" wrapText="1"/>
    </xf>
    <xf numFmtId="0" fontId="113" fillId="0" borderId="15" xfId="0" applyFont="1" applyBorder="1" applyAlignment="1">
      <alignment vertical="center"/>
    </xf>
    <xf numFmtId="0" fontId="113" fillId="0" borderId="0" xfId="0" applyFont="1" applyBorder="1" applyAlignment="1">
      <alignment vertical="center"/>
    </xf>
    <xf numFmtId="0" fontId="113" fillId="0" borderId="16" xfId="0" applyFont="1" applyBorder="1" applyAlignment="1">
      <alignment vertical="center"/>
    </xf>
    <xf numFmtId="0" fontId="122" fillId="0" borderId="219" xfId="0" applyFont="1" applyBorder="1" applyAlignment="1">
      <alignment horizontal="center" vertical="center" wrapText="1"/>
    </xf>
    <xf numFmtId="0" fontId="113" fillId="0" borderId="222" xfId="0" applyFont="1" applyBorder="1" applyAlignment="1">
      <alignment horizontal="center" vertical="center" wrapText="1"/>
    </xf>
    <xf numFmtId="0" fontId="135" fillId="0" borderId="214" xfId="0" applyFont="1" applyBorder="1" applyAlignment="1">
      <alignment horizontal="center" vertical="center"/>
    </xf>
    <xf numFmtId="0" fontId="135" fillId="0" borderId="215" xfId="0" applyFont="1" applyBorder="1" applyAlignment="1">
      <alignment horizontal="center" vertical="center"/>
    </xf>
    <xf numFmtId="0" fontId="194" fillId="0" borderId="15" xfId="0" applyFont="1" applyBorder="1" applyAlignment="1">
      <alignment horizontal="center" vertical="center"/>
    </xf>
    <xf numFmtId="0" fontId="40" fillId="0" borderId="216" xfId="0" applyFont="1" applyFill="1" applyBorder="1" applyAlignment="1">
      <alignment horizontal="center" vertical="center"/>
    </xf>
    <xf numFmtId="0" fontId="194" fillId="0" borderId="217" xfId="0" applyFont="1" applyBorder="1" applyAlignment="1">
      <alignment horizontal="center" vertical="center"/>
    </xf>
    <xf numFmtId="0" fontId="194" fillId="0" borderId="218" xfId="0" applyFont="1" applyBorder="1" applyAlignment="1">
      <alignment horizontal="center" vertical="center"/>
    </xf>
    <xf numFmtId="0" fontId="194" fillId="0" borderId="16" xfId="0" applyFont="1" applyBorder="1" applyAlignment="1">
      <alignment horizontal="center" vertical="center"/>
    </xf>
    <xf numFmtId="0" fontId="194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2" fillId="4" borderId="0" xfId="0" applyFont="1" applyFill="1" applyAlignment="1">
      <alignment horizontal="center" vertical="center"/>
    </xf>
    <xf numFmtId="0" fontId="138" fillId="0" borderId="0" xfId="0" applyFont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43" fillId="0" borderId="0" xfId="0" applyFont="1" applyAlignment="1">
      <alignment horizontal="center" vertical="center"/>
    </xf>
    <xf numFmtId="0" fontId="198" fillId="18" borderId="2" xfId="0" applyFont="1" applyFill="1" applyBorder="1" applyAlignment="1">
      <alignment horizontal="center" vertical="center"/>
    </xf>
    <xf numFmtId="0" fontId="199" fillId="4" borderId="0" xfId="0" applyFont="1" applyFill="1" applyAlignment="1">
      <alignment horizontal="center" vertical="center"/>
    </xf>
    <xf numFmtId="0" fontId="139" fillId="0" borderId="0" xfId="0" applyFont="1" applyBorder="1" applyAlignment="1">
      <alignment horizontal="center" vertical="center"/>
    </xf>
    <xf numFmtId="0" fontId="170" fillId="18" borderId="5" xfId="0" applyFont="1" applyFill="1" applyBorder="1"/>
    <xf numFmtId="0" fontId="170" fillId="4" borderId="5" xfId="0" applyFont="1" applyFill="1" applyBorder="1"/>
    <xf numFmtId="0" fontId="107" fillId="2" borderId="154" xfId="0" applyFont="1" applyFill="1" applyBorder="1" applyAlignment="1">
      <alignment horizontal="center" vertical="center"/>
    </xf>
    <xf numFmtId="0" fontId="107" fillId="2" borderId="239" xfId="0" applyFont="1" applyFill="1" applyBorder="1" applyAlignment="1">
      <alignment horizontal="center" vertical="center"/>
    </xf>
    <xf numFmtId="0" fontId="195" fillId="2" borderId="239" xfId="0" applyFont="1" applyFill="1" applyBorder="1" applyAlignment="1">
      <alignment horizontal="center" vertical="center"/>
    </xf>
    <xf numFmtId="9" fontId="197" fillId="2" borderId="239" xfId="0" applyNumberFormat="1" applyFont="1" applyFill="1" applyBorder="1" applyAlignment="1">
      <alignment horizontal="center" vertical="center"/>
    </xf>
    <xf numFmtId="9" fontId="197" fillId="2" borderId="155" xfId="0" applyNumberFormat="1" applyFont="1" applyFill="1" applyBorder="1" applyAlignment="1">
      <alignment horizontal="center" vertical="center"/>
    </xf>
    <xf numFmtId="0" fontId="135" fillId="18" borderId="87" xfId="0" applyFont="1" applyFill="1" applyBorder="1" applyAlignment="1">
      <alignment horizontal="center" vertical="center"/>
    </xf>
    <xf numFmtId="0" fontId="198" fillId="18" borderId="86" xfId="0" applyFont="1" applyFill="1" applyBorder="1" applyAlignment="1">
      <alignment horizontal="center" vertical="center"/>
    </xf>
    <xf numFmtId="0" fontId="135" fillId="4" borderId="87" xfId="0" applyFont="1" applyFill="1" applyBorder="1" applyAlignment="1">
      <alignment horizontal="center" vertical="center"/>
    </xf>
    <xf numFmtId="0" fontId="172" fillId="4" borderId="87" xfId="0" applyFont="1" applyFill="1" applyBorder="1" applyAlignment="1">
      <alignment horizontal="center" vertical="center"/>
    </xf>
    <xf numFmtId="0" fontId="135" fillId="4" borderId="150" xfId="0" applyFont="1" applyFill="1" applyBorder="1" applyAlignment="1">
      <alignment horizontal="center" vertical="center"/>
    </xf>
    <xf numFmtId="0" fontId="135" fillId="4" borderId="151" xfId="0" applyFont="1" applyFill="1" applyBorder="1" applyAlignment="1">
      <alignment horizontal="center" vertical="center"/>
    </xf>
    <xf numFmtId="0" fontId="172" fillId="18" borderId="151" xfId="0" applyFont="1" applyFill="1" applyBorder="1" applyAlignment="1">
      <alignment horizontal="center" vertical="center"/>
    </xf>
    <xf numFmtId="0" fontId="198" fillId="18" borderId="151" xfId="0" applyFont="1" applyFill="1" applyBorder="1" applyAlignment="1">
      <alignment horizontal="center" vertical="center"/>
    </xf>
    <xf numFmtId="0" fontId="198" fillId="18" borderId="152" xfId="0" applyFont="1" applyFill="1" applyBorder="1" applyAlignment="1">
      <alignment horizontal="center" vertical="center"/>
    </xf>
    <xf numFmtId="0" fontId="200" fillId="0" borderId="0" xfId="0" applyFont="1" applyBorder="1" applyAlignment="1">
      <alignment horizontal="center" vertical="center"/>
    </xf>
    <xf numFmtId="0" fontId="201" fillId="0" borderId="0" xfId="0" applyFont="1" applyAlignment="1">
      <alignment horizontal="center" vertical="center"/>
    </xf>
    <xf numFmtId="0" fontId="119" fillId="2" borderId="239" xfId="0" applyFont="1" applyFill="1" applyBorder="1" applyAlignment="1">
      <alignment horizontal="center" vertical="center"/>
    </xf>
    <xf numFmtId="0" fontId="194" fillId="18" borderId="2" xfId="0" applyFont="1" applyFill="1" applyBorder="1" applyAlignment="1">
      <alignment horizontal="center" vertical="center"/>
    </xf>
    <xf numFmtId="0" fontId="120" fillId="4" borderId="0" xfId="0" applyFont="1" applyFill="1" applyAlignment="1">
      <alignment horizontal="center" vertical="center"/>
    </xf>
    <xf numFmtId="0" fontId="197" fillId="2" borderId="2" xfId="0" applyFont="1" applyFill="1" applyBorder="1" applyAlignment="1">
      <alignment horizontal="center" vertical="center"/>
    </xf>
    <xf numFmtId="0" fontId="198" fillId="4" borderId="2" xfId="0" applyFont="1" applyFill="1" applyBorder="1" applyAlignment="1">
      <alignment horizontal="center" vertical="center"/>
    </xf>
    <xf numFmtId="0" fontId="118" fillId="0" borderId="0" xfId="0" applyFont="1"/>
    <xf numFmtId="0" fontId="119" fillId="2" borderId="2" xfId="0" applyFont="1" applyFill="1" applyBorder="1" applyAlignment="1">
      <alignment horizontal="center" vertical="center"/>
    </xf>
    <xf numFmtId="0" fontId="133" fillId="23" borderId="0" xfId="0" applyFont="1" applyFill="1" applyBorder="1" applyAlignment="1">
      <alignment horizontal="center" vertical="center"/>
    </xf>
    <xf numFmtId="0" fontId="129" fillId="0" borderId="5" xfId="0" applyFont="1" applyBorder="1" applyAlignment="1">
      <alignment horizontal="center" vertical="center"/>
    </xf>
    <xf numFmtId="0" fontId="129" fillId="0" borderId="189" xfId="0" applyFont="1" applyBorder="1" applyAlignment="1">
      <alignment horizontal="center" vertical="center"/>
    </xf>
    <xf numFmtId="1" fontId="126" fillId="0" borderId="2" xfId="0" applyNumberFormat="1" applyFont="1" applyBorder="1" applyAlignment="1">
      <alignment horizontal="center"/>
    </xf>
    <xf numFmtId="0" fontId="126" fillId="3" borderId="2" xfId="0" applyFont="1" applyFill="1" applyBorder="1"/>
    <xf numFmtId="14" fontId="0" fillId="0" borderId="0" xfId="0" applyNumberFormat="1" applyAlignment="1">
      <alignment horizontal="center"/>
    </xf>
    <xf numFmtId="0" fontId="10" fillId="0" borderId="0" xfId="0" applyFont="1" applyAlignment="1">
      <alignment horizontal="center" wrapText="1"/>
    </xf>
    <xf numFmtId="0" fontId="60" fillId="8" borderId="98" xfId="0" applyFont="1" applyFill="1" applyBorder="1" applyAlignment="1">
      <alignment horizontal="center" vertical="center"/>
    </xf>
    <xf numFmtId="0" fontId="60" fillId="8" borderId="99" xfId="0" applyFont="1" applyFill="1" applyBorder="1" applyAlignment="1">
      <alignment horizontal="center" vertical="center"/>
    </xf>
    <xf numFmtId="0" fontId="60" fillId="8" borderId="10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8" fillId="0" borderId="82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/>
    </xf>
    <xf numFmtId="0" fontId="26" fillId="0" borderId="77" xfId="0" applyFont="1" applyBorder="1" applyAlignment="1">
      <alignment horizontal="center"/>
    </xf>
    <xf numFmtId="0" fontId="26" fillId="0" borderId="78" xfId="0" applyFont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7" fillId="8" borderId="57" xfId="0" applyFont="1" applyFill="1" applyBorder="1" applyAlignment="1">
      <alignment horizontal="center" vertical="center" readingOrder="1"/>
    </xf>
    <xf numFmtId="0" fontId="57" fillId="8" borderId="83" xfId="0" applyFont="1" applyFill="1" applyBorder="1" applyAlignment="1">
      <alignment horizontal="center" vertical="center" readingOrder="1"/>
    </xf>
    <xf numFmtId="0" fontId="57" fillId="8" borderId="58" xfId="0" applyFont="1" applyFill="1" applyBorder="1" applyAlignment="1">
      <alignment horizontal="center" vertical="center" readingOrder="1"/>
    </xf>
    <xf numFmtId="0" fontId="61" fillId="8" borderId="98" xfId="0" applyFont="1" applyFill="1" applyBorder="1" applyAlignment="1">
      <alignment horizontal="center" vertical="center"/>
    </xf>
    <xf numFmtId="0" fontId="61" fillId="8" borderId="99" xfId="0" applyFont="1" applyFill="1" applyBorder="1" applyAlignment="1">
      <alignment horizontal="center" vertical="center"/>
    </xf>
    <xf numFmtId="0" fontId="61" fillId="8" borderId="100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/>
    </xf>
    <xf numFmtId="0" fontId="46" fillId="0" borderId="95" xfId="0" applyFont="1" applyBorder="1" applyAlignment="1">
      <alignment horizontal="center" vertical="center"/>
    </xf>
    <xf numFmtId="0" fontId="46" fillId="0" borderId="8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9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60" xfId="0" applyFont="1" applyBorder="1" applyAlignment="1">
      <alignment horizontal="center" vertical="center"/>
    </xf>
    <xf numFmtId="0" fontId="62" fillId="8" borderId="98" xfId="0" applyFont="1" applyFill="1" applyBorder="1" applyAlignment="1">
      <alignment horizontal="center" vertical="center"/>
    </xf>
    <xf numFmtId="0" fontId="62" fillId="8" borderId="99" xfId="0" applyFont="1" applyFill="1" applyBorder="1" applyAlignment="1">
      <alignment horizontal="center" vertical="center"/>
    </xf>
    <xf numFmtId="0" fontId="62" fillId="8" borderId="100" xfId="0" applyFont="1" applyFill="1" applyBorder="1" applyAlignment="1">
      <alignment horizontal="center" vertical="center"/>
    </xf>
    <xf numFmtId="0" fontId="46" fillId="0" borderId="97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92" xfId="0" applyFont="1" applyBorder="1" applyAlignment="1">
      <alignment horizontal="center" vertical="center"/>
    </xf>
    <xf numFmtId="2" fontId="54" fillId="0" borderId="7" xfId="0" applyNumberFormat="1" applyFont="1" applyBorder="1" applyAlignment="1">
      <alignment horizontal="right" vertical="center"/>
    </xf>
    <xf numFmtId="2" fontId="54" fillId="0" borderId="91" xfId="0" applyNumberFormat="1" applyFont="1" applyBorder="1" applyAlignment="1">
      <alignment horizontal="right" vertical="center"/>
    </xf>
    <xf numFmtId="0" fontId="48" fillId="0" borderId="96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readingOrder="1"/>
    </xf>
    <xf numFmtId="0" fontId="9" fillId="0" borderId="13" xfId="0" applyFont="1" applyBorder="1" applyAlignment="1">
      <alignment horizontal="center" vertical="center" readingOrder="1"/>
    </xf>
    <xf numFmtId="0" fontId="9" fillId="0" borderId="14" xfId="0" applyFont="1" applyBorder="1" applyAlignment="1">
      <alignment horizontal="center" vertical="center" readingOrder="1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right" wrapText="1"/>
    </xf>
    <xf numFmtId="0" fontId="14" fillId="0" borderId="18" xfId="0" applyFont="1" applyBorder="1" applyAlignment="1">
      <alignment horizontal="right" wrapText="1"/>
    </xf>
    <xf numFmtId="0" fontId="14" fillId="0" borderId="18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38" fillId="0" borderId="44" xfId="0" applyFon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35" xfId="0" applyFont="1" applyBorder="1" applyAlignment="1">
      <alignment horizontal="center"/>
    </xf>
    <xf numFmtId="0" fontId="38" fillId="0" borderId="33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37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0" fontId="26" fillId="0" borderId="49" xfId="0" applyFont="1" applyBorder="1" applyAlignment="1">
      <alignment horizontal="center"/>
    </xf>
    <xf numFmtId="0" fontId="26" fillId="0" borderId="50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52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48" fillId="0" borderId="142" xfId="0" applyFont="1" applyBorder="1" applyAlignment="1">
      <alignment horizontal="center" vertical="center"/>
    </xf>
    <xf numFmtId="0" fontId="48" fillId="0" borderId="143" xfId="0" applyFont="1" applyBorder="1" applyAlignment="1">
      <alignment horizontal="center" vertical="center"/>
    </xf>
    <xf numFmtId="0" fontId="70" fillId="10" borderId="0" xfId="0" applyFont="1" applyFill="1" applyAlignment="1">
      <alignment horizontal="center" vertical="center"/>
    </xf>
    <xf numFmtId="2" fontId="54" fillId="0" borderId="5" xfId="0" applyNumberFormat="1" applyFont="1" applyBorder="1" applyAlignment="1">
      <alignment horizontal="right" vertical="center"/>
    </xf>
    <xf numFmtId="2" fontId="54" fillId="0" borderId="9" xfId="0" applyNumberFormat="1" applyFont="1" applyBorder="1" applyAlignment="1">
      <alignment horizontal="right" vertical="center"/>
    </xf>
    <xf numFmtId="0" fontId="48" fillId="0" borderId="138" xfId="0" applyFont="1" applyBorder="1" applyAlignment="1">
      <alignment horizontal="center" vertical="center"/>
    </xf>
    <xf numFmtId="0" fontId="48" fillId="0" borderId="139" xfId="0" applyFont="1" applyBorder="1" applyAlignment="1">
      <alignment horizontal="center" vertical="center"/>
    </xf>
    <xf numFmtId="0" fontId="48" fillId="0" borderId="131" xfId="0" applyFont="1" applyBorder="1" applyAlignment="1">
      <alignment horizontal="center" vertical="center"/>
    </xf>
    <xf numFmtId="0" fontId="46" fillId="0" borderId="130" xfId="0" applyFont="1" applyBorder="1" applyAlignment="1">
      <alignment horizontal="center" vertical="center"/>
    </xf>
    <xf numFmtId="0" fontId="46" fillId="0" borderId="133" xfId="0" applyFont="1" applyBorder="1" applyAlignment="1">
      <alignment horizontal="center" vertical="center"/>
    </xf>
    <xf numFmtId="0" fontId="46" fillId="0" borderId="131" xfId="0" applyFont="1" applyBorder="1" applyAlignment="1">
      <alignment horizontal="center" vertical="center"/>
    </xf>
    <xf numFmtId="0" fontId="46" fillId="0" borderId="132" xfId="0" applyFont="1" applyBorder="1" applyAlignment="1">
      <alignment horizontal="center" vertical="center"/>
    </xf>
    <xf numFmtId="0" fontId="71" fillId="10" borderId="0" xfId="0" applyFont="1" applyFill="1" applyAlignment="1">
      <alignment horizontal="center" vertical="center"/>
    </xf>
    <xf numFmtId="0" fontId="57" fillId="10" borderId="101" xfId="0" applyFont="1" applyFill="1" applyBorder="1" applyAlignment="1">
      <alignment horizontal="center" vertical="center" readingOrder="1"/>
    </xf>
    <xf numFmtId="0" fontId="57" fillId="10" borderId="102" xfId="0" applyFont="1" applyFill="1" applyBorder="1" applyAlignment="1">
      <alignment horizontal="center" vertical="center" readingOrder="1"/>
    </xf>
    <xf numFmtId="0" fontId="57" fillId="10" borderId="103" xfId="0" applyFont="1" applyFill="1" applyBorder="1" applyAlignment="1">
      <alignment horizontal="center" vertical="center" readingOrder="1"/>
    </xf>
    <xf numFmtId="0" fontId="11" fillId="0" borderId="122" xfId="0" applyFont="1" applyBorder="1" applyAlignment="1">
      <alignment horizontal="center" vertical="center"/>
    </xf>
    <xf numFmtId="0" fontId="11" fillId="0" borderId="123" xfId="0" applyFont="1" applyBorder="1" applyAlignment="1">
      <alignment horizontal="center" vertical="center"/>
    </xf>
    <xf numFmtId="0" fontId="11" fillId="0" borderId="124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/>
    </xf>
    <xf numFmtId="0" fontId="45" fillId="0" borderId="126" xfId="0" applyFont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0" fillId="24" borderId="5" xfId="0" applyFont="1" applyFill="1" applyBorder="1" applyAlignment="1">
      <alignment horizontal="center" vertical="center"/>
    </xf>
    <xf numFmtId="0" fontId="10" fillId="24" borderId="10" xfId="0" applyFont="1" applyFill="1" applyBorder="1" applyAlignment="1">
      <alignment horizontal="center" vertical="center"/>
    </xf>
    <xf numFmtId="0" fontId="161" fillId="24" borderId="101" xfId="0" applyFont="1" applyFill="1" applyBorder="1" applyAlignment="1">
      <alignment horizontal="center" vertical="center" readingOrder="1"/>
    </xf>
    <xf numFmtId="0" fontId="161" fillId="24" borderId="102" xfId="0" applyFont="1" applyFill="1" applyBorder="1" applyAlignment="1">
      <alignment horizontal="center" vertical="center" readingOrder="1"/>
    </xf>
    <xf numFmtId="0" fontId="161" fillId="24" borderId="103" xfId="0" applyFont="1" applyFill="1" applyBorder="1" applyAlignment="1">
      <alignment horizontal="center" vertical="center" readingOrder="1"/>
    </xf>
    <xf numFmtId="0" fontId="19" fillId="24" borderId="101" xfId="0" applyFont="1" applyFill="1" applyBorder="1" applyAlignment="1">
      <alignment horizontal="center" vertical="center"/>
    </xf>
    <xf numFmtId="0" fontId="19" fillId="24" borderId="102" xfId="0" applyFont="1" applyFill="1" applyBorder="1" applyAlignment="1">
      <alignment horizontal="center" vertical="center"/>
    </xf>
    <xf numFmtId="0" fontId="19" fillId="24" borderId="103" xfId="0" applyFont="1" applyFill="1" applyBorder="1" applyAlignment="1">
      <alignment horizontal="center" vertical="center"/>
    </xf>
    <xf numFmtId="0" fontId="19" fillId="24" borderId="105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0" fontId="19" fillId="24" borderId="104" xfId="0" applyFont="1" applyFill="1" applyBorder="1" applyAlignment="1">
      <alignment horizontal="center" vertical="center"/>
    </xf>
    <xf numFmtId="0" fontId="159" fillId="24" borderId="119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34" fillId="24" borderId="119" xfId="0" applyFont="1" applyFill="1" applyBorder="1" applyAlignment="1">
      <alignment horizontal="center" vertical="center"/>
    </xf>
    <xf numFmtId="0" fontId="16" fillId="24" borderId="109" xfId="0" applyFont="1" applyFill="1" applyBorder="1" applyAlignment="1">
      <alignment horizontal="center" vertical="center"/>
    </xf>
    <xf numFmtId="0" fontId="16" fillId="24" borderId="111" xfId="0" applyFont="1" applyFill="1" applyBorder="1" applyAlignment="1">
      <alignment horizontal="center" vertical="center"/>
    </xf>
    <xf numFmtId="0" fontId="16" fillId="24" borderId="96" xfId="0" applyFont="1" applyFill="1" applyBorder="1" applyAlignment="1">
      <alignment horizontal="center" vertical="center"/>
    </xf>
    <xf numFmtId="0" fontId="16" fillId="24" borderId="110" xfId="0" applyFont="1" applyFill="1" applyBorder="1" applyAlignment="1">
      <alignment horizontal="center" vertical="center"/>
    </xf>
    <xf numFmtId="0" fontId="16" fillId="24" borderId="5" xfId="0" applyFont="1" applyFill="1" applyBorder="1" applyAlignment="1">
      <alignment horizontal="center" vertical="center"/>
    </xf>
    <xf numFmtId="0" fontId="16" fillId="24" borderId="10" xfId="0" applyFont="1" applyFill="1" applyBorder="1" applyAlignment="1">
      <alignment horizontal="center" vertical="center"/>
    </xf>
    <xf numFmtId="2" fontId="16" fillId="24" borderId="5" xfId="0" applyNumberFormat="1" applyFont="1" applyFill="1" applyBorder="1" applyAlignment="1">
      <alignment horizontal="right" vertical="center"/>
    </xf>
    <xf numFmtId="2" fontId="16" fillId="24" borderId="9" xfId="0" applyNumberFormat="1" applyFont="1" applyFill="1" applyBorder="1" applyAlignment="1">
      <alignment horizontal="right" vertical="center"/>
    </xf>
    <xf numFmtId="0" fontId="10" fillId="24" borderId="0" xfId="0" applyFont="1" applyFill="1" applyAlignment="1">
      <alignment horizontal="center" wrapText="1"/>
    </xf>
    <xf numFmtId="0" fontId="10" fillId="24" borderId="11" xfId="0" applyFont="1" applyFill="1" applyBorder="1" applyAlignment="1">
      <alignment horizontal="center" vertical="center"/>
    </xf>
    <xf numFmtId="0" fontId="10" fillId="24" borderId="82" xfId="0" applyFont="1" applyFill="1" applyBorder="1" applyAlignment="1">
      <alignment horizontal="center" vertical="center"/>
    </xf>
    <xf numFmtId="0" fontId="10" fillId="24" borderId="96" xfId="0" applyFont="1" applyFill="1" applyBorder="1" applyAlignment="1">
      <alignment horizontal="center" vertical="center"/>
    </xf>
    <xf numFmtId="0" fontId="10" fillId="24" borderId="9" xfId="0" applyFont="1" applyFill="1" applyBorder="1" applyAlignment="1">
      <alignment horizontal="center" vertical="center"/>
    </xf>
    <xf numFmtId="0" fontId="10" fillId="24" borderId="2" xfId="0" applyFont="1" applyFill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4" borderId="92" xfId="0" applyFont="1" applyFill="1" applyBorder="1" applyAlignment="1">
      <alignment horizontal="center" vertical="center"/>
    </xf>
    <xf numFmtId="0" fontId="142" fillId="0" borderId="15" xfId="0" applyFont="1" applyBorder="1" applyAlignment="1">
      <alignment horizontal="center"/>
    </xf>
    <xf numFmtId="0" fontId="142" fillId="0" borderId="0" xfId="0" applyFont="1" applyBorder="1" applyAlignment="1">
      <alignment horizontal="center"/>
    </xf>
    <xf numFmtId="14" fontId="69" fillId="0" borderId="0" xfId="0" applyNumberFormat="1" applyFont="1" applyBorder="1" applyAlignment="1">
      <alignment horizontal="center"/>
    </xf>
    <xf numFmtId="0" fontId="150" fillId="0" borderId="0" xfId="0" applyFont="1" applyBorder="1" applyAlignment="1">
      <alignment horizontal="center"/>
    </xf>
    <xf numFmtId="0" fontId="69" fillId="0" borderId="0" xfId="0" applyFont="1" applyBorder="1" applyAlignment="1">
      <alignment horizontal="center" vertical="top"/>
    </xf>
    <xf numFmtId="0" fontId="76" fillId="0" borderId="165" xfId="0" applyFont="1" applyBorder="1" applyAlignment="1">
      <alignment horizontal="center" vertical="center" wrapText="1"/>
    </xf>
    <xf numFmtId="0" fontId="76" fillId="0" borderId="166" xfId="0" applyFont="1" applyBorder="1" applyAlignment="1">
      <alignment horizontal="center" vertical="center" wrapText="1"/>
    </xf>
    <xf numFmtId="0" fontId="76" fillId="0" borderId="208" xfId="0" applyFont="1" applyBorder="1" applyAlignment="1">
      <alignment horizontal="center" vertical="center" wrapText="1"/>
    </xf>
    <xf numFmtId="0" fontId="76" fillId="0" borderId="170" xfId="0" applyFont="1" applyBorder="1" applyAlignment="1">
      <alignment horizontal="center" vertical="center" wrapText="1"/>
    </xf>
    <xf numFmtId="0" fontId="76" fillId="0" borderId="171" xfId="0" applyFont="1" applyBorder="1" applyAlignment="1">
      <alignment horizontal="center" vertical="center" wrapText="1"/>
    </xf>
    <xf numFmtId="0" fontId="76" fillId="0" borderId="209" xfId="0" applyFont="1" applyBorder="1" applyAlignment="1">
      <alignment horizontal="center" vertical="center" wrapText="1"/>
    </xf>
    <xf numFmtId="0" fontId="176" fillId="0" borderId="195" xfId="0" applyFont="1" applyBorder="1" applyAlignment="1">
      <alignment horizontal="center" vertical="center"/>
    </xf>
    <xf numFmtId="0" fontId="176" fillId="0" borderId="196" xfId="0" applyFont="1" applyBorder="1" applyAlignment="1">
      <alignment horizontal="center" vertical="center"/>
    </xf>
    <xf numFmtId="0" fontId="176" fillId="0" borderId="205" xfId="0" applyFont="1" applyBorder="1" applyAlignment="1">
      <alignment horizontal="center" vertical="center"/>
    </xf>
    <xf numFmtId="0" fontId="177" fillId="0" borderId="195" xfId="0" applyFont="1" applyBorder="1" applyAlignment="1">
      <alignment horizontal="center" vertical="center"/>
    </xf>
    <xf numFmtId="0" fontId="177" fillId="0" borderId="196" xfId="0" applyFont="1" applyBorder="1" applyAlignment="1">
      <alignment horizontal="center" vertical="center"/>
    </xf>
    <xf numFmtId="0" fontId="177" fillId="0" borderId="205" xfId="0" applyFont="1" applyBorder="1" applyAlignment="1">
      <alignment horizontal="center" vertical="center"/>
    </xf>
    <xf numFmtId="0" fontId="175" fillId="0" borderId="15" xfId="0" applyFont="1" applyBorder="1" applyAlignment="1">
      <alignment horizontal="center"/>
    </xf>
    <xf numFmtId="0" fontId="175" fillId="0" borderId="0" xfId="0" applyFont="1" applyBorder="1" applyAlignment="1">
      <alignment horizontal="center"/>
    </xf>
    <xf numFmtId="0" fontId="175" fillId="0" borderId="16" xfId="0" applyFont="1" applyBorder="1" applyAlignment="1">
      <alignment horizontal="center"/>
    </xf>
    <xf numFmtId="0" fontId="163" fillId="0" borderId="206" xfId="0" applyFont="1" applyBorder="1" applyAlignment="1">
      <alignment horizontal="center" vertical="center"/>
    </xf>
    <xf numFmtId="0" fontId="163" fillId="0" borderId="176" xfId="0" applyFont="1" applyBorder="1" applyAlignment="1">
      <alignment horizontal="center" vertical="center"/>
    </xf>
    <xf numFmtId="0" fontId="163" fillId="0" borderId="207" xfId="0" applyFont="1" applyBorder="1" applyAlignment="1">
      <alignment horizontal="center" vertical="center"/>
    </xf>
    <xf numFmtId="0" fontId="148" fillId="0" borderId="206" xfId="0" applyFont="1" applyBorder="1" applyAlignment="1">
      <alignment horizontal="center" vertical="center"/>
    </xf>
    <xf numFmtId="0" fontId="148" fillId="0" borderId="176" xfId="0" applyFont="1" applyBorder="1" applyAlignment="1">
      <alignment horizontal="center" vertical="center"/>
    </xf>
    <xf numFmtId="0" fontId="148" fillId="0" borderId="207" xfId="0" applyFont="1" applyBorder="1" applyAlignment="1">
      <alignment horizontal="center" vertical="center"/>
    </xf>
    <xf numFmtId="0" fontId="167" fillId="0" borderId="15" xfId="0" applyFont="1" applyBorder="1" applyAlignment="1">
      <alignment horizontal="center"/>
    </xf>
    <xf numFmtId="0" fontId="167" fillId="0" borderId="0" xfId="0" applyFont="1" applyBorder="1" applyAlignment="1">
      <alignment horizontal="center"/>
    </xf>
    <xf numFmtId="0" fontId="146" fillId="0" borderId="206" xfId="0" applyFont="1" applyBorder="1" applyAlignment="1">
      <alignment horizontal="center" vertical="center"/>
    </xf>
    <xf numFmtId="0" fontId="146" fillId="0" borderId="176" xfId="0" applyFont="1" applyBorder="1" applyAlignment="1">
      <alignment horizontal="center" vertical="center"/>
    </xf>
    <xf numFmtId="0" fontId="104" fillId="0" borderId="176" xfId="0" applyFont="1" applyBorder="1" applyAlignment="1">
      <alignment horizontal="center" vertical="center"/>
    </xf>
    <xf numFmtId="0" fontId="104" fillId="0" borderId="207" xfId="0" applyFont="1" applyBorder="1" applyAlignment="1">
      <alignment horizontal="center" vertical="center"/>
    </xf>
    <xf numFmtId="0" fontId="147" fillId="0" borderId="176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16" xfId="0" applyFont="1" applyBorder="1" applyAlignment="1">
      <alignment horizontal="center"/>
    </xf>
    <xf numFmtId="0" fontId="175" fillId="0" borderId="15" xfId="0" applyFont="1" applyBorder="1" applyAlignment="1">
      <alignment horizontal="center" vertical="center"/>
    </xf>
    <xf numFmtId="0" fontId="175" fillId="0" borderId="0" xfId="0" applyFont="1" applyBorder="1" applyAlignment="1">
      <alignment horizontal="center" vertical="center"/>
    </xf>
    <xf numFmtId="0" fontId="175" fillId="0" borderId="16" xfId="0" applyFont="1" applyBorder="1" applyAlignment="1">
      <alignment horizontal="center" vertical="center"/>
    </xf>
    <xf numFmtId="0" fontId="179" fillId="0" borderId="202" xfId="0" applyFont="1" applyBorder="1" applyAlignment="1">
      <alignment horizontal="center" vertical="center"/>
    </xf>
    <xf numFmtId="0" fontId="179" fillId="0" borderId="194" xfId="0" applyFont="1" applyBorder="1" applyAlignment="1">
      <alignment horizontal="center" vertical="center"/>
    </xf>
    <xf numFmtId="0" fontId="181" fillId="0" borderId="202" xfId="0" applyFont="1" applyBorder="1" applyAlignment="1">
      <alignment horizontal="center" vertical="center"/>
    </xf>
    <xf numFmtId="0" fontId="181" fillId="0" borderId="194" xfId="0" applyFont="1" applyBorder="1" applyAlignment="1">
      <alignment horizontal="center" vertical="center"/>
    </xf>
    <xf numFmtId="2" fontId="155" fillId="0" borderId="195" xfId="0" applyNumberFormat="1" applyFont="1" applyBorder="1" applyAlignment="1">
      <alignment horizontal="right" vertical="center"/>
    </xf>
    <xf numFmtId="2" fontId="155" fillId="0" borderId="196" xfId="0" applyNumberFormat="1" applyFont="1" applyBorder="1" applyAlignment="1">
      <alignment horizontal="right" vertical="center"/>
    </xf>
    <xf numFmtId="0" fontId="75" fillId="0" borderId="202" xfId="0" applyFont="1" applyBorder="1" applyAlignment="1">
      <alignment horizontal="center" vertical="center"/>
    </xf>
    <xf numFmtId="0" fontId="75" fillId="0" borderId="194" xfId="0" applyFont="1" applyBorder="1" applyAlignment="1">
      <alignment horizontal="center" vertical="center"/>
    </xf>
    <xf numFmtId="0" fontId="76" fillId="0" borderId="202" xfId="0" applyFont="1" applyBorder="1" applyAlignment="1">
      <alignment horizontal="center" vertical="center"/>
    </xf>
    <xf numFmtId="0" fontId="76" fillId="0" borderId="194" xfId="0" applyFont="1" applyBorder="1" applyAlignment="1">
      <alignment horizontal="center" vertical="center"/>
    </xf>
    <xf numFmtId="0" fontId="44" fillId="0" borderId="194" xfId="0" applyFont="1" applyBorder="1" applyAlignment="1">
      <alignment horizontal="center" vertical="center"/>
    </xf>
    <xf numFmtId="0" fontId="44" fillId="0" borderId="203" xfId="0" applyFont="1" applyBorder="1" applyAlignment="1">
      <alignment horizontal="center" vertical="center"/>
    </xf>
    <xf numFmtId="0" fontId="76" fillId="0" borderId="19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8" fillId="3" borderId="192" xfId="0" applyFont="1" applyFill="1" applyBorder="1" applyAlignment="1">
      <alignment horizontal="center" vertical="center"/>
    </xf>
    <xf numFmtId="0" fontId="168" fillId="3" borderId="199" xfId="0" applyFont="1" applyFill="1" applyBorder="1" applyAlignment="1">
      <alignment horizontal="center" vertical="center"/>
    </xf>
    <xf numFmtId="0" fontId="158" fillId="0" borderId="200" xfId="0" applyFont="1" applyBorder="1" applyAlignment="1">
      <alignment horizontal="center"/>
    </xf>
    <xf numFmtId="0" fontId="158" fillId="0" borderId="193" xfId="0" applyFont="1" applyBorder="1" applyAlignment="1">
      <alignment horizontal="center"/>
    </xf>
    <xf numFmtId="0" fontId="158" fillId="0" borderId="201" xfId="0" applyFont="1" applyBorder="1" applyAlignment="1">
      <alignment horizontal="center"/>
    </xf>
    <xf numFmtId="0" fontId="76" fillId="0" borderId="0" xfId="0" applyFont="1" applyBorder="1" applyAlignment="1">
      <alignment horizontal="left" vertical="center"/>
    </xf>
    <xf numFmtId="0" fontId="76" fillId="0" borderId="16" xfId="0" applyFont="1" applyBorder="1" applyAlignment="1">
      <alignment horizontal="left" vertical="center"/>
    </xf>
    <xf numFmtId="0" fontId="157" fillId="0" borderId="15" xfId="0" applyFont="1" applyBorder="1" applyAlignment="1">
      <alignment horizontal="center"/>
    </xf>
    <xf numFmtId="0" fontId="157" fillId="0" borderId="0" xfId="0" applyFont="1" applyBorder="1" applyAlignment="1">
      <alignment horizontal="center"/>
    </xf>
    <xf numFmtId="0" fontId="157" fillId="0" borderId="16" xfId="0" applyFont="1" applyBorder="1" applyAlignment="1">
      <alignment horizontal="center"/>
    </xf>
    <xf numFmtId="0" fontId="180" fillId="0" borderId="15" xfId="0" applyFont="1" applyBorder="1" applyAlignment="1">
      <alignment horizontal="center"/>
    </xf>
    <xf numFmtId="0" fontId="180" fillId="0" borderId="0" xfId="0" applyFont="1" applyBorder="1" applyAlignment="1">
      <alignment horizontal="center"/>
    </xf>
    <xf numFmtId="0" fontId="157" fillId="0" borderId="15" xfId="0" applyFont="1" applyBorder="1" applyAlignment="1">
      <alignment horizontal="center" vertical="center"/>
    </xf>
    <xf numFmtId="0" fontId="157" fillId="0" borderId="0" xfId="0" applyFont="1" applyBorder="1" applyAlignment="1">
      <alignment horizontal="center" vertical="center"/>
    </xf>
    <xf numFmtId="0" fontId="157" fillId="0" borderId="16" xfId="0" applyFont="1" applyBorder="1" applyAlignment="1">
      <alignment horizontal="center" vertical="center"/>
    </xf>
    <xf numFmtId="0" fontId="159" fillId="0" borderId="202" xfId="0" applyFont="1" applyBorder="1" applyAlignment="1">
      <alignment horizontal="center" vertical="center"/>
    </xf>
    <xf numFmtId="0" fontId="159" fillId="0" borderId="194" xfId="0" applyFont="1" applyBorder="1" applyAlignment="1">
      <alignment horizontal="center" vertical="center"/>
    </xf>
    <xf numFmtId="0" fontId="166" fillId="0" borderId="194" xfId="0" applyFont="1" applyBorder="1" applyAlignment="1">
      <alignment horizontal="center" vertical="center"/>
    </xf>
    <xf numFmtId="0" fontId="166" fillId="0" borderId="203" xfId="0" applyFont="1" applyBorder="1" applyAlignment="1">
      <alignment horizontal="center" vertical="center"/>
    </xf>
    <xf numFmtId="0" fontId="164" fillId="0" borderId="202" xfId="0" applyFont="1" applyBorder="1" applyAlignment="1">
      <alignment horizontal="center" vertical="center"/>
    </xf>
    <xf numFmtId="0" fontId="164" fillId="0" borderId="194" xfId="0" applyFont="1" applyBorder="1" applyAlignment="1">
      <alignment horizontal="center" vertical="center"/>
    </xf>
    <xf numFmtId="0" fontId="87" fillId="0" borderId="202" xfId="0" applyFont="1" applyBorder="1" applyAlignment="1">
      <alignment horizontal="center" vertical="center"/>
    </xf>
    <xf numFmtId="0" fontId="87" fillId="0" borderId="194" xfId="0" applyFont="1" applyBorder="1" applyAlignment="1">
      <alignment horizontal="center" vertical="center"/>
    </xf>
    <xf numFmtId="0" fontId="155" fillId="0" borderId="194" xfId="0" applyFont="1" applyBorder="1" applyAlignment="1">
      <alignment horizontal="center" vertical="center"/>
    </xf>
    <xf numFmtId="0" fontId="155" fillId="0" borderId="203" xfId="0" applyFont="1" applyBorder="1" applyAlignment="1">
      <alignment horizontal="center" vertical="center"/>
    </xf>
    <xf numFmtId="0" fontId="56" fillId="0" borderId="194" xfId="0" applyFont="1" applyBorder="1" applyAlignment="1">
      <alignment horizontal="center" vertical="center"/>
    </xf>
    <xf numFmtId="0" fontId="56" fillId="0" borderId="203" xfId="0" applyFont="1" applyBorder="1" applyAlignment="1">
      <alignment horizontal="center" vertical="center"/>
    </xf>
    <xf numFmtId="0" fontId="165" fillId="0" borderId="194" xfId="0" applyFont="1" applyBorder="1" applyAlignment="1">
      <alignment horizontal="center" vertical="center" wrapText="1"/>
    </xf>
    <xf numFmtId="0" fontId="76" fillId="0" borderId="203" xfId="0" applyFont="1" applyBorder="1" applyAlignment="1">
      <alignment horizontal="center" vertical="center"/>
    </xf>
    <xf numFmtId="14" fontId="16" fillId="0" borderId="0" xfId="0" applyNumberFormat="1" applyFont="1" applyBorder="1" applyAlignment="1">
      <alignment horizontal="left" vertical="center"/>
    </xf>
    <xf numFmtId="14" fontId="16" fillId="0" borderId="16" xfId="0" applyNumberFormat="1" applyFont="1" applyBorder="1" applyAlignment="1">
      <alignment horizontal="left" vertical="center"/>
    </xf>
    <xf numFmtId="0" fontId="182" fillId="0" borderId="194" xfId="0" applyFont="1" applyBorder="1" applyAlignment="1">
      <alignment horizontal="center" vertical="center"/>
    </xf>
    <xf numFmtId="0" fontId="182" fillId="0" borderId="203" xfId="0" applyFont="1" applyBorder="1" applyAlignment="1">
      <alignment horizontal="center" vertical="center"/>
    </xf>
    <xf numFmtId="0" fontId="177" fillId="0" borderId="194" xfId="0" applyFont="1" applyBorder="1" applyAlignment="1">
      <alignment horizontal="center" vertical="center"/>
    </xf>
    <xf numFmtId="0" fontId="177" fillId="0" borderId="203" xfId="0" applyFont="1" applyBorder="1" applyAlignment="1">
      <alignment horizontal="center" vertical="center"/>
    </xf>
    <xf numFmtId="0" fontId="87" fillId="0" borderId="204" xfId="0" applyFont="1" applyBorder="1" applyAlignment="1">
      <alignment horizontal="center" vertical="center"/>
    </xf>
    <xf numFmtId="0" fontId="87" fillId="0" borderId="197" xfId="0" applyFont="1" applyBorder="1" applyAlignment="1">
      <alignment horizontal="center" vertical="center"/>
    </xf>
    <xf numFmtId="0" fontId="87" fillId="0" borderId="195" xfId="0" applyFont="1" applyBorder="1" applyAlignment="1">
      <alignment horizontal="center" vertical="center"/>
    </xf>
    <xf numFmtId="0" fontId="105" fillId="0" borderId="190" xfId="0" applyFont="1" applyBorder="1" applyAlignment="1">
      <alignment horizontal="center" vertical="center"/>
    </xf>
    <xf numFmtId="0" fontId="0" fillId="0" borderId="190" xfId="0" applyBorder="1" applyAlignment="1">
      <alignment horizontal="center"/>
    </xf>
    <xf numFmtId="0" fontId="97" fillId="0" borderId="0" xfId="0" applyFont="1" applyAlignment="1">
      <alignment horizontal="center"/>
    </xf>
    <xf numFmtId="0" fontId="97" fillId="20" borderId="175" xfId="0" applyFont="1" applyFill="1" applyBorder="1" applyAlignment="1">
      <alignment horizontal="center"/>
    </xf>
    <xf numFmtId="0" fontId="134" fillId="23" borderId="191" xfId="0" applyFont="1" applyFill="1" applyBorder="1" applyAlignment="1">
      <alignment horizontal="center"/>
    </xf>
    <xf numFmtId="0" fontId="113" fillId="20" borderId="175" xfId="0" applyFont="1" applyFill="1" applyBorder="1" applyAlignment="1">
      <alignment horizontal="center"/>
    </xf>
    <xf numFmtId="0" fontId="139" fillId="3" borderId="175" xfId="0" applyFont="1" applyFill="1" applyBorder="1" applyAlignment="1">
      <alignment horizontal="center"/>
    </xf>
    <xf numFmtId="0" fontId="143" fillId="3" borderId="175" xfId="0" applyFont="1" applyFill="1" applyBorder="1" applyAlignment="1">
      <alignment horizontal="center"/>
    </xf>
    <xf numFmtId="0" fontId="84" fillId="3" borderId="2" xfId="0" applyFont="1" applyFill="1" applyBorder="1" applyAlignment="1">
      <alignment horizontal="center" vertical="center"/>
    </xf>
    <xf numFmtId="0" fontId="116" fillId="8" borderId="175" xfId="0" applyFont="1" applyFill="1" applyBorder="1" applyAlignment="1">
      <alignment horizontal="center"/>
    </xf>
    <xf numFmtId="0" fontId="125" fillId="22" borderId="0" xfId="0" applyFont="1" applyFill="1" applyAlignment="1">
      <alignment horizontal="center"/>
    </xf>
    <xf numFmtId="0" fontId="97" fillId="20" borderId="168" xfId="0" applyFont="1" applyFill="1" applyBorder="1" applyAlignment="1">
      <alignment horizontal="center"/>
    </xf>
    <xf numFmtId="0" fontId="97" fillId="20" borderId="0" xfId="0" applyFont="1" applyFill="1" applyAlignment="1">
      <alignment horizontal="center"/>
    </xf>
    <xf numFmtId="0" fontId="124" fillId="8" borderId="175" xfId="0" applyFont="1" applyFill="1" applyBorder="1" applyAlignment="1">
      <alignment horizontal="center"/>
    </xf>
    <xf numFmtId="0" fontId="194" fillId="0" borderId="236" xfId="0" applyFont="1" applyBorder="1" applyAlignment="1">
      <alignment horizontal="center" vertical="center"/>
    </xf>
    <xf numFmtId="0" fontId="194" fillId="0" borderId="237" xfId="0" applyFont="1" applyBorder="1" applyAlignment="1">
      <alignment horizontal="center" vertical="center"/>
    </xf>
    <xf numFmtId="0" fontId="194" fillId="0" borderId="238" xfId="0" applyFont="1" applyBorder="1" applyAlignment="1">
      <alignment horizontal="center" vertical="center"/>
    </xf>
    <xf numFmtId="0" fontId="0" fillId="0" borderId="217" xfId="0" applyBorder="1" applyAlignment="1">
      <alignment horizontal="center"/>
    </xf>
    <xf numFmtId="0" fontId="0" fillId="0" borderId="218" xfId="0" applyBorder="1" applyAlignment="1">
      <alignment horizontal="center"/>
    </xf>
    <xf numFmtId="0" fontId="0" fillId="0" borderId="166" xfId="0" applyBorder="1" applyAlignment="1">
      <alignment horizontal="center"/>
    </xf>
    <xf numFmtId="0" fontId="0" fillId="0" borderId="0" xfId="0" applyBorder="1" applyAlignment="1">
      <alignment horizontal="center"/>
    </xf>
    <xf numFmtId="0" fontId="192" fillId="0" borderId="211" xfId="0" applyFont="1" applyBorder="1" applyAlignment="1">
      <alignment horizontal="center"/>
    </xf>
    <xf numFmtId="0" fontId="193" fillId="0" borderId="211" xfId="0" applyFont="1" applyBorder="1" applyAlignment="1">
      <alignment horizontal="center"/>
    </xf>
    <xf numFmtId="0" fontId="192" fillId="0" borderId="212" xfId="0" applyFont="1" applyBorder="1" applyAlignment="1">
      <alignment horizontal="center"/>
    </xf>
    <xf numFmtId="0" fontId="112" fillId="0" borderId="214" xfId="0" applyFont="1" applyBorder="1" applyAlignment="1">
      <alignment horizontal="center" vertical="center"/>
    </xf>
    <xf numFmtId="0" fontId="112" fillId="0" borderId="215" xfId="0" applyFont="1" applyBorder="1" applyAlignment="1">
      <alignment horizontal="center" vertical="center"/>
    </xf>
    <xf numFmtId="0" fontId="98" fillId="0" borderId="229" xfId="0" applyFont="1" applyBorder="1" applyAlignment="1">
      <alignment horizontal="center"/>
    </xf>
    <xf numFmtId="0" fontId="98" fillId="0" borderId="231" xfId="0" applyFont="1" applyBorder="1" applyAlignment="1">
      <alignment horizontal="center"/>
    </xf>
    <xf numFmtId="0" fontId="98" fillId="0" borderId="233" xfId="0" applyFont="1" applyBorder="1" applyAlignment="1">
      <alignment horizontal="center" vertical="top" wrapText="1"/>
    </xf>
    <xf numFmtId="0" fontId="98" fillId="0" borderId="102" xfId="0" applyFont="1" applyBorder="1" applyAlignment="1">
      <alignment horizontal="center" vertical="top" wrapText="1"/>
    </xf>
    <xf numFmtId="0" fontId="98" fillId="0" borderId="103" xfId="0" applyFont="1" applyBorder="1" applyAlignment="1">
      <alignment horizontal="center" vertical="top" wrapText="1"/>
    </xf>
    <xf numFmtId="0" fontId="98" fillId="0" borderId="234" xfId="0" applyFont="1" applyBorder="1" applyAlignment="1">
      <alignment horizontal="center" vertical="top" wrapText="1"/>
    </xf>
    <xf numFmtId="0" fontId="98" fillId="0" borderId="0" xfId="0" applyFont="1" applyBorder="1" applyAlignment="1">
      <alignment horizontal="center" vertical="top" wrapText="1"/>
    </xf>
    <xf numFmtId="0" fontId="98" fillId="0" borderId="104" xfId="0" applyFont="1" applyBorder="1" applyAlignment="1">
      <alignment horizontal="center" vertical="top" wrapText="1"/>
    </xf>
    <xf numFmtId="0" fontId="113" fillId="0" borderId="235" xfId="0" applyFont="1" applyBorder="1" applyAlignment="1">
      <alignment horizontal="center" vertical="top" wrapText="1"/>
    </xf>
    <xf numFmtId="0" fontId="113" fillId="0" borderId="107" xfId="0" applyFont="1" applyBorder="1" applyAlignment="1">
      <alignment horizontal="center" vertical="top" wrapText="1"/>
    </xf>
    <xf numFmtId="0" fontId="113" fillId="0" borderId="108" xfId="0" applyFont="1" applyBorder="1" applyAlignment="1">
      <alignment horizontal="center" vertical="top" wrapText="1"/>
    </xf>
    <xf numFmtId="0" fontId="98" fillId="0" borderId="230" xfId="0" applyFont="1" applyBorder="1" applyAlignment="1">
      <alignment horizontal="center"/>
    </xf>
    <xf numFmtId="0" fontId="98" fillId="0" borderId="232" xfId="0" applyFont="1" applyBorder="1" applyAlignment="1">
      <alignment horizontal="center"/>
    </xf>
    <xf numFmtId="0" fontId="190" fillId="0" borderId="226" xfId="0" applyFont="1" applyBorder="1" applyAlignment="1">
      <alignment horizontal="center" vertical="center"/>
    </xf>
    <xf numFmtId="0" fontId="191" fillId="0" borderId="228" xfId="0" applyFont="1" applyBorder="1" applyAlignment="1">
      <alignment horizontal="center" vertical="center"/>
    </xf>
    <xf numFmtId="0" fontId="113" fillId="0" borderId="7" xfId="0" applyFont="1" applyBorder="1" applyAlignment="1">
      <alignment horizontal="center" vertical="center"/>
    </xf>
    <xf numFmtId="0" fontId="113" fillId="0" borderId="92" xfId="0" applyFont="1" applyBorder="1" applyAlignment="1">
      <alignment horizontal="center" vertical="center"/>
    </xf>
    <xf numFmtId="0" fontId="113" fillId="0" borderId="164" xfId="0" applyFont="1" applyBorder="1" applyAlignment="1">
      <alignment horizontal="center" vertical="center"/>
    </xf>
    <xf numFmtId="0" fontId="113" fillId="0" borderId="163" xfId="0" applyFont="1" applyBorder="1" applyAlignment="1">
      <alignment horizontal="center" vertical="center"/>
    </xf>
    <xf numFmtId="0" fontId="113" fillId="0" borderId="11" xfId="0" applyFont="1" applyBorder="1" applyAlignment="1">
      <alignment horizontal="center" vertical="center"/>
    </xf>
    <xf numFmtId="0" fontId="113" fillId="0" borderId="82" xfId="0" applyFont="1" applyBorder="1" applyAlignment="1">
      <alignment horizontal="center" vertical="center"/>
    </xf>
    <xf numFmtId="0" fontId="113" fillId="0" borderId="0" xfId="0" applyFont="1" applyBorder="1" applyAlignment="1">
      <alignment horizontal="left" vertical="center"/>
    </xf>
    <xf numFmtId="0" fontId="183" fillId="0" borderId="13" xfId="0" applyFont="1" applyBorder="1" applyAlignment="1">
      <alignment horizontal="center"/>
    </xf>
    <xf numFmtId="0" fontId="184" fillId="0" borderId="0" xfId="0" applyFont="1" applyBorder="1" applyAlignment="1">
      <alignment horizontal="center"/>
    </xf>
    <xf numFmtId="0" fontId="185" fillId="0" borderId="0" xfId="0" applyFont="1" applyBorder="1" applyAlignment="1">
      <alignment horizontal="center"/>
    </xf>
    <xf numFmtId="0" fontId="188" fillId="0" borderId="0" xfId="0" applyFont="1" applyBorder="1" applyAlignment="1">
      <alignment horizontal="center"/>
    </xf>
    <xf numFmtId="0" fontId="186" fillId="0" borderId="0" xfId="0" applyFont="1" applyBorder="1" applyAlignment="1">
      <alignment horizontal="center" wrapText="1"/>
    </xf>
    <xf numFmtId="0" fontId="186" fillId="0" borderId="0" xfId="0" applyFont="1" applyBorder="1" applyAlignment="1">
      <alignment horizontal="center"/>
    </xf>
    <xf numFmtId="0" fontId="156" fillId="4" borderId="0" xfId="0" applyFont="1" applyFill="1" applyBorder="1" applyAlignment="1">
      <alignment horizontal="center"/>
    </xf>
    <xf numFmtId="0" fontId="122" fillId="0" borderId="220" xfId="0" applyFont="1" applyBorder="1" applyAlignment="1">
      <alignment horizontal="center" vertical="center" wrapText="1"/>
    </xf>
    <xf numFmtId="0" fontId="122" fillId="0" borderId="221" xfId="0" applyFont="1" applyBorder="1" applyAlignment="1">
      <alignment horizontal="center" vertical="center" wrapText="1"/>
    </xf>
    <xf numFmtId="0" fontId="113" fillId="0" borderId="223" xfId="0" applyFont="1" applyBorder="1" applyAlignment="1">
      <alignment horizontal="center" vertical="center" wrapText="1"/>
    </xf>
    <xf numFmtId="0" fontId="113" fillId="0" borderId="223" xfId="0" applyFont="1" applyBorder="1" applyAlignment="1">
      <alignment horizontal="center" vertical="center"/>
    </xf>
    <xf numFmtId="0" fontId="113" fillId="0" borderId="224" xfId="0" applyFont="1" applyBorder="1" applyAlignment="1">
      <alignment horizontal="center" vertical="center"/>
    </xf>
    <xf numFmtId="0" fontId="189" fillId="0" borderId="214" xfId="0" applyFont="1" applyBorder="1" applyAlignment="1">
      <alignment horizontal="center" vertical="center"/>
    </xf>
    <xf numFmtId="0" fontId="189" fillId="0" borderId="214" xfId="0" applyFont="1" applyBorder="1" applyAlignment="1">
      <alignment horizontal="center" vertical="center" wrapText="1"/>
    </xf>
    <xf numFmtId="0" fontId="189" fillId="0" borderId="212" xfId="0" applyFont="1" applyBorder="1" applyAlignment="1">
      <alignment horizontal="center" vertical="center" wrapText="1"/>
    </xf>
    <xf numFmtId="0" fontId="189" fillId="0" borderId="215" xfId="0" applyFont="1" applyBorder="1" applyAlignment="1">
      <alignment horizontal="center" vertical="center" wrapText="1"/>
    </xf>
    <xf numFmtId="0" fontId="189" fillId="0" borderId="211" xfId="0" applyFont="1" applyBorder="1" applyAlignment="1">
      <alignment horizontal="center" vertical="center" wrapText="1"/>
    </xf>
    <xf numFmtId="0" fontId="189" fillId="0" borderId="211" xfId="0" applyFont="1" applyBorder="1" applyAlignment="1">
      <alignment horizontal="center" vertical="center"/>
    </xf>
    <xf numFmtId="0" fontId="189" fillId="0" borderId="210" xfId="0" applyFont="1" applyBorder="1" applyAlignment="1">
      <alignment horizontal="center" vertical="center" wrapText="1"/>
    </xf>
    <xf numFmtId="0" fontId="189" fillId="0" borderId="213" xfId="0" applyFont="1" applyBorder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3" fillId="0" borderId="175" xfId="0" applyFont="1" applyBorder="1" applyAlignment="1">
      <alignment horizontal="center" vertical="center"/>
    </xf>
    <xf numFmtId="0" fontId="3" fillId="0" borderId="175" xfId="0" applyFont="1" applyBorder="1" applyAlignment="1">
      <alignment horizontal="center"/>
    </xf>
    <xf numFmtId="0" fontId="3" fillId="0" borderId="171" xfId="0" applyFont="1" applyBorder="1" applyAlignment="1">
      <alignment horizont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96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5" fillId="0" borderId="0" xfId="0" applyFont="1" applyAlignment="1">
      <alignment horizontal="center"/>
    </xf>
    <xf numFmtId="0" fontId="90" fillId="3" borderId="6" xfId="0" applyFont="1" applyFill="1" applyBorder="1" applyAlignment="1">
      <alignment horizontal="center" textRotation="45"/>
    </xf>
    <xf numFmtId="0" fontId="90" fillId="3" borderId="96" xfId="0" applyFont="1" applyFill="1" applyBorder="1" applyAlignment="1">
      <alignment horizontal="center" textRotation="45"/>
    </xf>
    <xf numFmtId="0" fontId="89" fillId="3" borderId="6" xfId="0" applyFont="1" applyFill="1" applyBorder="1" applyAlignment="1">
      <alignment horizontal="center" vertical="center"/>
    </xf>
    <xf numFmtId="0" fontId="89" fillId="3" borderId="96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96" xfId="0" applyFont="1" applyBorder="1" applyAlignment="1">
      <alignment horizontal="center" vertical="center"/>
    </xf>
    <xf numFmtId="0" fontId="79" fillId="4" borderId="168" xfId="0" applyFont="1" applyFill="1" applyBorder="1" applyAlignment="1">
      <alignment horizontal="center"/>
    </xf>
    <xf numFmtId="0" fontId="79" fillId="4" borderId="0" xfId="0" applyFont="1" applyFill="1" applyAlignment="1">
      <alignment horizontal="center"/>
    </xf>
    <xf numFmtId="0" fontId="79" fillId="4" borderId="169" xfId="0" applyFont="1" applyFill="1" applyBorder="1" applyAlignment="1">
      <alignment horizontal="center"/>
    </xf>
    <xf numFmtId="0" fontId="91" fillId="0" borderId="165" xfId="0" applyFont="1" applyBorder="1" applyAlignment="1">
      <alignment horizontal="center"/>
    </xf>
    <xf numFmtId="0" fontId="91" fillId="0" borderId="166" xfId="0" applyFont="1" applyBorder="1" applyAlignment="1">
      <alignment horizontal="center"/>
    </xf>
    <xf numFmtId="0" fontId="91" fillId="0" borderId="167" xfId="0" applyFont="1" applyBorder="1" applyAlignment="1">
      <alignment horizontal="center"/>
    </xf>
    <xf numFmtId="0" fontId="79" fillId="3" borderId="168" xfId="0" applyFont="1" applyFill="1" applyBorder="1" applyAlignment="1">
      <alignment horizontal="center"/>
    </xf>
    <xf numFmtId="0" fontId="79" fillId="3" borderId="0" xfId="0" applyFont="1" applyFill="1" applyAlignment="1">
      <alignment horizontal="center"/>
    </xf>
    <xf numFmtId="0" fontId="79" fillId="3" borderId="169" xfId="0" applyFont="1" applyFill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79" fillId="3" borderId="14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9" fillId="3" borderId="148" xfId="0" applyFont="1" applyFill="1" applyBorder="1" applyAlignment="1">
      <alignment horizontal="center" wrapText="1"/>
    </xf>
    <xf numFmtId="0" fontId="79" fillId="3" borderId="149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0" fontId="82" fillId="0" borderId="84" xfId="0" applyFont="1" applyBorder="1" applyAlignment="1">
      <alignment horizontal="center"/>
    </xf>
    <xf numFmtId="49" fontId="79" fillId="3" borderId="83" xfId="0" applyNumberFormat="1" applyFont="1" applyFill="1" applyBorder="1" applyAlignment="1">
      <alignment horizontal="center"/>
    </xf>
    <xf numFmtId="49" fontId="79" fillId="3" borderId="0" xfId="0" applyNumberFormat="1" applyFont="1" applyFill="1" applyAlignment="1">
      <alignment horizontal="center"/>
    </xf>
    <xf numFmtId="0" fontId="79" fillId="3" borderId="155" xfId="0" applyFont="1" applyFill="1" applyBorder="1" applyAlignment="1">
      <alignment horizontal="center" vertical="center"/>
    </xf>
    <xf numFmtId="0" fontId="79" fillId="3" borderId="152" xfId="0" applyFont="1" applyFill="1" applyBorder="1" applyAlignment="1">
      <alignment horizontal="center" vertical="center"/>
    </xf>
    <xf numFmtId="0" fontId="79" fillId="3" borderId="154" xfId="0" applyFont="1" applyFill="1" applyBorder="1" applyAlignment="1">
      <alignment horizontal="center" vertical="center"/>
    </xf>
    <xf numFmtId="0" fontId="79" fillId="3" borderId="150" xfId="0" applyFont="1" applyFill="1" applyBorder="1" applyAlignment="1">
      <alignment horizontal="center" vertical="center"/>
    </xf>
    <xf numFmtId="0" fontId="103" fillId="0" borderId="176" xfId="0" applyFont="1" applyBorder="1" applyAlignment="1">
      <alignment horizontal="center" vertical="center"/>
    </xf>
    <xf numFmtId="14" fontId="104" fillId="0" borderId="176" xfId="0" applyNumberFormat="1" applyFont="1" applyBorder="1" applyAlignment="1">
      <alignment horizontal="center" vertical="center"/>
    </xf>
    <xf numFmtId="0" fontId="99" fillId="0" borderId="165" xfId="0" applyFont="1" applyBorder="1" applyAlignment="1">
      <alignment horizontal="center"/>
    </xf>
    <xf numFmtId="0" fontId="99" fillId="0" borderId="166" xfId="0" applyFont="1" applyBorder="1" applyAlignment="1">
      <alignment horizontal="center"/>
    </xf>
    <xf numFmtId="0" fontId="100" fillId="0" borderId="168" xfId="0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101" fillId="17" borderId="168" xfId="0" applyFont="1" applyFill="1" applyBorder="1" applyAlignment="1">
      <alignment horizontal="center" vertical="center"/>
    </xf>
    <xf numFmtId="0" fontId="101" fillId="17" borderId="0" xfId="0" applyFont="1" applyFill="1" applyAlignment="1">
      <alignment horizontal="center" vertical="center"/>
    </xf>
    <xf numFmtId="0" fontId="102" fillId="0" borderId="0" xfId="0" applyFont="1" applyAlignment="1">
      <alignment horizontal="center"/>
    </xf>
    <xf numFmtId="0" fontId="103" fillId="0" borderId="177" xfId="0" applyFont="1" applyBorder="1" applyAlignment="1">
      <alignment horizontal="center" vertical="center"/>
    </xf>
    <xf numFmtId="0" fontId="103" fillId="0" borderId="178" xfId="0" applyFont="1" applyBorder="1" applyAlignment="1">
      <alignment horizontal="center" vertical="center"/>
    </xf>
    <xf numFmtId="0" fontId="0" fillId="0" borderId="16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62865</xdr:rowOff>
    </xdr:from>
    <xdr:to>
      <xdr:col>1</xdr:col>
      <xdr:colOff>914400</xdr:colOff>
      <xdr:row>3</xdr:row>
      <xdr:rowOff>198120</xdr:rowOff>
    </xdr:to>
    <xdr:pic>
      <xdr:nvPicPr>
        <xdr:cNvPr id="2" name="Picture 1" descr="download.jf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489585"/>
          <a:ext cx="876300" cy="61531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8</xdr:col>
      <xdr:colOff>762000</xdr:colOff>
      <xdr:row>1</xdr:row>
      <xdr:rowOff>62865</xdr:rowOff>
    </xdr:from>
    <xdr:to>
      <xdr:col>9</xdr:col>
      <xdr:colOff>876300</xdr:colOff>
      <xdr:row>3</xdr:row>
      <xdr:rowOff>198120</xdr:rowOff>
    </xdr:to>
    <xdr:pic>
      <xdr:nvPicPr>
        <xdr:cNvPr id="4" name="Picture 3" descr="download.jfif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489585"/>
          <a:ext cx="876300" cy="61531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1</xdr:col>
      <xdr:colOff>144780</xdr:colOff>
      <xdr:row>0</xdr:row>
      <xdr:rowOff>7620</xdr:rowOff>
    </xdr:from>
    <xdr:to>
      <xdr:col>1</xdr:col>
      <xdr:colOff>624840</xdr:colOff>
      <xdr:row>0</xdr:row>
      <xdr:rowOff>381000</xdr:rowOff>
    </xdr:to>
    <xdr:sp macro="" textlink="">
      <xdr:nvSpPr>
        <xdr:cNvPr id="5" name="5-Point Star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365760" y="7620"/>
          <a:ext cx="480060" cy="373380"/>
        </a:xfrm>
        <a:prstGeom prst="star5">
          <a:avLst/>
        </a:prstGeom>
        <a:solidFill>
          <a:srgbClr val="00B05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579120</xdr:colOff>
      <xdr:row>0</xdr:row>
      <xdr:rowOff>0</xdr:rowOff>
    </xdr:from>
    <xdr:to>
      <xdr:col>9</xdr:col>
      <xdr:colOff>1059180</xdr:colOff>
      <xdr:row>0</xdr:row>
      <xdr:rowOff>373380</xdr:rowOff>
    </xdr:to>
    <xdr:sp macro="" textlink="">
      <xdr:nvSpPr>
        <xdr:cNvPr id="6" name="5-Point Star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6355080" y="0"/>
          <a:ext cx="480060" cy="373380"/>
        </a:xfrm>
        <a:prstGeom prst="star5">
          <a:avLst/>
        </a:prstGeom>
        <a:solidFill>
          <a:srgbClr val="00B05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323850</xdr:colOff>
      <xdr:row>0</xdr:row>
      <xdr:rowOff>38100</xdr:rowOff>
    </xdr:from>
    <xdr:to>
      <xdr:col>20</xdr:col>
      <xdr:colOff>264795</xdr:colOff>
      <xdr:row>2</xdr:row>
      <xdr:rowOff>173356</xdr:rowOff>
    </xdr:to>
    <xdr:pic>
      <xdr:nvPicPr>
        <xdr:cNvPr id="2" name="Picture 1" descr="download.jfif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1090" y="38100"/>
          <a:ext cx="855345" cy="805816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0</xdr:col>
      <xdr:colOff>381000</xdr:colOff>
      <xdr:row>0</xdr:row>
      <xdr:rowOff>38100</xdr:rowOff>
    </xdr:from>
    <xdr:to>
      <xdr:col>2</xdr:col>
      <xdr:colOff>11430</xdr:colOff>
      <xdr:row>2</xdr:row>
      <xdr:rowOff>173356</xdr:rowOff>
    </xdr:to>
    <xdr:pic>
      <xdr:nvPicPr>
        <xdr:cNvPr id="3" name="Picture 2" descr="download.jfif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8100"/>
          <a:ext cx="845820" cy="805816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1</xdr:row>
      <xdr:rowOff>146685</xdr:rowOff>
    </xdr:from>
    <xdr:to>
      <xdr:col>1</xdr:col>
      <xdr:colOff>670560</xdr:colOff>
      <xdr:row>3</xdr:row>
      <xdr:rowOff>152400</xdr:rowOff>
    </xdr:to>
    <xdr:pic>
      <xdr:nvPicPr>
        <xdr:cNvPr id="2" name="Picture 1" descr="download.jfif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180" y="573405"/>
          <a:ext cx="571500" cy="4857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9</xdr:col>
      <xdr:colOff>152400</xdr:colOff>
      <xdr:row>1</xdr:row>
      <xdr:rowOff>139065</xdr:rowOff>
    </xdr:from>
    <xdr:to>
      <xdr:col>9</xdr:col>
      <xdr:colOff>762000</xdr:colOff>
      <xdr:row>3</xdr:row>
      <xdr:rowOff>144780</xdr:rowOff>
    </xdr:to>
    <xdr:pic>
      <xdr:nvPicPr>
        <xdr:cNvPr id="3" name="Picture 2" descr="download.jfif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0" y="565785"/>
          <a:ext cx="609600" cy="4857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1</xdr:row>
      <xdr:rowOff>146685</xdr:rowOff>
    </xdr:from>
    <xdr:to>
      <xdr:col>1</xdr:col>
      <xdr:colOff>609600</xdr:colOff>
      <xdr:row>3</xdr:row>
      <xdr:rowOff>152400</xdr:rowOff>
    </xdr:to>
    <xdr:pic>
      <xdr:nvPicPr>
        <xdr:cNvPr id="2" name="Picture 1" descr="download.jfif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180" y="573405"/>
          <a:ext cx="571500" cy="4857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9</xdr:col>
      <xdr:colOff>312420</xdr:colOff>
      <xdr:row>1</xdr:row>
      <xdr:rowOff>154305</xdr:rowOff>
    </xdr:from>
    <xdr:to>
      <xdr:col>9</xdr:col>
      <xdr:colOff>830580</xdr:colOff>
      <xdr:row>3</xdr:row>
      <xdr:rowOff>160020</xdr:rowOff>
    </xdr:to>
    <xdr:pic>
      <xdr:nvPicPr>
        <xdr:cNvPr id="3" name="Picture 2" descr="download.jfif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87440" y="581025"/>
          <a:ext cx="518160" cy="4857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44449</xdr:colOff>
      <xdr:row>1</xdr:row>
      <xdr:rowOff>76739</xdr:rowOff>
    </xdr:from>
    <xdr:ext cx="6842125" cy="468013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58C2B258-76D7-4FF8-88D6-5A13E7516C16}"/>
            </a:ext>
          </a:extLst>
        </xdr:cNvPr>
        <xdr:cNvSpPr/>
      </xdr:nvSpPr>
      <xdr:spPr>
        <a:xfrm>
          <a:off x="130174" y="162464"/>
          <a:ext cx="6842125" cy="468013"/>
        </a:xfrm>
        <a:prstGeom prst="rect">
          <a:avLst/>
        </a:prstGeom>
        <a:noFill/>
      </xdr:spPr>
      <xdr:txBody>
        <a:bodyPr wrap="square" lIns="91440" tIns="45720" rIns="91440" bIns="45720">
          <a:prstTxWarp prst="textPlain">
            <a:avLst/>
          </a:prstTxWarp>
          <a:spAutoFit/>
        </a:bodyPr>
        <a:lstStyle/>
        <a:p>
          <a:pPr algn="ctr"/>
          <a:r>
            <a:rPr lang="en-US" sz="2400" b="1" cap="none" spc="0">
              <a:ln w="1905">
                <a:solidFill>
                  <a:srgbClr val="FFFF00"/>
                </a:solidFill>
              </a:ln>
              <a:solidFill>
                <a:srgbClr val="00206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NAHUSH PUBLIC</a:t>
          </a:r>
          <a:r>
            <a:rPr lang="en-US" sz="2400" b="1" cap="none" spc="0" baseline="0">
              <a:ln w="1905">
                <a:solidFill>
                  <a:srgbClr val="FFFF00"/>
                </a:solidFill>
              </a:ln>
              <a:solidFill>
                <a:srgbClr val="00206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HIGH SCHOOL MOHLA</a:t>
          </a:r>
          <a:endParaRPr lang="en-US" sz="2400" b="1" cap="none" spc="0">
            <a:ln w="1905">
              <a:solidFill>
                <a:srgbClr val="FFFF00"/>
              </a:solidFill>
            </a:ln>
            <a:solidFill>
              <a:srgbClr val="00206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</xdr:col>
      <xdr:colOff>423799</xdr:colOff>
      <xdr:row>4</xdr:row>
      <xdr:rowOff>13239</xdr:rowOff>
    </xdr:from>
    <xdr:ext cx="5049901" cy="374141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B548813B-72D0-4888-9E93-E219253B0834}"/>
            </a:ext>
          </a:extLst>
        </xdr:cNvPr>
        <xdr:cNvSpPr/>
      </xdr:nvSpPr>
      <xdr:spPr>
        <a:xfrm>
          <a:off x="1119124" y="679989"/>
          <a:ext cx="5049901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C0000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BLOCK MAJHOLI DISTT.JABALPUR M.P</a:t>
          </a:r>
          <a:r>
            <a:rPr lang="en-US" sz="18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C0000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.</a:t>
          </a:r>
          <a:endParaRPr lang="en-US" sz="5400" b="1" cap="none" spc="300">
            <a:ln w="11430" cmpd="sng">
              <a:solidFill>
                <a:srgbClr val="C00000"/>
              </a:solidFill>
              <a:prstDash val="solid"/>
              <a:miter lim="800000"/>
            </a:ln>
            <a:solidFill>
              <a:srgbClr val="C00000"/>
            </a:solidFill>
            <a:effectLst>
              <a:glow rad="45500">
                <a:schemeClr val="accent1">
                  <a:satMod val="220000"/>
                  <a:alpha val="35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45435</xdr:colOff>
      <xdr:row>5</xdr:row>
      <xdr:rowOff>102139</xdr:rowOff>
    </xdr:from>
    <xdr:ext cx="6964966" cy="405432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83BBAB66-C58B-48E7-B451-3F0CF64F92A7}"/>
            </a:ext>
          </a:extLst>
        </xdr:cNvPr>
        <xdr:cNvSpPr/>
      </xdr:nvSpPr>
      <xdr:spPr>
        <a:xfrm>
          <a:off x="131160" y="959389"/>
          <a:ext cx="6964966" cy="405432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en-US" sz="2000" b="1" cap="all" spc="0">
              <a:ln w="9000" cmpd="sng">
                <a:solidFill>
                  <a:srgbClr val="C00000"/>
                </a:solidFill>
                <a:prstDash val="solid"/>
              </a:ln>
              <a:solidFill>
                <a:srgbClr val="0070C0"/>
              </a:solidFill>
              <a:effectLst>
                <a:reflection blurRad="12700" stA="28000" endPos="45000" dist="1000" dir="5400000" sy="-100000" algn="bl" rotWithShape="0"/>
              </a:effectLst>
            </a:rPr>
            <a:t>(RUN BY GURU KRIPA LOK KALYAN SAMITI MOHLA)</a:t>
          </a:r>
        </a:p>
      </xdr:txBody>
    </xdr:sp>
    <xdr:clientData/>
  </xdr:oneCellAnchor>
  <xdr:twoCellAnchor editAs="oneCell">
    <xdr:from>
      <xdr:col>10</xdr:col>
      <xdr:colOff>352425</xdr:colOff>
      <xdr:row>3</xdr:row>
      <xdr:rowOff>155575</xdr:rowOff>
    </xdr:from>
    <xdr:to>
      <xdr:col>11</xdr:col>
      <xdr:colOff>323850</xdr:colOff>
      <xdr:row>6</xdr:row>
      <xdr:rowOff>95250</xdr:rowOff>
    </xdr:to>
    <xdr:pic>
      <xdr:nvPicPr>
        <xdr:cNvPr id="5" name="Picture 4" descr="download.jfif">
          <a:extLst>
            <a:ext uri="{FF2B5EF4-FFF2-40B4-BE49-F238E27FC236}">
              <a16:creationId xmlns="" xmlns:a16="http://schemas.microsoft.com/office/drawing/2014/main" id="{378F270D-D3BA-47FC-9EB9-E9087ADA21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0" y="631825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  <xdr:twoCellAnchor editAs="oneCell">
    <xdr:from>
      <xdr:col>1</xdr:col>
      <xdr:colOff>161925</xdr:colOff>
      <xdr:row>4</xdr:row>
      <xdr:rowOff>41275</xdr:rowOff>
    </xdr:from>
    <xdr:to>
      <xdr:col>2</xdr:col>
      <xdr:colOff>114300</xdr:colOff>
      <xdr:row>6</xdr:row>
      <xdr:rowOff>171450</xdr:rowOff>
    </xdr:to>
    <xdr:pic>
      <xdr:nvPicPr>
        <xdr:cNvPr id="6" name="Picture 5" descr="download.jfif">
          <a:extLst>
            <a:ext uri="{FF2B5EF4-FFF2-40B4-BE49-F238E27FC236}">
              <a16:creationId xmlns="" xmlns:a16="http://schemas.microsoft.com/office/drawing/2014/main" id="{2B395634-5399-4DDF-826C-7BDF2E55E6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708025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44449</xdr:colOff>
      <xdr:row>1</xdr:row>
      <xdr:rowOff>76739</xdr:rowOff>
    </xdr:from>
    <xdr:ext cx="6842125" cy="468013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F6D6F717-6B23-428F-8F1B-461A4EE121EF}"/>
            </a:ext>
          </a:extLst>
        </xdr:cNvPr>
        <xdr:cNvSpPr/>
      </xdr:nvSpPr>
      <xdr:spPr>
        <a:xfrm>
          <a:off x="130174" y="162464"/>
          <a:ext cx="6842125" cy="468013"/>
        </a:xfrm>
        <a:prstGeom prst="rect">
          <a:avLst/>
        </a:prstGeom>
        <a:noFill/>
      </xdr:spPr>
      <xdr:txBody>
        <a:bodyPr wrap="square" lIns="91440" tIns="45720" rIns="91440" bIns="45720">
          <a:prstTxWarp prst="textPlain">
            <a:avLst/>
          </a:prstTxWarp>
          <a:spAutoFit/>
        </a:bodyPr>
        <a:lstStyle/>
        <a:p>
          <a:pPr algn="ctr"/>
          <a:r>
            <a:rPr lang="en-US" sz="2400" b="1" cap="none" spc="0">
              <a:ln w="1905">
                <a:solidFill>
                  <a:srgbClr val="FFFF00"/>
                </a:solidFill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NAHUSH PUBLIC</a:t>
          </a:r>
          <a:r>
            <a:rPr lang="en-US" sz="2400" b="1" cap="none" spc="0" baseline="0">
              <a:ln w="1905">
                <a:solidFill>
                  <a:srgbClr val="FFFF00"/>
                </a:solidFill>
              </a:ln>
              <a:solidFill>
                <a:srgbClr val="FF0000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HIGH SCHOOL MOHLA</a:t>
          </a:r>
          <a:endParaRPr lang="en-US" sz="2400" b="1" cap="none" spc="0">
            <a:ln w="1905">
              <a:solidFill>
                <a:srgbClr val="FFFF00"/>
              </a:solidFill>
            </a:ln>
            <a:solidFill>
              <a:srgbClr val="FF0000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</xdr:col>
      <xdr:colOff>423799</xdr:colOff>
      <xdr:row>4</xdr:row>
      <xdr:rowOff>13239</xdr:rowOff>
    </xdr:from>
    <xdr:ext cx="5049901" cy="374141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BA3CA0F4-211E-434D-B929-D325400E741C}"/>
            </a:ext>
          </a:extLst>
        </xdr:cNvPr>
        <xdr:cNvSpPr/>
      </xdr:nvSpPr>
      <xdr:spPr>
        <a:xfrm>
          <a:off x="1119124" y="679989"/>
          <a:ext cx="5049901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00206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BLOCK MAJHOLI DISTT.JABALPUR M.P</a:t>
          </a:r>
          <a:r>
            <a:rPr lang="en-US" sz="18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00206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.</a:t>
          </a:r>
          <a:endParaRPr lang="en-US" sz="5400" b="1" cap="none" spc="300">
            <a:ln w="11430" cmpd="sng">
              <a:solidFill>
                <a:srgbClr val="C00000"/>
              </a:solidFill>
              <a:prstDash val="solid"/>
              <a:miter lim="800000"/>
            </a:ln>
            <a:solidFill>
              <a:srgbClr val="002060"/>
            </a:solidFill>
            <a:effectLst>
              <a:glow rad="45500">
                <a:schemeClr val="accent1">
                  <a:satMod val="220000"/>
                  <a:alpha val="35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45435</xdr:colOff>
      <xdr:row>5</xdr:row>
      <xdr:rowOff>102139</xdr:rowOff>
    </xdr:from>
    <xdr:ext cx="6964966" cy="405432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7CEB627-3340-4357-A85A-4CC1F06EEA34}"/>
            </a:ext>
          </a:extLst>
        </xdr:cNvPr>
        <xdr:cNvSpPr/>
      </xdr:nvSpPr>
      <xdr:spPr>
        <a:xfrm>
          <a:off x="131160" y="959389"/>
          <a:ext cx="6964966" cy="405432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en-US" sz="2000" b="1" cap="all" spc="0">
              <a:ln w="9000" cmpd="sng">
                <a:solidFill>
                  <a:srgbClr val="C00000"/>
                </a:solidFill>
                <a:prstDash val="solid"/>
              </a:ln>
              <a:solidFill>
                <a:srgbClr val="0070C0"/>
              </a:solidFill>
              <a:effectLst>
                <a:reflection blurRad="12700" stA="28000" endPos="45000" dist="1000" dir="5400000" sy="-100000" algn="bl" rotWithShape="0"/>
              </a:effectLst>
            </a:rPr>
            <a:t>(RUN BY GURU KRIPA LOK KALYAN SAMITI MOHLA)</a:t>
          </a:r>
        </a:p>
      </xdr:txBody>
    </xdr:sp>
    <xdr:clientData/>
  </xdr:oneCellAnchor>
  <xdr:twoCellAnchor editAs="oneCell">
    <xdr:from>
      <xdr:col>10</xdr:col>
      <xdr:colOff>352425</xdr:colOff>
      <xdr:row>3</xdr:row>
      <xdr:rowOff>155575</xdr:rowOff>
    </xdr:from>
    <xdr:to>
      <xdr:col>11</xdr:col>
      <xdr:colOff>323850</xdr:colOff>
      <xdr:row>6</xdr:row>
      <xdr:rowOff>95250</xdr:rowOff>
    </xdr:to>
    <xdr:pic>
      <xdr:nvPicPr>
        <xdr:cNvPr id="5" name="Picture 4" descr="download.jfif">
          <a:extLst>
            <a:ext uri="{FF2B5EF4-FFF2-40B4-BE49-F238E27FC236}">
              <a16:creationId xmlns="" xmlns:a16="http://schemas.microsoft.com/office/drawing/2014/main" id="{DD20A992-9262-4129-A5E1-CACE6037DC8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0" y="631825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  <xdr:twoCellAnchor editAs="oneCell">
    <xdr:from>
      <xdr:col>1</xdr:col>
      <xdr:colOff>161925</xdr:colOff>
      <xdr:row>4</xdr:row>
      <xdr:rowOff>41275</xdr:rowOff>
    </xdr:from>
    <xdr:to>
      <xdr:col>2</xdr:col>
      <xdr:colOff>114300</xdr:colOff>
      <xdr:row>6</xdr:row>
      <xdr:rowOff>171450</xdr:rowOff>
    </xdr:to>
    <xdr:pic>
      <xdr:nvPicPr>
        <xdr:cNvPr id="6" name="Picture 5" descr="download.jfif">
          <a:extLst>
            <a:ext uri="{FF2B5EF4-FFF2-40B4-BE49-F238E27FC236}">
              <a16:creationId xmlns="" xmlns:a16="http://schemas.microsoft.com/office/drawing/2014/main" id="{9F0998CE-C516-4CC8-87AF-9027512EFC8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708025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44449</xdr:colOff>
      <xdr:row>1</xdr:row>
      <xdr:rowOff>76739</xdr:rowOff>
    </xdr:from>
    <xdr:ext cx="6842125" cy="468013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9695B232-DDA1-44D2-BD19-D5E821DEE861}"/>
            </a:ext>
          </a:extLst>
        </xdr:cNvPr>
        <xdr:cNvSpPr/>
      </xdr:nvSpPr>
      <xdr:spPr>
        <a:xfrm>
          <a:off x="111124" y="133889"/>
          <a:ext cx="6842125" cy="468013"/>
        </a:xfrm>
        <a:prstGeom prst="rect">
          <a:avLst/>
        </a:prstGeom>
        <a:noFill/>
      </xdr:spPr>
      <xdr:txBody>
        <a:bodyPr wrap="square" lIns="91440" tIns="45720" rIns="91440" bIns="45720">
          <a:prstTxWarp prst="textPlain">
            <a:avLst/>
          </a:prstTxWarp>
          <a:spAutoFit/>
        </a:bodyPr>
        <a:lstStyle/>
        <a:p>
          <a:pPr algn="ctr"/>
          <a:r>
            <a:rPr lang="en-US" sz="2400" b="1" cap="none" spc="0">
              <a:ln w="1905">
                <a:solidFill>
                  <a:srgbClr val="FFFF00"/>
                </a:solidFill>
              </a:ln>
              <a:solidFill>
                <a:schemeClr val="tx1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NAHUSH PUBLIC</a:t>
          </a:r>
          <a:r>
            <a:rPr lang="en-US" sz="2400" b="1" cap="none" spc="0" baseline="0">
              <a:ln w="1905">
                <a:solidFill>
                  <a:srgbClr val="FFFF00"/>
                </a:solidFill>
              </a:ln>
              <a:solidFill>
                <a:schemeClr val="tx1"/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</a:rPr>
            <a:t> HIGH SCHOOL MOHLA</a:t>
          </a:r>
          <a:endParaRPr lang="en-US" sz="2400" b="1" cap="none" spc="0">
            <a:ln w="1905">
              <a:solidFill>
                <a:srgbClr val="FFFF00"/>
              </a:solidFill>
            </a:ln>
            <a:solidFill>
              <a:schemeClr val="tx1"/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2</xdr:col>
      <xdr:colOff>423799</xdr:colOff>
      <xdr:row>4</xdr:row>
      <xdr:rowOff>13239</xdr:rowOff>
    </xdr:from>
    <xdr:ext cx="5049901" cy="374141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60E69CC-E994-45E6-91E2-079D43FAA638}"/>
            </a:ext>
          </a:extLst>
        </xdr:cNvPr>
        <xdr:cNvSpPr/>
      </xdr:nvSpPr>
      <xdr:spPr>
        <a:xfrm>
          <a:off x="1100074" y="651414"/>
          <a:ext cx="5049901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6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00206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BLOCK MAJHOLI DISTT.JABALPUR M.P</a:t>
          </a:r>
          <a:r>
            <a:rPr lang="en-US" sz="1800" b="1" cap="none" spc="300">
              <a:ln w="11430" cmpd="sng">
                <a:solidFill>
                  <a:srgbClr val="C00000"/>
                </a:solidFill>
                <a:prstDash val="solid"/>
                <a:miter lim="800000"/>
              </a:ln>
              <a:solidFill>
                <a:srgbClr val="002060"/>
              </a:soli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.</a:t>
          </a:r>
          <a:endParaRPr lang="en-US" sz="5400" b="1" cap="none" spc="300">
            <a:ln w="11430" cmpd="sng">
              <a:solidFill>
                <a:srgbClr val="C00000"/>
              </a:solidFill>
              <a:prstDash val="solid"/>
              <a:miter lim="800000"/>
            </a:ln>
            <a:solidFill>
              <a:srgbClr val="002060"/>
            </a:solidFill>
            <a:effectLst>
              <a:glow rad="45500">
                <a:schemeClr val="accent1">
                  <a:satMod val="220000"/>
                  <a:alpha val="35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45435</xdr:colOff>
      <xdr:row>5</xdr:row>
      <xdr:rowOff>102139</xdr:rowOff>
    </xdr:from>
    <xdr:ext cx="6964966" cy="405432"/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B44513FA-534E-4C25-8968-EF35007FAD16}"/>
            </a:ext>
          </a:extLst>
        </xdr:cNvPr>
        <xdr:cNvSpPr/>
      </xdr:nvSpPr>
      <xdr:spPr>
        <a:xfrm>
          <a:off x="112110" y="930814"/>
          <a:ext cx="6964966" cy="405432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en-US" sz="2000" b="1" cap="all" spc="0">
              <a:ln w="9000" cmpd="sng">
                <a:solidFill>
                  <a:srgbClr val="C00000"/>
                </a:solidFill>
                <a:prstDash val="solid"/>
              </a:ln>
              <a:solidFill>
                <a:srgbClr val="0070C0"/>
              </a:solidFill>
              <a:effectLst>
                <a:reflection blurRad="12700" stA="28000" endPos="45000" dist="1000" dir="5400000" sy="-100000" algn="bl" rotWithShape="0"/>
              </a:effectLst>
            </a:rPr>
            <a:t>(RUN BY GURU KRIPA LOK KALYAN SAMITI MOHLA)</a:t>
          </a:r>
        </a:p>
      </xdr:txBody>
    </xdr:sp>
    <xdr:clientData/>
  </xdr:oneCellAnchor>
  <xdr:twoCellAnchor editAs="oneCell">
    <xdr:from>
      <xdr:col>10</xdr:col>
      <xdr:colOff>352425</xdr:colOff>
      <xdr:row>3</xdr:row>
      <xdr:rowOff>155575</xdr:rowOff>
    </xdr:from>
    <xdr:to>
      <xdr:col>11</xdr:col>
      <xdr:colOff>323850</xdr:colOff>
      <xdr:row>6</xdr:row>
      <xdr:rowOff>95250</xdr:rowOff>
    </xdr:to>
    <xdr:pic>
      <xdr:nvPicPr>
        <xdr:cNvPr id="5" name="Picture 4" descr="download.jfif">
          <a:extLst>
            <a:ext uri="{FF2B5EF4-FFF2-40B4-BE49-F238E27FC236}">
              <a16:creationId xmlns="" xmlns:a16="http://schemas.microsoft.com/office/drawing/2014/main" id="{B2E2D6E6-3695-4F8C-9DF0-90DDA3B960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0" y="631825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  <xdr:twoCellAnchor editAs="oneCell">
    <xdr:from>
      <xdr:col>1</xdr:col>
      <xdr:colOff>161925</xdr:colOff>
      <xdr:row>4</xdr:row>
      <xdr:rowOff>41275</xdr:rowOff>
    </xdr:from>
    <xdr:to>
      <xdr:col>2</xdr:col>
      <xdr:colOff>114300</xdr:colOff>
      <xdr:row>6</xdr:row>
      <xdr:rowOff>171450</xdr:rowOff>
    </xdr:to>
    <xdr:pic>
      <xdr:nvPicPr>
        <xdr:cNvPr id="6" name="Picture 5" descr="download.jfif">
          <a:extLst>
            <a:ext uri="{FF2B5EF4-FFF2-40B4-BE49-F238E27FC236}">
              <a16:creationId xmlns="" xmlns:a16="http://schemas.microsoft.com/office/drawing/2014/main" id="{9F5A5DB6-2070-4B2D-9EEB-EEF291C2047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679450"/>
          <a:ext cx="561975" cy="511175"/>
        </a:xfrm>
        <a:prstGeom prst="ellipse">
          <a:avLst/>
        </a:prstGeom>
        <a:ln w="317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SULT\RESULT%202024-25\2023%202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CT%209\Desktop\result%209th%202024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RKSHEET "/>
      <sheetName val="class 7th "/>
      <sheetName val="class 6th"/>
      <sheetName val="marksheet 1st to 4th"/>
      <sheetName val="class 4th "/>
      <sheetName val="class 3rd "/>
      <sheetName val="class 2nd "/>
      <sheetName val="class 1st "/>
      <sheetName val="marksheet ukg to lkg "/>
      <sheetName val="UKG"/>
      <sheetName val="LKG"/>
    </sheetNames>
    <sheetDataSet>
      <sheetData sheetId="0"/>
      <sheetData sheetId="1">
        <row r="1">
          <cell r="B1" t="str">
            <v xml:space="preserve">class - 7TH </v>
          </cell>
          <cell r="C1" t="str">
            <v>CODE- K</v>
          </cell>
          <cell r="K1" t="str">
            <v xml:space="preserve">QUARTARLY  EXAM </v>
          </cell>
          <cell r="S1" t="str">
            <v xml:space="preserve">HALP YEARLY  EXAM </v>
          </cell>
          <cell r="AA1" t="str">
            <v xml:space="preserve"> ANNUAL EXAM 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</row>
        <row r="3">
          <cell r="A3" t="str">
            <v xml:space="preserve">ROLL NO. </v>
          </cell>
          <cell r="B3" t="str">
            <v xml:space="preserve">NAME OF STUDENT </v>
          </cell>
          <cell r="C3" t="str">
            <v xml:space="preserve">NAME OF FATHER </v>
          </cell>
          <cell r="D3" t="str">
            <v xml:space="preserve">NAME OF MOTHER </v>
          </cell>
          <cell r="E3" t="str">
            <v>BIRTH DATE</v>
          </cell>
          <cell r="F3" t="str">
            <v xml:space="preserve">SSSM ID </v>
          </cell>
          <cell r="G3" t="str">
            <v>ADMISSION  NO.</v>
          </cell>
          <cell r="H3" t="str">
            <v xml:space="preserve">VILLAGE </v>
          </cell>
          <cell r="I3" t="str">
            <v>CLASS</v>
          </cell>
          <cell r="J3" t="str">
            <v xml:space="preserve">YEAR </v>
          </cell>
          <cell r="K3" t="str">
            <v>HINDI</v>
          </cell>
          <cell r="L3" t="str">
            <v xml:space="preserve">ENGLISH </v>
          </cell>
          <cell r="M3" t="str">
            <v xml:space="preserve">SANSTRIT </v>
          </cell>
          <cell r="N3" t="str">
            <v>MATH</v>
          </cell>
          <cell r="O3" t="str">
            <v xml:space="preserve">SCIENCE </v>
          </cell>
          <cell r="P3" t="str">
            <v xml:space="preserve">SO. SCIENCE </v>
          </cell>
          <cell r="Q3" t="str">
            <v xml:space="preserve">COMPUTER </v>
          </cell>
          <cell r="S3" t="str">
            <v xml:space="preserve">HINDI </v>
          </cell>
          <cell r="T3" t="str">
            <v xml:space="preserve">ENGLISH </v>
          </cell>
          <cell r="U3" t="str">
            <v xml:space="preserve">SANSTRIT </v>
          </cell>
          <cell r="V3" t="str">
            <v>MATH</v>
          </cell>
          <cell r="W3" t="str">
            <v xml:space="preserve">SCIENCE </v>
          </cell>
          <cell r="X3" t="str">
            <v xml:space="preserve">SO. SCIENCE </v>
          </cell>
          <cell r="Y3" t="str">
            <v xml:space="preserve">COMPUTER </v>
          </cell>
          <cell r="AA3" t="str">
            <v xml:space="preserve">HINDI </v>
          </cell>
          <cell r="AB3" t="str">
            <v xml:space="preserve">PROJECT </v>
          </cell>
          <cell r="AC3" t="str">
            <v xml:space="preserve">ENGLISH </v>
          </cell>
          <cell r="AD3" t="str">
            <v xml:space="preserve">PROJECT </v>
          </cell>
          <cell r="AE3" t="str">
            <v xml:space="preserve">SANSTRIT </v>
          </cell>
          <cell r="AF3" t="str">
            <v xml:space="preserve">PROJECT </v>
          </cell>
          <cell r="AG3" t="str">
            <v>MATH</v>
          </cell>
          <cell r="AH3" t="str">
            <v xml:space="preserve">PROJECT </v>
          </cell>
          <cell r="AI3" t="str">
            <v xml:space="preserve">SCIENCE </v>
          </cell>
          <cell r="AJ3" t="str">
            <v xml:space="preserve">PROJECT </v>
          </cell>
          <cell r="AK3" t="str">
            <v xml:space="preserve">SO. SCIENCE </v>
          </cell>
          <cell r="AL3" t="str">
            <v xml:space="preserve">PROJECT </v>
          </cell>
          <cell r="AM3" t="str">
            <v xml:space="preserve">COMPUTER </v>
          </cell>
        </row>
        <row r="4">
          <cell r="A4">
            <v>701</v>
          </cell>
          <cell r="B4" t="str">
            <v xml:space="preserve">ADITI HALDKAR </v>
          </cell>
          <cell r="C4" t="str">
            <v xml:space="preserve">ANIL KUMAR HALDKAR </v>
          </cell>
          <cell r="D4" t="str">
            <v>INDRAVATI HALDKAR</v>
          </cell>
          <cell r="E4">
            <v>40478</v>
          </cell>
          <cell r="F4">
            <v>131615511</v>
          </cell>
          <cell r="G4">
            <v>629</v>
          </cell>
          <cell r="H4" t="str">
            <v xml:space="preserve">NIMAS </v>
          </cell>
          <cell r="I4" t="str">
            <v>7TH</v>
          </cell>
          <cell r="J4" t="str">
            <v>2023-24</v>
          </cell>
          <cell r="K4">
            <v>20</v>
          </cell>
          <cell r="L4">
            <v>20</v>
          </cell>
          <cell r="M4">
            <v>20</v>
          </cell>
          <cell r="N4">
            <v>25</v>
          </cell>
          <cell r="O4">
            <v>17</v>
          </cell>
          <cell r="P4">
            <v>25</v>
          </cell>
          <cell r="Q4">
            <v>25</v>
          </cell>
          <cell r="S4">
            <v>25</v>
          </cell>
          <cell r="T4">
            <v>42</v>
          </cell>
          <cell r="U4">
            <v>46</v>
          </cell>
          <cell r="V4">
            <v>25</v>
          </cell>
          <cell r="W4">
            <v>26</v>
          </cell>
          <cell r="X4">
            <v>25</v>
          </cell>
          <cell r="Y4">
            <v>44</v>
          </cell>
          <cell r="AA4">
            <v>28</v>
          </cell>
          <cell r="AB4">
            <v>25</v>
          </cell>
          <cell r="AC4">
            <v>23</v>
          </cell>
          <cell r="AD4">
            <v>22</v>
          </cell>
          <cell r="AE4">
            <v>26</v>
          </cell>
          <cell r="AF4">
            <v>20</v>
          </cell>
          <cell r="AG4">
            <v>24</v>
          </cell>
          <cell r="AH4">
            <v>24</v>
          </cell>
          <cell r="AI4">
            <v>24</v>
          </cell>
          <cell r="AJ4">
            <v>25</v>
          </cell>
          <cell r="AK4">
            <v>27</v>
          </cell>
          <cell r="AL4">
            <v>26</v>
          </cell>
          <cell r="AM4">
            <v>35</v>
          </cell>
        </row>
        <row r="5">
          <cell r="A5">
            <v>702</v>
          </cell>
          <cell r="B5" t="str">
            <v>ANJALI PANDEY</v>
          </cell>
          <cell r="C5" t="str">
            <v>BHUNESHWAR PANDEY</v>
          </cell>
          <cell r="D5" t="str">
            <v>USHA PANDEY</v>
          </cell>
          <cell r="E5" t="str">
            <v>15-08-2011</v>
          </cell>
          <cell r="F5">
            <v>104652031</v>
          </cell>
          <cell r="G5">
            <v>706</v>
          </cell>
          <cell r="H5" t="str">
            <v>DHANGAWAN</v>
          </cell>
          <cell r="I5" t="str">
            <v>7TH</v>
          </cell>
          <cell r="J5" t="str">
            <v>2023-24</v>
          </cell>
          <cell r="K5">
            <v>41</v>
          </cell>
          <cell r="L5">
            <v>45</v>
          </cell>
          <cell r="M5">
            <v>41</v>
          </cell>
          <cell r="N5">
            <v>41</v>
          </cell>
          <cell r="O5">
            <v>31</v>
          </cell>
          <cell r="P5">
            <v>39</v>
          </cell>
          <cell r="Q5">
            <v>44</v>
          </cell>
          <cell r="S5">
            <v>48</v>
          </cell>
          <cell r="T5">
            <v>25</v>
          </cell>
          <cell r="U5">
            <v>26</v>
          </cell>
          <cell r="V5">
            <v>31</v>
          </cell>
          <cell r="W5">
            <v>27</v>
          </cell>
          <cell r="X5">
            <v>26</v>
          </cell>
          <cell r="Y5">
            <v>39</v>
          </cell>
          <cell r="AA5">
            <v>47</v>
          </cell>
          <cell r="AB5">
            <v>39</v>
          </cell>
          <cell r="AC5">
            <v>44</v>
          </cell>
          <cell r="AD5">
            <v>36</v>
          </cell>
          <cell r="AE5">
            <v>53</v>
          </cell>
          <cell r="AF5">
            <v>33</v>
          </cell>
          <cell r="AG5">
            <v>38</v>
          </cell>
          <cell r="AH5">
            <v>36</v>
          </cell>
          <cell r="AI5">
            <v>40</v>
          </cell>
          <cell r="AJ5">
            <v>35</v>
          </cell>
          <cell r="AK5">
            <v>45</v>
          </cell>
          <cell r="AL5">
            <v>30</v>
          </cell>
          <cell r="AM5">
            <v>56</v>
          </cell>
        </row>
        <row r="6">
          <cell r="A6">
            <v>703</v>
          </cell>
          <cell r="B6" t="str">
            <v>ANJALI SAHU</v>
          </cell>
          <cell r="C6" t="str">
            <v>GAYA PRASAD SAHU</v>
          </cell>
          <cell r="D6" t="str">
            <v>BABITA SAHU</v>
          </cell>
          <cell r="E6">
            <v>40462</v>
          </cell>
          <cell r="F6">
            <v>137568738</v>
          </cell>
          <cell r="G6">
            <v>1423</v>
          </cell>
          <cell r="H6" t="str">
            <v xml:space="preserve">NIMAS </v>
          </cell>
          <cell r="I6" t="str">
            <v>7TH</v>
          </cell>
          <cell r="J6" t="str">
            <v>2023-24</v>
          </cell>
          <cell r="K6">
            <v>39</v>
          </cell>
          <cell r="L6">
            <v>39</v>
          </cell>
          <cell r="M6">
            <v>42</v>
          </cell>
          <cell r="N6">
            <v>31</v>
          </cell>
          <cell r="O6">
            <v>21</v>
          </cell>
          <cell r="P6">
            <v>25</v>
          </cell>
          <cell r="Q6">
            <v>26</v>
          </cell>
          <cell r="S6">
            <v>41</v>
          </cell>
          <cell r="T6">
            <v>26</v>
          </cell>
          <cell r="U6">
            <v>50</v>
          </cell>
          <cell r="V6">
            <v>25</v>
          </cell>
          <cell r="W6">
            <v>26</v>
          </cell>
          <cell r="X6">
            <v>25</v>
          </cell>
          <cell r="Y6">
            <v>26</v>
          </cell>
          <cell r="AA6">
            <v>30</v>
          </cell>
          <cell r="AB6">
            <v>36</v>
          </cell>
          <cell r="AC6">
            <v>29</v>
          </cell>
          <cell r="AD6">
            <v>26</v>
          </cell>
          <cell r="AE6">
            <v>31</v>
          </cell>
          <cell r="AF6">
            <v>25</v>
          </cell>
          <cell r="AG6">
            <v>26</v>
          </cell>
          <cell r="AH6">
            <v>20</v>
          </cell>
          <cell r="AI6">
            <v>30</v>
          </cell>
          <cell r="AJ6">
            <v>25</v>
          </cell>
          <cell r="AK6">
            <v>30</v>
          </cell>
          <cell r="AL6">
            <v>28</v>
          </cell>
          <cell r="AM6">
            <v>43</v>
          </cell>
        </row>
        <row r="7">
          <cell r="A7">
            <v>704</v>
          </cell>
          <cell r="B7" t="str">
            <v xml:space="preserve">ARTI KUSHWAHA </v>
          </cell>
          <cell r="C7" t="str">
            <v xml:space="preserve">MANOJ KUSHWAHA </v>
          </cell>
          <cell r="D7" t="str">
            <v>SAROJ BAI KUSHWAHA</v>
          </cell>
          <cell r="E7" t="str">
            <v>15-08-2012</v>
          </cell>
          <cell r="F7">
            <v>189354068</v>
          </cell>
          <cell r="G7">
            <v>572</v>
          </cell>
          <cell r="H7" t="str">
            <v>BARGI</v>
          </cell>
          <cell r="I7" t="str">
            <v>7TH</v>
          </cell>
          <cell r="J7" t="str">
            <v>2023-24</v>
          </cell>
          <cell r="K7">
            <v>44</v>
          </cell>
          <cell r="L7">
            <v>44</v>
          </cell>
          <cell r="M7">
            <v>48</v>
          </cell>
          <cell r="N7">
            <v>47</v>
          </cell>
          <cell r="O7">
            <v>48</v>
          </cell>
          <cell r="P7">
            <v>41</v>
          </cell>
          <cell r="Q7">
            <v>47</v>
          </cell>
          <cell r="S7">
            <v>58</v>
          </cell>
          <cell r="T7">
            <v>28</v>
          </cell>
          <cell r="U7">
            <v>29</v>
          </cell>
          <cell r="V7">
            <v>40</v>
          </cell>
          <cell r="W7">
            <v>47</v>
          </cell>
          <cell r="X7">
            <v>30</v>
          </cell>
          <cell r="Y7">
            <v>27</v>
          </cell>
          <cell r="AA7">
            <v>55</v>
          </cell>
          <cell r="AB7">
            <v>40</v>
          </cell>
          <cell r="AC7">
            <v>57</v>
          </cell>
          <cell r="AD7">
            <v>32</v>
          </cell>
          <cell r="AE7">
            <v>58</v>
          </cell>
          <cell r="AF7">
            <v>40</v>
          </cell>
          <cell r="AG7">
            <v>51</v>
          </cell>
          <cell r="AH7">
            <v>37</v>
          </cell>
          <cell r="AI7">
            <v>60</v>
          </cell>
          <cell r="AJ7">
            <v>39</v>
          </cell>
          <cell r="AK7">
            <v>54</v>
          </cell>
          <cell r="AL7">
            <v>38</v>
          </cell>
          <cell r="AM7">
            <v>60</v>
          </cell>
        </row>
        <row r="8">
          <cell r="A8">
            <v>705</v>
          </cell>
          <cell r="B8" t="str">
            <v>ARADHANA KOL</v>
          </cell>
          <cell r="C8" t="str">
            <v>KAILASH KOL</v>
          </cell>
          <cell r="D8" t="str">
            <v>SAHANTI KOL</v>
          </cell>
          <cell r="E8">
            <v>40462</v>
          </cell>
          <cell r="F8">
            <v>108056156</v>
          </cell>
          <cell r="G8">
            <v>1486</v>
          </cell>
          <cell r="H8" t="str">
            <v>MAJHAULI</v>
          </cell>
          <cell r="I8" t="str">
            <v>7TH</v>
          </cell>
          <cell r="J8" t="str">
            <v>2023-24</v>
          </cell>
          <cell r="K8">
            <v>23</v>
          </cell>
          <cell r="L8">
            <v>20</v>
          </cell>
          <cell r="M8">
            <v>20</v>
          </cell>
          <cell r="N8">
            <v>25</v>
          </cell>
          <cell r="O8">
            <v>17</v>
          </cell>
          <cell r="P8">
            <v>25</v>
          </cell>
          <cell r="Q8">
            <v>17</v>
          </cell>
          <cell r="S8">
            <v>25</v>
          </cell>
          <cell r="T8">
            <v>29</v>
          </cell>
          <cell r="U8">
            <v>28</v>
          </cell>
          <cell r="V8">
            <v>25</v>
          </cell>
          <cell r="W8">
            <v>26</v>
          </cell>
          <cell r="X8">
            <v>26</v>
          </cell>
          <cell r="Y8">
            <v>29</v>
          </cell>
          <cell r="AA8">
            <v>24</v>
          </cell>
          <cell r="AB8">
            <v>22</v>
          </cell>
          <cell r="AC8">
            <v>23</v>
          </cell>
          <cell r="AD8">
            <v>21</v>
          </cell>
          <cell r="AE8">
            <v>24</v>
          </cell>
          <cell r="AF8">
            <v>23</v>
          </cell>
          <cell r="AG8">
            <v>21</v>
          </cell>
          <cell r="AH8">
            <v>20</v>
          </cell>
          <cell r="AI8">
            <v>25</v>
          </cell>
          <cell r="AJ8">
            <v>24</v>
          </cell>
          <cell r="AK8">
            <v>25</v>
          </cell>
          <cell r="AL8">
            <v>23</v>
          </cell>
          <cell r="AM8">
            <v>40</v>
          </cell>
        </row>
        <row r="9">
          <cell r="A9">
            <v>706</v>
          </cell>
          <cell r="B9" t="str">
            <v>DEEPIKA PATEL</v>
          </cell>
          <cell r="C9" t="str">
            <v xml:space="preserve">AMIT PATEL </v>
          </cell>
          <cell r="D9" t="str">
            <v>SANGEETA PATEL</v>
          </cell>
          <cell r="E9">
            <v>40696</v>
          </cell>
          <cell r="F9">
            <v>188641175</v>
          </cell>
          <cell r="G9">
            <v>620</v>
          </cell>
          <cell r="H9" t="str">
            <v xml:space="preserve">PAHARUA </v>
          </cell>
          <cell r="I9" t="str">
            <v>7TH</v>
          </cell>
          <cell r="J9" t="str">
            <v>2023-24</v>
          </cell>
          <cell r="K9">
            <v>35</v>
          </cell>
          <cell r="L9">
            <v>34</v>
          </cell>
          <cell r="M9">
            <v>27</v>
          </cell>
          <cell r="N9">
            <v>26</v>
          </cell>
          <cell r="O9">
            <v>27</v>
          </cell>
          <cell r="P9">
            <v>20</v>
          </cell>
          <cell r="Q9">
            <v>28</v>
          </cell>
          <cell r="S9">
            <v>27</v>
          </cell>
          <cell r="T9">
            <v>24</v>
          </cell>
          <cell r="U9">
            <v>25</v>
          </cell>
          <cell r="V9">
            <v>23</v>
          </cell>
          <cell r="W9">
            <v>26</v>
          </cell>
          <cell r="X9">
            <v>26</v>
          </cell>
          <cell r="Y9">
            <v>28</v>
          </cell>
          <cell r="AA9">
            <v>33</v>
          </cell>
          <cell r="AB9">
            <v>27</v>
          </cell>
          <cell r="AC9">
            <v>30</v>
          </cell>
          <cell r="AD9">
            <v>26</v>
          </cell>
          <cell r="AE9">
            <v>29</v>
          </cell>
          <cell r="AF9">
            <v>25</v>
          </cell>
          <cell r="AG9">
            <v>27</v>
          </cell>
          <cell r="AH9">
            <v>23</v>
          </cell>
          <cell r="AI9">
            <v>28</v>
          </cell>
          <cell r="AJ9">
            <v>20</v>
          </cell>
          <cell r="AK9">
            <v>28</v>
          </cell>
          <cell r="AL9">
            <v>25</v>
          </cell>
          <cell r="AM9">
            <v>45</v>
          </cell>
        </row>
        <row r="10">
          <cell r="A10">
            <v>707</v>
          </cell>
          <cell r="B10" t="str">
            <v xml:space="preserve">DEEPALI KOL </v>
          </cell>
          <cell r="C10" t="str">
            <v>DEEPAK KOL</v>
          </cell>
          <cell r="D10" t="str">
            <v>KAMLA BAI</v>
          </cell>
          <cell r="E10">
            <v>40697</v>
          </cell>
          <cell r="F10">
            <v>105904606</v>
          </cell>
          <cell r="G10">
            <v>575</v>
          </cell>
          <cell r="H10" t="str">
            <v>MAHAGAWAN</v>
          </cell>
          <cell r="I10" t="str">
            <v>7TH</v>
          </cell>
          <cell r="J10" t="str">
            <v>2023-24</v>
          </cell>
          <cell r="K10">
            <v>36</v>
          </cell>
          <cell r="L10">
            <v>43</v>
          </cell>
          <cell r="M10">
            <v>31</v>
          </cell>
          <cell r="N10">
            <v>26</v>
          </cell>
          <cell r="O10">
            <v>28</v>
          </cell>
          <cell r="P10">
            <v>20</v>
          </cell>
          <cell r="Q10">
            <v>25</v>
          </cell>
          <cell r="S10">
            <v>27</v>
          </cell>
          <cell r="T10">
            <v>25</v>
          </cell>
          <cell r="U10">
            <v>23</v>
          </cell>
          <cell r="V10">
            <v>25</v>
          </cell>
          <cell r="W10">
            <v>29</v>
          </cell>
          <cell r="X10">
            <v>26</v>
          </cell>
          <cell r="Y10">
            <v>25</v>
          </cell>
          <cell r="AA10">
            <v>35</v>
          </cell>
          <cell r="AB10">
            <v>25</v>
          </cell>
          <cell r="AC10">
            <v>31</v>
          </cell>
          <cell r="AD10">
            <v>26</v>
          </cell>
          <cell r="AE10">
            <v>33</v>
          </cell>
          <cell r="AF10">
            <v>27</v>
          </cell>
          <cell r="AG10">
            <v>29</v>
          </cell>
          <cell r="AH10">
            <v>25</v>
          </cell>
          <cell r="AI10">
            <v>32</v>
          </cell>
          <cell r="AJ10">
            <v>28</v>
          </cell>
          <cell r="AK10">
            <v>31</v>
          </cell>
          <cell r="AL10">
            <v>29</v>
          </cell>
          <cell r="AM10">
            <v>47</v>
          </cell>
        </row>
        <row r="11">
          <cell r="A11">
            <v>708</v>
          </cell>
          <cell r="B11" t="str">
            <v xml:space="preserve">DIVYA KUSHWAHA </v>
          </cell>
          <cell r="C11" t="str">
            <v xml:space="preserve">PURUSHOTTAM </v>
          </cell>
          <cell r="D11" t="str">
            <v>NEELAM</v>
          </cell>
          <cell r="E11" t="str">
            <v>28/06/2010</v>
          </cell>
          <cell r="F11">
            <v>109827595</v>
          </cell>
          <cell r="G11">
            <v>574</v>
          </cell>
          <cell r="H11" t="str">
            <v>MOHLA</v>
          </cell>
          <cell r="I11" t="str">
            <v>7TH</v>
          </cell>
          <cell r="J11" t="str">
            <v>2023-24</v>
          </cell>
          <cell r="K11">
            <v>32</v>
          </cell>
          <cell r="L11">
            <v>31</v>
          </cell>
          <cell r="M11">
            <v>20</v>
          </cell>
          <cell r="N11">
            <v>28</v>
          </cell>
          <cell r="O11">
            <v>27</v>
          </cell>
          <cell r="P11">
            <v>25</v>
          </cell>
          <cell r="Q11">
            <v>20</v>
          </cell>
          <cell r="S11">
            <v>25</v>
          </cell>
          <cell r="T11">
            <v>29</v>
          </cell>
          <cell r="U11">
            <v>25</v>
          </cell>
          <cell r="V11">
            <v>26</v>
          </cell>
          <cell r="W11">
            <v>26</v>
          </cell>
          <cell r="X11">
            <v>25</v>
          </cell>
          <cell r="Y11">
            <v>26</v>
          </cell>
          <cell r="AA11">
            <v>24</v>
          </cell>
          <cell r="AB11">
            <v>23</v>
          </cell>
          <cell r="AC11">
            <v>26</v>
          </cell>
          <cell r="AD11">
            <v>25</v>
          </cell>
          <cell r="AE11">
            <v>24</v>
          </cell>
          <cell r="AF11">
            <v>20</v>
          </cell>
          <cell r="AG11">
            <v>21</v>
          </cell>
          <cell r="AH11">
            <v>20</v>
          </cell>
          <cell r="AI11">
            <v>25</v>
          </cell>
          <cell r="AJ11">
            <v>24</v>
          </cell>
          <cell r="AK11">
            <v>27</v>
          </cell>
          <cell r="AL11">
            <v>21</v>
          </cell>
          <cell r="AM11">
            <v>33</v>
          </cell>
        </row>
        <row r="12">
          <cell r="A12">
            <v>709</v>
          </cell>
          <cell r="B12" t="str">
            <v>DURGA KACHHI</v>
          </cell>
          <cell r="C12" t="str">
            <v>PRAKSH KACHHI</v>
          </cell>
          <cell r="D12" t="str">
            <v xml:space="preserve">RAJNI </v>
          </cell>
          <cell r="E12" t="str">
            <v>16/03/2010</v>
          </cell>
          <cell r="F12">
            <v>109448858</v>
          </cell>
          <cell r="G12">
            <v>1362</v>
          </cell>
          <cell r="H12" t="str">
            <v>JAULI</v>
          </cell>
          <cell r="I12" t="str">
            <v>7TH</v>
          </cell>
          <cell r="J12" t="str">
            <v>2023-24</v>
          </cell>
          <cell r="K12">
            <v>20</v>
          </cell>
          <cell r="L12">
            <v>20</v>
          </cell>
          <cell r="M12">
            <v>25</v>
          </cell>
          <cell r="N12">
            <v>25</v>
          </cell>
          <cell r="O12">
            <v>25</v>
          </cell>
          <cell r="P12">
            <v>20</v>
          </cell>
          <cell r="Q12">
            <v>49</v>
          </cell>
          <cell r="S12">
            <v>24</v>
          </cell>
          <cell r="T12">
            <v>29</v>
          </cell>
          <cell r="U12">
            <v>26</v>
          </cell>
          <cell r="V12">
            <v>25</v>
          </cell>
          <cell r="W12">
            <v>28</v>
          </cell>
          <cell r="X12">
            <v>28</v>
          </cell>
          <cell r="Y12">
            <v>26</v>
          </cell>
          <cell r="AA12">
            <v>30</v>
          </cell>
          <cell r="AB12">
            <v>25</v>
          </cell>
          <cell r="AC12">
            <v>25</v>
          </cell>
          <cell r="AD12">
            <v>21</v>
          </cell>
          <cell r="AE12">
            <v>29</v>
          </cell>
          <cell r="AF12">
            <v>24</v>
          </cell>
          <cell r="AG12">
            <v>24</v>
          </cell>
          <cell r="AH12">
            <v>20</v>
          </cell>
          <cell r="AI12">
            <v>26</v>
          </cell>
          <cell r="AJ12">
            <v>22</v>
          </cell>
          <cell r="AK12">
            <v>28</v>
          </cell>
          <cell r="AL12">
            <v>24</v>
          </cell>
          <cell r="AM12">
            <v>35</v>
          </cell>
        </row>
        <row r="13">
          <cell r="A13">
            <v>710</v>
          </cell>
          <cell r="B13" t="str">
            <v xml:space="preserve">DURGA YADAV </v>
          </cell>
          <cell r="C13" t="str">
            <v xml:space="preserve">RAKESH  YADAV </v>
          </cell>
          <cell r="D13" t="str">
            <v>LATA YADAV</v>
          </cell>
          <cell r="E13">
            <v>40734</v>
          </cell>
          <cell r="F13">
            <v>132182414</v>
          </cell>
          <cell r="G13">
            <v>619</v>
          </cell>
          <cell r="H13" t="str">
            <v>DHANGAWAN</v>
          </cell>
          <cell r="I13" t="str">
            <v>7TH</v>
          </cell>
          <cell r="J13" t="str">
            <v>2023-24</v>
          </cell>
          <cell r="K13">
            <v>42</v>
          </cell>
          <cell r="L13">
            <v>40</v>
          </cell>
          <cell r="M13">
            <v>48</v>
          </cell>
          <cell r="N13">
            <v>21</v>
          </cell>
          <cell r="O13">
            <v>33</v>
          </cell>
          <cell r="P13">
            <v>27</v>
          </cell>
          <cell r="Q13">
            <v>22</v>
          </cell>
          <cell r="S13">
            <v>51</v>
          </cell>
          <cell r="T13">
            <v>28</v>
          </cell>
          <cell r="U13">
            <v>46</v>
          </cell>
          <cell r="V13">
            <v>36</v>
          </cell>
          <cell r="W13">
            <v>26</v>
          </cell>
          <cell r="X13">
            <v>26</v>
          </cell>
          <cell r="Y13">
            <v>29</v>
          </cell>
          <cell r="AA13">
            <v>45</v>
          </cell>
          <cell r="AB13">
            <v>38</v>
          </cell>
          <cell r="AC13">
            <v>49</v>
          </cell>
          <cell r="AD13">
            <v>36</v>
          </cell>
          <cell r="AE13">
            <v>52</v>
          </cell>
          <cell r="AF13">
            <v>40</v>
          </cell>
          <cell r="AG13">
            <v>40</v>
          </cell>
          <cell r="AH13">
            <v>37</v>
          </cell>
          <cell r="AI13">
            <v>39</v>
          </cell>
          <cell r="AJ13">
            <v>36</v>
          </cell>
          <cell r="AK13">
            <v>40</v>
          </cell>
          <cell r="AL13">
            <v>35</v>
          </cell>
          <cell r="AM13">
            <v>57</v>
          </cell>
        </row>
        <row r="14">
          <cell r="A14">
            <v>711</v>
          </cell>
          <cell r="B14" t="str">
            <v xml:space="preserve">GOURI PATEL </v>
          </cell>
          <cell r="C14" t="str">
            <v xml:space="preserve">JAY PRAKSH PATEL </v>
          </cell>
          <cell r="D14" t="str">
            <v xml:space="preserve">REKHA PATEL </v>
          </cell>
          <cell r="E14">
            <v>40763</v>
          </cell>
          <cell r="F14">
            <v>189483557</v>
          </cell>
          <cell r="G14">
            <v>621</v>
          </cell>
          <cell r="H14" t="str">
            <v>MOHLA</v>
          </cell>
          <cell r="I14" t="str">
            <v>7TH</v>
          </cell>
          <cell r="J14" t="str">
            <v>2023-24</v>
          </cell>
          <cell r="K14">
            <v>29</v>
          </cell>
          <cell r="L14">
            <v>33</v>
          </cell>
          <cell r="M14">
            <v>28</v>
          </cell>
          <cell r="N14">
            <v>44</v>
          </cell>
          <cell r="O14">
            <v>30</v>
          </cell>
          <cell r="P14">
            <v>22</v>
          </cell>
          <cell r="Q14">
            <v>17</v>
          </cell>
          <cell r="S14">
            <v>33</v>
          </cell>
          <cell r="T14">
            <v>27</v>
          </cell>
          <cell r="U14">
            <v>25</v>
          </cell>
          <cell r="V14">
            <v>26</v>
          </cell>
          <cell r="W14">
            <v>26</v>
          </cell>
          <cell r="X14">
            <v>26</v>
          </cell>
          <cell r="Y14">
            <v>29</v>
          </cell>
          <cell r="AA14">
            <v>37</v>
          </cell>
          <cell r="AB14">
            <v>25</v>
          </cell>
          <cell r="AC14">
            <v>33</v>
          </cell>
          <cell r="AD14">
            <v>24</v>
          </cell>
          <cell r="AE14">
            <v>36</v>
          </cell>
          <cell r="AF14">
            <v>30</v>
          </cell>
          <cell r="AG14">
            <v>35</v>
          </cell>
          <cell r="AH14">
            <v>28</v>
          </cell>
          <cell r="AI14">
            <v>31</v>
          </cell>
          <cell r="AJ14">
            <v>30</v>
          </cell>
          <cell r="AK14">
            <v>36</v>
          </cell>
          <cell r="AL14">
            <v>32</v>
          </cell>
          <cell r="AM14">
            <v>53</v>
          </cell>
        </row>
        <row r="15">
          <cell r="A15">
            <v>712</v>
          </cell>
          <cell r="B15" t="str">
            <v xml:space="preserve">GAURI VISHWAKARMA </v>
          </cell>
          <cell r="C15" t="str">
            <v>PRAMOD VISHWAKARMA</v>
          </cell>
          <cell r="D15" t="str">
            <v xml:space="preserve">KALPNA VISHWAKARMA </v>
          </cell>
          <cell r="E15" t="str">
            <v>30/12/2010</v>
          </cell>
          <cell r="F15">
            <v>198590162</v>
          </cell>
          <cell r="G15">
            <v>623</v>
          </cell>
          <cell r="H15" t="str">
            <v>MOHLA</v>
          </cell>
          <cell r="I15" t="str">
            <v>7TH</v>
          </cell>
          <cell r="J15" t="str">
            <v>2023-24</v>
          </cell>
          <cell r="K15">
            <v>40</v>
          </cell>
          <cell r="L15">
            <v>40</v>
          </cell>
          <cell r="M15">
            <v>40</v>
          </cell>
          <cell r="N15">
            <v>24</v>
          </cell>
          <cell r="O15">
            <v>32</v>
          </cell>
          <cell r="P15">
            <v>20</v>
          </cell>
          <cell r="Q15">
            <v>20</v>
          </cell>
          <cell r="S15">
            <v>46</v>
          </cell>
          <cell r="T15">
            <v>25</v>
          </cell>
          <cell r="U15">
            <v>44</v>
          </cell>
          <cell r="V15">
            <v>29</v>
          </cell>
          <cell r="W15">
            <v>28</v>
          </cell>
          <cell r="X15">
            <v>25</v>
          </cell>
          <cell r="Y15">
            <v>34</v>
          </cell>
          <cell r="AA15">
            <v>40</v>
          </cell>
          <cell r="AB15">
            <v>30</v>
          </cell>
          <cell r="AC15">
            <v>45</v>
          </cell>
          <cell r="AD15">
            <v>37</v>
          </cell>
          <cell r="AE15">
            <v>52</v>
          </cell>
          <cell r="AF15">
            <v>39</v>
          </cell>
          <cell r="AG15">
            <v>43</v>
          </cell>
          <cell r="AH15">
            <v>37</v>
          </cell>
          <cell r="AI15">
            <v>41</v>
          </cell>
          <cell r="AJ15">
            <v>38</v>
          </cell>
          <cell r="AK15">
            <v>42</v>
          </cell>
          <cell r="AL15">
            <v>39</v>
          </cell>
          <cell r="AM15">
            <v>60</v>
          </cell>
        </row>
        <row r="16">
          <cell r="A16">
            <v>713</v>
          </cell>
          <cell r="B16" t="str">
            <v>IKCHHA KOL</v>
          </cell>
          <cell r="C16" t="str">
            <v xml:space="preserve">SUNIL KOL </v>
          </cell>
          <cell r="D16" t="str">
            <v xml:space="preserve">KIRAN KOL </v>
          </cell>
          <cell r="E16" t="str">
            <v>13/07/2010</v>
          </cell>
          <cell r="F16">
            <v>104424899</v>
          </cell>
          <cell r="G16">
            <v>576</v>
          </cell>
          <cell r="H16" t="str">
            <v>HARDUAKALA</v>
          </cell>
          <cell r="I16" t="str">
            <v>7TH</v>
          </cell>
          <cell r="J16" t="str">
            <v>2023-24</v>
          </cell>
          <cell r="K16">
            <v>26</v>
          </cell>
          <cell r="L16">
            <v>22</v>
          </cell>
          <cell r="M16">
            <v>27</v>
          </cell>
          <cell r="N16">
            <v>36</v>
          </cell>
          <cell r="O16">
            <v>21</v>
          </cell>
          <cell r="P16">
            <v>20</v>
          </cell>
          <cell r="Q16">
            <v>34</v>
          </cell>
          <cell r="S16">
            <v>34</v>
          </cell>
          <cell r="T16">
            <v>26</v>
          </cell>
          <cell r="U16">
            <v>27</v>
          </cell>
          <cell r="V16">
            <v>28</v>
          </cell>
          <cell r="W16">
            <v>36</v>
          </cell>
          <cell r="X16">
            <v>26</v>
          </cell>
          <cell r="Y16">
            <v>28</v>
          </cell>
          <cell r="AA16">
            <v>29</v>
          </cell>
          <cell r="AB16">
            <v>25</v>
          </cell>
          <cell r="AC16">
            <v>31</v>
          </cell>
          <cell r="AD16">
            <v>29</v>
          </cell>
          <cell r="AE16">
            <v>29</v>
          </cell>
          <cell r="AF16">
            <v>25</v>
          </cell>
          <cell r="AG16">
            <v>24</v>
          </cell>
          <cell r="AH16">
            <v>20</v>
          </cell>
          <cell r="AI16">
            <v>26</v>
          </cell>
          <cell r="AJ16">
            <v>22</v>
          </cell>
          <cell r="AK16">
            <v>40</v>
          </cell>
          <cell r="AL16">
            <v>30</v>
          </cell>
          <cell r="AM16">
            <v>47</v>
          </cell>
        </row>
        <row r="17">
          <cell r="A17">
            <v>714</v>
          </cell>
          <cell r="B17" t="str">
            <v xml:space="preserve">MANU LODHI </v>
          </cell>
          <cell r="C17" t="str">
            <v xml:space="preserve">ANIL LODHHI </v>
          </cell>
          <cell r="D17" t="str">
            <v xml:space="preserve">SHILA BAI </v>
          </cell>
          <cell r="E17" t="str">
            <v>29/01/2011</v>
          </cell>
          <cell r="F17">
            <v>109358112</v>
          </cell>
          <cell r="G17">
            <v>617</v>
          </cell>
          <cell r="H17" t="str">
            <v>D.KHAMARIYA</v>
          </cell>
          <cell r="I17" t="str">
            <v>7TH</v>
          </cell>
          <cell r="J17" t="str">
            <v>2023-24</v>
          </cell>
          <cell r="K17">
            <v>39</v>
          </cell>
          <cell r="L17">
            <v>43</v>
          </cell>
          <cell r="M17">
            <v>44</v>
          </cell>
          <cell r="N17">
            <v>21</v>
          </cell>
          <cell r="O17">
            <v>29</v>
          </cell>
          <cell r="P17">
            <v>29</v>
          </cell>
          <cell r="Q17">
            <v>30</v>
          </cell>
          <cell r="S17">
            <v>53</v>
          </cell>
          <cell r="T17">
            <v>26</v>
          </cell>
          <cell r="U17">
            <v>50</v>
          </cell>
          <cell r="V17">
            <v>35</v>
          </cell>
          <cell r="W17">
            <v>25</v>
          </cell>
          <cell r="X17">
            <v>25</v>
          </cell>
          <cell r="Y17">
            <v>26</v>
          </cell>
          <cell r="AA17">
            <v>46</v>
          </cell>
          <cell r="AB17">
            <v>38</v>
          </cell>
          <cell r="AC17">
            <v>43</v>
          </cell>
          <cell r="AD17">
            <v>35</v>
          </cell>
          <cell r="AE17">
            <v>53</v>
          </cell>
          <cell r="AF17">
            <v>39</v>
          </cell>
          <cell r="AG17">
            <v>39</v>
          </cell>
          <cell r="AH17">
            <v>30</v>
          </cell>
          <cell r="AI17">
            <v>47</v>
          </cell>
          <cell r="AJ17">
            <v>35</v>
          </cell>
          <cell r="AK17">
            <v>41</v>
          </cell>
          <cell r="AL17">
            <v>33</v>
          </cell>
          <cell r="AM17">
            <v>56</v>
          </cell>
        </row>
        <row r="18">
          <cell r="A18">
            <v>715</v>
          </cell>
          <cell r="B18" t="str">
            <v>NIKKI KOL</v>
          </cell>
          <cell r="C18" t="str">
            <v>RAM VILASH</v>
          </cell>
          <cell r="D18" t="str">
            <v xml:space="preserve">SONIYA </v>
          </cell>
          <cell r="E18">
            <v>40641</v>
          </cell>
          <cell r="F18">
            <v>191219290</v>
          </cell>
          <cell r="G18">
            <v>579</v>
          </cell>
          <cell r="H18" t="str">
            <v>MAJAULI</v>
          </cell>
          <cell r="I18" t="str">
            <v>7TH</v>
          </cell>
          <cell r="J18" t="str">
            <v>2023-24</v>
          </cell>
          <cell r="K18">
            <v>37</v>
          </cell>
          <cell r="L18">
            <v>33</v>
          </cell>
          <cell r="M18">
            <v>32</v>
          </cell>
          <cell r="N18">
            <v>27</v>
          </cell>
          <cell r="O18">
            <v>18</v>
          </cell>
          <cell r="P18">
            <v>26</v>
          </cell>
          <cell r="Q18">
            <v>40</v>
          </cell>
          <cell r="S18">
            <v>44</v>
          </cell>
          <cell r="T18">
            <v>24</v>
          </cell>
          <cell r="U18">
            <v>40</v>
          </cell>
          <cell r="V18">
            <v>22</v>
          </cell>
          <cell r="W18">
            <v>29</v>
          </cell>
          <cell r="X18">
            <v>26</v>
          </cell>
          <cell r="Y18">
            <v>25</v>
          </cell>
          <cell r="AA18">
            <v>35</v>
          </cell>
          <cell r="AB18">
            <v>35</v>
          </cell>
          <cell r="AC18">
            <v>39</v>
          </cell>
          <cell r="AD18">
            <v>30</v>
          </cell>
          <cell r="AE18">
            <v>43</v>
          </cell>
          <cell r="AF18">
            <v>32</v>
          </cell>
          <cell r="AG18">
            <v>29</v>
          </cell>
          <cell r="AH18">
            <v>25</v>
          </cell>
          <cell r="AI18">
            <v>34</v>
          </cell>
          <cell r="AJ18">
            <v>30</v>
          </cell>
          <cell r="AK18">
            <v>35</v>
          </cell>
          <cell r="AL18">
            <v>32</v>
          </cell>
          <cell r="AM18">
            <v>57</v>
          </cell>
        </row>
        <row r="19">
          <cell r="A19">
            <v>716</v>
          </cell>
          <cell r="B19" t="str">
            <v xml:space="preserve">RIDDHI SINGH PARIHAR </v>
          </cell>
          <cell r="C19" t="str">
            <v xml:space="preserve">PANKAJ PARIHAR </v>
          </cell>
          <cell r="D19" t="str">
            <v xml:space="preserve">AMRATA </v>
          </cell>
          <cell r="E19" t="str">
            <v>16/06/2011</v>
          </cell>
          <cell r="F19">
            <v>109734244</v>
          </cell>
          <cell r="G19">
            <v>581</v>
          </cell>
          <cell r="H19" t="str">
            <v>MOHLA</v>
          </cell>
          <cell r="I19" t="str">
            <v>7TH</v>
          </cell>
          <cell r="J19" t="str">
            <v>2023-24</v>
          </cell>
          <cell r="K19">
            <v>43</v>
          </cell>
          <cell r="L19">
            <v>42</v>
          </cell>
          <cell r="M19">
            <v>47</v>
          </cell>
          <cell r="N19">
            <v>21</v>
          </cell>
          <cell r="O19">
            <v>35</v>
          </cell>
          <cell r="P19">
            <v>29</v>
          </cell>
          <cell r="Q19">
            <v>32</v>
          </cell>
          <cell r="S19">
            <v>59</v>
          </cell>
          <cell r="T19">
            <v>25</v>
          </cell>
          <cell r="U19">
            <v>49</v>
          </cell>
          <cell r="V19">
            <v>41</v>
          </cell>
          <cell r="W19">
            <v>29</v>
          </cell>
          <cell r="X19">
            <v>25</v>
          </cell>
          <cell r="Y19">
            <v>26</v>
          </cell>
          <cell r="AA19">
            <v>54</v>
          </cell>
          <cell r="AB19">
            <v>27</v>
          </cell>
          <cell r="AC19">
            <v>51</v>
          </cell>
          <cell r="AD19">
            <v>38</v>
          </cell>
          <cell r="AE19">
            <v>58</v>
          </cell>
          <cell r="AF19">
            <v>40</v>
          </cell>
          <cell r="AG19">
            <v>47</v>
          </cell>
          <cell r="AH19">
            <v>39</v>
          </cell>
          <cell r="AI19">
            <v>46</v>
          </cell>
          <cell r="AJ19">
            <v>38</v>
          </cell>
          <cell r="AK19">
            <v>39</v>
          </cell>
          <cell r="AL19">
            <v>36</v>
          </cell>
          <cell r="AM19">
            <v>60</v>
          </cell>
        </row>
        <row r="20">
          <cell r="A20">
            <v>717</v>
          </cell>
          <cell r="B20" t="str">
            <v xml:space="preserve">SHIVANI KOL </v>
          </cell>
          <cell r="C20" t="str">
            <v xml:space="preserve">RAMOLI RAM </v>
          </cell>
          <cell r="D20" t="str">
            <v>GULAB BAI</v>
          </cell>
          <cell r="E20" t="str">
            <v>17/04/2010</v>
          </cell>
          <cell r="F20">
            <v>108205432</v>
          </cell>
          <cell r="G20">
            <v>627</v>
          </cell>
          <cell r="H20" t="str">
            <v>DUNDI</v>
          </cell>
          <cell r="I20" t="str">
            <v>7TH</v>
          </cell>
          <cell r="J20" t="str">
            <v>2023-24</v>
          </cell>
          <cell r="K20">
            <v>37</v>
          </cell>
          <cell r="L20">
            <v>45</v>
          </cell>
          <cell r="M20">
            <v>37</v>
          </cell>
          <cell r="N20">
            <v>42</v>
          </cell>
          <cell r="O20">
            <v>30</v>
          </cell>
          <cell r="P20">
            <v>28</v>
          </cell>
          <cell r="Q20">
            <v>21</v>
          </cell>
          <cell r="S20">
            <v>42</v>
          </cell>
          <cell r="T20">
            <v>28</v>
          </cell>
          <cell r="U20">
            <v>34</v>
          </cell>
          <cell r="V20">
            <v>20</v>
          </cell>
          <cell r="W20">
            <v>28</v>
          </cell>
          <cell r="X20">
            <v>25</v>
          </cell>
          <cell r="Y20">
            <v>28</v>
          </cell>
          <cell r="AA20">
            <v>36</v>
          </cell>
          <cell r="AB20">
            <v>22</v>
          </cell>
          <cell r="AC20">
            <v>36</v>
          </cell>
          <cell r="AD20">
            <v>28</v>
          </cell>
          <cell r="AE20">
            <v>35</v>
          </cell>
          <cell r="AF20">
            <v>30</v>
          </cell>
          <cell r="AG20">
            <v>34</v>
          </cell>
          <cell r="AH20">
            <v>32</v>
          </cell>
          <cell r="AI20">
            <v>30</v>
          </cell>
          <cell r="AJ20">
            <v>28</v>
          </cell>
          <cell r="AK20">
            <v>37</v>
          </cell>
          <cell r="AL20">
            <v>31</v>
          </cell>
          <cell r="AM20">
            <v>55</v>
          </cell>
        </row>
        <row r="21">
          <cell r="A21">
            <v>718</v>
          </cell>
          <cell r="B21" t="str">
            <v xml:space="preserve">SHRADDHA KURMI </v>
          </cell>
          <cell r="C21" t="str">
            <v xml:space="preserve">ANIL KURMI </v>
          </cell>
          <cell r="D21" t="str">
            <v xml:space="preserve">RADHA  KURMI </v>
          </cell>
          <cell r="E21">
            <v>41160</v>
          </cell>
          <cell r="F21">
            <v>111727180</v>
          </cell>
          <cell r="G21">
            <v>927</v>
          </cell>
          <cell r="H21" t="str">
            <v>MAHAGAWAN</v>
          </cell>
          <cell r="I21" t="str">
            <v>7TH</v>
          </cell>
          <cell r="J21" t="str">
            <v>2023-24</v>
          </cell>
          <cell r="K21">
            <v>34</v>
          </cell>
          <cell r="L21">
            <v>38</v>
          </cell>
          <cell r="M21">
            <v>30</v>
          </cell>
          <cell r="N21">
            <v>43</v>
          </cell>
          <cell r="O21">
            <v>25</v>
          </cell>
          <cell r="P21">
            <v>20</v>
          </cell>
          <cell r="Q21">
            <v>30</v>
          </cell>
          <cell r="S21">
            <v>27</v>
          </cell>
          <cell r="T21">
            <v>26</v>
          </cell>
          <cell r="U21">
            <v>42</v>
          </cell>
          <cell r="V21">
            <v>32</v>
          </cell>
          <cell r="W21">
            <v>43</v>
          </cell>
          <cell r="X21">
            <v>26</v>
          </cell>
          <cell r="Y21">
            <v>45</v>
          </cell>
          <cell r="AA21">
            <v>38</v>
          </cell>
          <cell r="AB21">
            <v>19</v>
          </cell>
          <cell r="AC21">
            <v>35</v>
          </cell>
          <cell r="AD21">
            <v>30</v>
          </cell>
          <cell r="AE21">
            <v>34</v>
          </cell>
          <cell r="AF21">
            <v>32</v>
          </cell>
          <cell r="AG21">
            <v>30</v>
          </cell>
          <cell r="AH21">
            <v>28</v>
          </cell>
          <cell r="AI21">
            <v>36</v>
          </cell>
          <cell r="AJ21">
            <v>34</v>
          </cell>
          <cell r="AK21">
            <v>36</v>
          </cell>
          <cell r="AL21">
            <v>30</v>
          </cell>
          <cell r="AM21">
            <v>48</v>
          </cell>
        </row>
        <row r="22">
          <cell r="A22">
            <v>719</v>
          </cell>
          <cell r="B22" t="str">
            <v xml:space="preserve">SHREYANSHI YADAV </v>
          </cell>
          <cell r="C22" t="str">
            <v xml:space="preserve">SUSHEEL YADAV </v>
          </cell>
          <cell r="D22" t="str">
            <v xml:space="preserve">SARASWATI </v>
          </cell>
          <cell r="E22">
            <v>40735</v>
          </cell>
          <cell r="F22">
            <v>199084565</v>
          </cell>
          <cell r="G22">
            <v>583</v>
          </cell>
          <cell r="H22" t="str">
            <v>BARGI</v>
          </cell>
          <cell r="I22" t="str">
            <v>7TH</v>
          </cell>
          <cell r="J22" t="str">
            <v>2023-24</v>
          </cell>
          <cell r="K22">
            <v>30</v>
          </cell>
          <cell r="L22">
            <v>21</v>
          </cell>
          <cell r="M22">
            <v>32</v>
          </cell>
          <cell r="N22">
            <v>25</v>
          </cell>
          <cell r="O22">
            <v>17</v>
          </cell>
          <cell r="P22">
            <v>19</v>
          </cell>
          <cell r="Q22">
            <v>27</v>
          </cell>
          <cell r="S22">
            <v>29</v>
          </cell>
          <cell r="T22">
            <v>25</v>
          </cell>
          <cell r="U22">
            <v>37</v>
          </cell>
          <cell r="V22">
            <v>26</v>
          </cell>
          <cell r="W22">
            <v>26</v>
          </cell>
          <cell r="X22">
            <v>25</v>
          </cell>
          <cell r="Y22">
            <v>25</v>
          </cell>
          <cell r="AA22">
            <v>39</v>
          </cell>
          <cell r="AB22">
            <v>22</v>
          </cell>
          <cell r="AC22">
            <v>33</v>
          </cell>
          <cell r="AD22">
            <v>28</v>
          </cell>
          <cell r="AE22">
            <v>35</v>
          </cell>
          <cell r="AF22">
            <v>27</v>
          </cell>
          <cell r="AG22">
            <v>32</v>
          </cell>
          <cell r="AH22">
            <v>26</v>
          </cell>
          <cell r="AI22">
            <v>31</v>
          </cell>
          <cell r="AJ22">
            <v>29</v>
          </cell>
          <cell r="AK22">
            <v>34</v>
          </cell>
          <cell r="AL22">
            <v>32</v>
          </cell>
          <cell r="AM22">
            <v>48</v>
          </cell>
        </row>
        <row r="23">
          <cell r="A23">
            <v>720</v>
          </cell>
          <cell r="B23" t="str">
            <v xml:space="preserve">SIDDHI SINGH PARIHAR </v>
          </cell>
          <cell r="C23" t="str">
            <v xml:space="preserve">PANKAJ PARIHAR </v>
          </cell>
          <cell r="D23" t="str">
            <v xml:space="preserve">AMRATA </v>
          </cell>
          <cell r="E23" t="str">
            <v>16/06/2011</v>
          </cell>
          <cell r="F23">
            <v>109736244</v>
          </cell>
          <cell r="G23">
            <v>582</v>
          </cell>
          <cell r="H23" t="str">
            <v>MOHLA</v>
          </cell>
          <cell r="I23" t="str">
            <v>7TH</v>
          </cell>
          <cell r="J23" t="str">
            <v>2023-24</v>
          </cell>
          <cell r="K23">
            <v>20</v>
          </cell>
          <cell r="L23">
            <v>26</v>
          </cell>
          <cell r="M23">
            <v>20</v>
          </cell>
          <cell r="N23">
            <v>25</v>
          </cell>
          <cell r="O23">
            <v>18</v>
          </cell>
          <cell r="P23">
            <v>19</v>
          </cell>
          <cell r="Q23">
            <v>38</v>
          </cell>
          <cell r="S23">
            <v>26</v>
          </cell>
          <cell r="T23">
            <v>29</v>
          </cell>
          <cell r="U23">
            <v>36</v>
          </cell>
          <cell r="V23">
            <v>25</v>
          </cell>
          <cell r="W23">
            <v>26</v>
          </cell>
          <cell r="X23">
            <v>25</v>
          </cell>
          <cell r="Y23">
            <v>26</v>
          </cell>
          <cell r="AA23">
            <v>26</v>
          </cell>
          <cell r="AB23">
            <v>38</v>
          </cell>
          <cell r="AC23">
            <v>25</v>
          </cell>
          <cell r="AD23">
            <v>20</v>
          </cell>
          <cell r="AE23">
            <v>27</v>
          </cell>
          <cell r="AF23">
            <v>25</v>
          </cell>
          <cell r="AG23">
            <v>23</v>
          </cell>
          <cell r="AH23">
            <v>20</v>
          </cell>
          <cell r="AI23">
            <v>29</v>
          </cell>
          <cell r="AJ23">
            <v>25</v>
          </cell>
          <cell r="AK23">
            <v>24</v>
          </cell>
          <cell r="AL23">
            <v>20</v>
          </cell>
          <cell r="AM23">
            <v>47</v>
          </cell>
        </row>
        <row r="24">
          <cell r="A24">
            <v>721</v>
          </cell>
          <cell r="B24" t="str">
            <v xml:space="preserve">SUHANI PATEL </v>
          </cell>
          <cell r="C24" t="str">
            <v xml:space="preserve">RAJESH PATEL </v>
          </cell>
          <cell r="D24" t="str">
            <v xml:space="preserve">GAYATRI PATEL </v>
          </cell>
          <cell r="E24" t="str">
            <v>16/07/2010</v>
          </cell>
          <cell r="F24">
            <v>110955931</v>
          </cell>
          <cell r="G24">
            <v>628</v>
          </cell>
          <cell r="H24" t="str">
            <v xml:space="preserve">PAHARUA </v>
          </cell>
          <cell r="I24" t="str">
            <v>7TH</v>
          </cell>
          <cell r="J24" t="str">
            <v>2023-24</v>
          </cell>
          <cell r="K24">
            <v>43</v>
          </cell>
          <cell r="L24">
            <v>41</v>
          </cell>
          <cell r="M24">
            <v>41</v>
          </cell>
          <cell r="N24">
            <v>25</v>
          </cell>
          <cell r="O24">
            <v>26</v>
          </cell>
          <cell r="P24">
            <v>29</v>
          </cell>
          <cell r="Q24">
            <v>31</v>
          </cell>
          <cell r="S24">
            <v>50</v>
          </cell>
          <cell r="T24">
            <v>25</v>
          </cell>
          <cell r="U24">
            <v>52</v>
          </cell>
          <cell r="V24">
            <v>25</v>
          </cell>
          <cell r="W24">
            <v>27</v>
          </cell>
          <cell r="X24">
            <v>26</v>
          </cell>
          <cell r="Y24">
            <v>28</v>
          </cell>
          <cell r="AA24">
            <v>42</v>
          </cell>
          <cell r="AB24">
            <v>28</v>
          </cell>
          <cell r="AC24">
            <v>46</v>
          </cell>
          <cell r="AD24">
            <v>27</v>
          </cell>
          <cell r="AE24">
            <v>40</v>
          </cell>
          <cell r="AF24">
            <v>36</v>
          </cell>
          <cell r="AG24">
            <v>46</v>
          </cell>
          <cell r="AH24">
            <v>38</v>
          </cell>
          <cell r="AI24">
            <v>46</v>
          </cell>
          <cell r="AJ24">
            <v>37</v>
          </cell>
          <cell r="AK24">
            <v>44</v>
          </cell>
          <cell r="AL24">
            <v>38</v>
          </cell>
          <cell r="AM24">
            <v>60</v>
          </cell>
        </row>
        <row r="25">
          <cell r="A25">
            <v>722</v>
          </cell>
          <cell r="B25" t="str">
            <v>ABHAY KUMAR PATEL</v>
          </cell>
          <cell r="C25" t="str">
            <v xml:space="preserve">RAMHIT PATEL </v>
          </cell>
          <cell r="D25" t="str">
            <v xml:space="preserve">SAVITA BAI </v>
          </cell>
          <cell r="E25">
            <v>40911</v>
          </cell>
          <cell r="F25">
            <v>109539526</v>
          </cell>
          <cell r="G25">
            <v>602</v>
          </cell>
          <cell r="H25" t="str">
            <v>MOHLA</v>
          </cell>
          <cell r="I25" t="str">
            <v>7TH</v>
          </cell>
          <cell r="J25" t="str">
            <v>2023-24</v>
          </cell>
          <cell r="K25">
            <v>43</v>
          </cell>
          <cell r="L25">
            <v>43</v>
          </cell>
          <cell r="M25">
            <v>40</v>
          </cell>
          <cell r="N25">
            <v>37</v>
          </cell>
          <cell r="O25">
            <v>35</v>
          </cell>
          <cell r="P25">
            <v>28</v>
          </cell>
          <cell r="Q25">
            <v>18</v>
          </cell>
          <cell r="S25">
            <v>44</v>
          </cell>
          <cell r="T25">
            <v>26</v>
          </cell>
          <cell r="U25">
            <v>49</v>
          </cell>
          <cell r="V25">
            <v>25</v>
          </cell>
          <cell r="W25">
            <v>26</v>
          </cell>
          <cell r="X25">
            <v>27</v>
          </cell>
          <cell r="Y25">
            <v>29</v>
          </cell>
          <cell r="AA25">
            <v>36</v>
          </cell>
          <cell r="AB25">
            <v>24</v>
          </cell>
          <cell r="AC25">
            <v>40</v>
          </cell>
          <cell r="AD25">
            <v>35</v>
          </cell>
          <cell r="AE25">
            <v>43</v>
          </cell>
          <cell r="AF25">
            <v>32</v>
          </cell>
          <cell r="AG25">
            <v>40</v>
          </cell>
          <cell r="AH25">
            <v>35</v>
          </cell>
          <cell r="AI25">
            <v>39</v>
          </cell>
          <cell r="AJ25">
            <v>38</v>
          </cell>
          <cell r="AK25">
            <v>32</v>
          </cell>
          <cell r="AL25">
            <v>30</v>
          </cell>
          <cell r="AM25">
            <v>60</v>
          </cell>
        </row>
        <row r="26">
          <cell r="A26">
            <v>723</v>
          </cell>
          <cell r="B26" t="str">
            <v>ASHISH PATEL</v>
          </cell>
          <cell r="C26" t="str">
            <v xml:space="preserve">RAJ KUMAR </v>
          </cell>
          <cell r="D26" t="str">
            <v xml:space="preserve">INDRA BAI </v>
          </cell>
          <cell r="E26">
            <v>40940</v>
          </cell>
          <cell r="F26">
            <v>106292218</v>
          </cell>
          <cell r="G26">
            <v>586</v>
          </cell>
          <cell r="H26" t="str">
            <v xml:space="preserve">PAHARUA </v>
          </cell>
          <cell r="I26" t="str">
            <v>7TH</v>
          </cell>
          <cell r="J26" t="str">
            <v>2023-24</v>
          </cell>
          <cell r="K26">
            <v>28</v>
          </cell>
          <cell r="L26">
            <v>39</v>
          </cell>
          <cell r="M26">
            <v>41</v>
          </cell>
          <cell r="N26">
            <v>30</v>
          </cell>
          <cell r="O26">
            <v>26</v>
          </cell>
          <cell r="P26">
            <v>29</v>
          </cell>
          <cell r="Q26">
            <v>20</v>
          </cell>
          <cell r="S26">
            <v>28</v>
          </cell>
          <cell r="T26">
            <v>26</v>
          </cell>
          <cell r="U26">
            <v>24</v>
          </cell>
          <cell r="V26">
            <v>25</v>
          </cell>
          <cell r="W26">
            <v>25</v>
          </cell>
          <cell r="X26">
            <v>26</v>
          </cell>
          <cell r="Y26">
            <v>24</v>
          </cell>
          <cell r="AA26">
            <v>26</v>
          </cell>
          <cell r="AB26">
            <v>18</v>
          </cell>
          <cell r="AC26">
            <v>28</v>
          </cell>
          <cell r="AD26">
            <v>26</v>
          </cell>
          <cell r="AE26">
            <v>28</v>
          </cell>
          <cell r="AF26">
            <v>22</v>
          </cell>
          <cell r="AG26">
            <v>27</v>
          </cell>
          <cell r="AH26">
            <v>24</v>
          </cell>
          <cell r="AI26">
            <v>26</v>
          </cell>
          <cell r="AJ26">
            <v>24</v>
          </cell>
          <cell r="AK26">
            <v>30</v>
          </cell>
          <cell r="AL26">
            <v>28</v>
          </cell>
          <cell r="AM26">
            <v>54</v>
          </cell>
        </row>
        <row r="27">
          <cell r="A27">
            <v>724</v>
          </cell>
          <cell r="B27" t="str">
            <v xml:space="preserve">ANURAG BARMAN </v>
          </cell>
          <cell r="C27" t="str">
            <v xml:space="preserve">HEERA LAL </v>
          </cell>
          <cell r="D27" t="str">
            <v xml:space="preserve">HEMLATA BAI </v>
          </cell>
          <cell r="E27" t="str">
            <v>20/05/2011</v>
          </cell>
          <cell r="F27">
            <v>194426976</v>
          </cell>
          <cell r="G27">
            <v>613</v>
          </cell>
          <cell r="H27" t="str">
            <v xml:space="preserve">NIMAS </v>
          </cell>
          <cell r="I27" t="str">
            <v>7TH</v>
          </cell>
          <cell r="J27" t="str">
            <v>2023-24</v>
          </cell>
          <cell r="K27">
            <v>20</v>
          </cell>
          <cell r="L27">
            <v>42</v>
          </cell>
          <cell r="M27">
            <v>24</v>
          </cell>
          <cell r="N27">
            <v>20</v>
          </cell>
          <cell r="O27">
            <v>20</v>
          </cell>
          <cell r="P27">
            <v>29</v>
          </cell>
          <cell r="Q27">
            <v>17</v>
          </cell>
          <cell r="S27">
            <v>25</v>
          </cell>
          <cell r="T27">
            <v>28</v>
          </cell>
          <cell r="U27">
            <v>27</v>
          </cell>
          <cell r="V27">
            <v>25</v>
          </cell>
          <cell r="W27">
            <v>30</v>
          </cell>
          <cell r="X27">
            <v>26</v>
          </cell>
          <cell r="Y27">
            <v>25</v>
          </cell>
          <cell r="AA27">
            <v>28</v>
          </cell>
          <cell r="AB27">
            <v>16</v>
          </cell>
          <cell r="AC27">
            <v>29</v>
          </cell>
          <cell r="AD27">
            <v>21</v>
          </cell>
          <cell r="AE27">
            <v>29</v>
          </cell>
          <cell r="AF27">
            <v>26</v>
          </cell>
          <cell r="AG27">
            <v>30</v>
          </cell>
          <cell r="AH27">
            <v>28</v>
          </cell>
          <cell r="AI27">
            <v>27</v>
          </cell>
          <cell r="AJ27">
            <v>25</v>
          </cell>
          <cell r="AK27">
            <v>31</v>
          </cell>
          <cell r="AL27">
            <v>29</v>
          </cell>
          <cell r="AM27">
            <v>49</v>
          </cell>
        </row>
        <row r="28">
          <cell r="A28">
            <v>725</v>
          </cell>
          <cell r="B28" t="str">
            <v xml:space="preserve">ALOK PATEL </v>
          </cell>
          <cell r="C28" t="str">
            <v xml:space="preserve">MANOJ PATEL </v>
          </cell>
          <cell r="D28" t="str">
            <v xml:space="preserve">LAKSHMI PATEL </v>
          </cell>
          <cell r="E28" t="str">
            <v>28/06/2011</v>
          </cell>
          <cell r="F28">
            <v>105321726</v>
          </cell>
          <cell r="G28">
            <v>1202</v>
          </cell>
          <cell r="H28" t="str">
            <v>HARDUAKALA</v>
          </cell>
          <cell r="I28" t="str">
            <v>7TH</v>
          </cell>
          <cell r="J28" t="str">
            <v>2023-24</v>
          </cell>
          <cell r="K28">
            <v>20</v>
          </cell>
          <cell r="L28">
            <v>21</v>
          </cell>
          <cell r="M28">
            <v>20</v>
          </cell>
          <cell r="N28">
            <v>20</v>
          </cell>
          <cell r="O28">
            <v>19</v>
          </cell>
          <cell r="P28">
            <v>20</v>
          </cell>
          <cell r="Q28">
            <v>17</v>
          </cell>
          <cell r="S28">
            <v>25</v>
          </cell>
          <cell r="T28">
            <v>40</v>
          </cell>
          <cell r="U28">
            <v>27</v>
          </cell>
          <cell r="V28">
            <v>26</v>
          </cell>
          <cell r="W28">
            <v>26</v>
          </cell>
          <cell r="X28">
            <v>29</v>
          </cell>
          <cell r="Y28">
            <v>29</v>
          </cell>
          <cell r="AA28">
            <v>25</v>
          </cell>
          <cell r="AB28">
            <v>15</v>
          </cell>
          <cell r="AC28">
            <v>23</v>
          </cell>
          <cell r="AD28">
            <v>20</v>
          </cell>
          <cell r="AE28">
            <v>30</v>
          </cell>
          <cell r="AF28">
            <v>26</v>
          </cell>
          <cell r="AG28">
            <v>24</v>
          </cell>
          <cell r="AH28">
            <v>20</v>
          </cell>
          <cell r="AI28">
            <v>26</v>
          </cell>
          <cell r="AJ28">
            <v>20</v>
          </cell>
          <cell r="AK28">
            <v>27</v>
          </cell>
          <cell r="AL28">
            <v>25</v>
          </cell>
          <cell r="AM28">
            <v>37</v>
          </cell>
        </row>
        <row r="29">
          <cell r="A29">
            <v>726</v>
          </cell>
          <cell r="B29" t="str">
            <v xml:space="preserve">ANAND KUMAR YADAV </v>
          </cell>
          <cell r="C29" t="str">
            <v xml:space="preserve">KAMLESH YADAV </v>
          </cell>
          <cell r="D29" t="str">
            <v>INDRA VATI</v>
          </cell>
          <cell r="E29" t="str">
            <v>26/01/2012</v>
          </cell>
          <cell r="F29">
            <v>111780839</v>
          </cell>
          <cell r="G29">
            <v>633</v>
          </cell>
          <cell r="H29" t="str">
            <v>MOHLA</v>
          </cell>
          <cell r="I29" t="str">
            <v>7TH</v>
          </cell>
          <cell r="J29" t="str">
            <v>2023-24</v>
          </cell>
          <cell r="K29">
            <v>20</v>
          </cell>
          <cell r="L29">
            <v>22</v>
          </cell>
          <cell r="M29">
            <v>20</v>
          </cell>
          <cell r="N29">
            <v>20</v>
          </cell>
          <cell r="O29">
            <v>19</v>
          </cell>
          <cell r="P29">
            <v>20</v>
          </cell>
          <cell r="Q29">
            <v>17</v>
          </cell>
          <cell r="S29">
            <v>32</v>
          </cell>
          <cell r="T29">
            <v>32</v>
          </cell>
          <cell r="U29">
            <v>28</v>
          </cell>
          <cell r="V29">
            <v>26</v>
          </cell>
          <cell r="W29">
            <v>26</v>
          </cell>
          <cell r="X29">
            <v>28</v>
          </cell>
          <cell r="Y29">
            <v>29</v>
          </cell>
          <cell r="AA29">
            <v>24</v>
          </cell>
          <cell r="AB29">
            <v>22</v>
          </cell>
          <cell r="AC29">
            <v>22</v>
          </cell>
          <cell r="AD29">
            <v>20</v>
          </cell>
          <cell r="AE29">
            <v>31</v>
          </cell>
          <cell r="AF29">
            <v>26</v>
          </cell>
          <cell r="AG29">
            <v>23</v>
          </cell>
          <cell r="AH29">
            <v>20</v>
          </cell>
          <cell r="AI29">
            <v>22</v>
          </cell>
          <cell r="AJ29">
            <v>20</v>
          </cell>
          <cell r="AK29">
            <v>26</v>
          </cell>
          <cell r="AL29">
            <v>19</v>
          </cell>
          <cell r="AM29">
            <v>42</v>
          </cell>
        </row>
        <row r="30">
          <cell r="A30">
            <v>727</v>
          </cell>
          <cell r="B30" t="str">
            <v xml:space="preserve">CHIRAG HALDKAR </v>
          </cell>
          <cell r="C30" t="str">
            <v xml:space="preserve">RAJENDRA KU. HALDKAR </v>
          </cell>
          <cell r="D30" t="str">
            <v xml:space="preserve">BHARTI BAI </v>
          </cell>
          <cell r="E30">
            <v>40855</v>
          </cell>
          <cell r="F30">
            <v>128261286</v>
          </cell>
          <cell r="G30">
            <v>606</v>
          </cell>
          <cell r="H30" t="str">
            <v xml:space="preserve">NIMAS </v>
          </cell>
          <cell r="I30" t="str">
            <v>7TH</v>
          </cell>
          <cell r="J30" t="str">
            <v>2023-24</v>
          </cell>
          <cell r="K30">
            <v>30</v>
          </cell>
          <cell r="L30">
            <v>37</v>
          </cell>
          <cell r="M30">
            <v>27</v>
          </cell>
          <cell r="N30">
            <v>20</v>
          </cell>
          <cell r="O30">
            <v>27</v>
          </cell>
          <cell r="P30">
            <v>21</v>
          </cell>
          <cell r="Q30">
            <v>18</v>
          </cell>
          <cell r="S30">
            <v>23</v>
          </cell>
          <cell r="T30">
            <v>26</v>
          </cell>
          <cell r="U30">
            <v>26</v>
          </cell>
          <cell r="V30">
            <v>26</v>
          </cell>
          <cell r="W30">
            <v>28</v>
          </cell>
          <cell r="X30">
            <v>26</v>
          </cell>
          <cell r="Y30">
            <v>28</v>
          </cell>
          <cell r="AA30">
            <v>36</v>
          </cell>
          <cell r="AB30">
            <v>19</v>
          </cell>
          <cell r="AC30">
            <v>35</v>
          </cell>
          <cell r="AD30">
            <v>30</v>
          </cell>
          <cell r="AE30">
            <v>30</v>
          </cell>
          <cell r="AF30">
            <v>28</v>
          </cell>
          <cell r="AG30">
            <v>31</v>
          </cell>
          <cell r="AH30">
            <v>27</v>
          </cell>
          <cell r="AI30">
            <v>31</v>
          </cell>
          <cell r="AJ30">
            <v>25</v>
          </cell>
          <cell r="AK30">
            <v>32</v>
          </cell>
          <cell r="AL30">
            <v>30</v>
          </cell>
          <cell r="AM30">
            <v>57</v>
          </cell>
        </row>
        <row r="31">
          <cell r="A31">
            <v>728</v>
          </cell>
          <cell r="B31" t="str">
            <v xml:space="preserve">DIPANSHU KUSHWAHA </v>
          </cell>
          <cell r="C31" t="str">
            <v xml:space="preserve">SHARDA KUSHWAHA </v>
          </cell>
          <cell r="D31" t="str">
            <v>KAMLA BAI</v>
          </cell>
          <cell r="E31">
            <v>40242</v>
          </cell>
          <cell r="F31">
            <v>103367427</v>
          </cell>
          <cell r="G31">
            <v>637</v>
          </cell>
          <cell r="H31" t="str">
            <v>D.KHAMARIYA</v>
          </cell>
          <cell r="I31" t="str">
            <v>7TH</v>
          </cell>
          <cell r="J31" t="str">
            <v>2023-24</v>
          </cell>
          <cell r="K31">
            <v>31</v>
          </cell>
          <cell r="L31">
            <v>40</v>
          </cell>
          <cell r="M31">
            <v>35</v>
          </cell>
          <cell r="N31">
            <v>20</v>
          </cell>
          <cell r="O31">
            <v>28</v>
          </cell>
          <cell r="P31">
            <v>20</v>
          </cell>
          <cell r="Q31">
            <v>29</v>
          </cell>
          <cell r="S31">
            <v>38</v>
          </cell>
          <cell r="T31">
            <v>31</v>
          </cell>
          <cell r="U31">
            <v>25</v>
          </cell>
          <cell r="V31">
            <v>28</v>
          </cell>
          <cell r="W31">
            <v>29</v>
          </cell>
          <cell r="X31">
            <v>25</v>
          </cell>
          <cell r="Y31">
            <v>27</v>
          </cell>
          <cell r="AA31">
            <v>29</v>
          </cell>
          <cell r="AB31">
            <v>27</v>
          </cell>
          <cell r="AC31">
            <v>28</v>
          </cell>
          <cell r="AD31">
            <v>26</v>
          </cell>
          <cell r="AE31">
            <v>29</v>
          </cell>
          <cell r="AF31">
            <v>24</v>
          </cell>
          <cell r="AG31">
            <v>30</v>
          </cell>
          <cell r="AH31">
            <v>28</v>
          </cell>
          <cell r="AI31">
            <v>29</v>
          </cell>
          <cell r="AJ31">
            <v>25</v>
          </cell>
          <cell r="AK31">
            <v>30</v>
          </cell>
          <cell r="AL31">
            <v>28</v>
          </cell>
          <cell r="AM31">
            <v>47</v>
          </cell>
        </row>
        <row r="32">
          <cell r="A32">
            <v>729</v>
          </cell>
          <cell r="B32" t="str">
            <v>GAURAV PATEL</v>
          </cell>
          <cell r="C32" t="str">
            <v xml:space="preserve">KEERTI PATEL </v>
          </cell>
          <cell r="D32" t="str">
            <v xml:space="preserve">SUSHEELA PATEL </v>
          </cell>
          <cell r="E32" t="str">
            <v>17/06/2010</v>
          </cell>
          <cell r="F32">
            <v>106651592</v>
          </cell>
          <cell r="G32">
            <v>638</v>
          </cell>
          <cell r="H32" t="str">
            <v xml:space="preserve">PAHARUA </v>
          </cell>
          <cell r="I32" t="str">
            <v>7TH</v>
          </cell>
          <cell r="J32" t="str">
            <v>2023-24</v>
          </cell>
          <cell r="K32">
            <v>40</v>
          </cell>
          <cell r="L32">
            <v>40</v>
          </cell>
          <cell r="M32">
            <v>42</v>
          </cell>
          <cell r="N32">
            <v>43</v>
          </cell>
          <cell r="O32">
            <v>25</v>
          </cell>
          <cell r="P32">
            <v>23</v>
          </cell>
          <cell r="Q32">
            <v>20</v>
          </cell>
          <cell r="S32">
            <v>27</v>
          </cell>
          <cell r="T32">
            <v>33</v>
          </cell>
          <cell r="U32">
            <v>37</v>
          </cell>
          <cell r="V32">
            <v>25</v>
          </cell>
          <cell r="W32">
            <v>26</v>
          </cell>
          <cell r="X32">
            <v>26</v>
          </cell>
          <cell r="Y32">
            <v>25</v>
          </cell>
          <cell r="AA32">
            <v>37</v>
          </cell>
          <cell r="AB32">
            <v>24</v>
          </cell>
          <cell r="AC32">
            <v>34</v>
          </cell>
          <cell r="AD32">
            <v>27</v>
          </cell>
          <cell r="AE32">
            <v>40</v>
          </cell>
          <cell r="AF32">
            <v>30</v>
          </cell>
          <cell r="AG32">
            <v>41</v>
          </cell>
          <cell r="AH32">
            <v>30</v>
          </cell>
          <cell r="AI32">
            <v>32</v>
          </cell>
          <cell r="AJ32">
            <v>28</v>
          </cell>
          <cell r="AK32">
            <v>35</v>
          </cell>
          <cell r="AL32">
            <v>30</v>
          </cell>
          <cell r="AM32">
            <v>54</v>
          </cell>
        </row>
        <row r="33">
          <cell r="A33">
            <v>730</v>
          </cell>
          <cell r="B33" t="str">
            <v xml:space="preserve">HARDIK PATEL </v>
          </cell>
          <cell r="C33" t="str">
            <v>RAM PRAKSH PATEL</v>
          </cell>
          <cell r="D33" t="str">
            <v xml:space="preserve">UMA PATEL </v>
          </cell>
          <cell r="E33" t="str">
            <v>30/07/2011</v>
          </cell>
          <cell r="F33">
            <v>104858134</v>
          </cell>
          <cell r="G33">
            <v>588</v>
          </cell>
          <cell r="H33" t="str">
            <v>KHALARI</v>
          </cell>
          <cell r="I33" t="str">
            <v>7TH</v>
          </cell>
          <cell r="J33" t="str">
            <v>2023-24</v>
          </cell>
          <cell r="K33">
            <v>20</v>
          </cell>
          <cell r="L33">
            <v>26</v>
          </cell>
          <cell r="M33">
            <v>26</v>
          </cell>
          <cell r="N33">
            <v>20</v>
          </cell>
          <cell r="O33">
            <v>30</v>
          </cell>
          <cell r="P33">
            <v>20</v>
          </cell>
          <cell r="Q33">
            <v>20</v>
          </cell>
          <cell r="S33">
            <v>34</v>
          </cell>
          <cell r="T33">
            <v>51</v>
          </cell>
          <cell r="U33">
            <v>27</v>
          </cell>
          <cell r="V33">
            <v>26</v>
          </cell>
          <cell r="W33">
            <v>25</v>
          </cell>
          <cell r="X33">
            <v>28</v>
          </cell>
          <cell r="Y33">
            <v>26</v>
          </cell>
          <cell r="AA33">
            <v>34</v>
          </cell>
          <cell r="AB33">
            <v>17</v>
          </cell>
          <cell r="AC33">
            <v>36</v>
          </cell>
          <cell r="AD33">
            <v>26</v>
          </cell>
          <cell r="AE33">
            <v>34</v>
          </cell>
          <cell r="AF33">
            <v>30</v>
          </cell>
          <cell r="AG33">
            <v>33</v>
          </cell>
          <cell r="AH33">
            <v>25</v>
          </cell>
          <cell r="AI33">
            <v>31</v>
          </cell>
          <cell r="AJ33">
            <v>30</v>
          </cell>
          <cell r="AK33">
            <v>34</v>
          </cell>
          <cell r="AL33">
            <v>32</v>
          </cell>
          <cell r="AM33">
            <v>56</v>
          </cell>
        </row>
        <row r="34">
          <cell r="A34">
            <v>731</v>
          </cell>
          <cell r="B34" t="str">
            <v xml:space="preserve">HARSH BARMAN </v>
          </cell>
          <cell r="C34" t="str">
            <v xml:space="preserve">SONELAL BARMAN </v>
          </cell>
          <cell r="D34" t="str">
            <v xml:space="preserve">GEETA BAI </v>
          </cell>
          <cell r="E34" t="str">
            <v>15/03/2011</v>
          </cell>
          <cell r="F34">
            <v>169242383</v>
          </cell>
          <cell r="G34">
            <v>1436</v>
          </cell>
          <cell r="H34" t="str">
            <v xml:space="preserve">BADKHEDA </v>
          </cell>
          <cell r="I34" t="str">
            <v>7TH</v>
          </cell>
          <cell r="J34" t="str">
            <v>2023-24</v>
          </cell>
          <cell r="K34">
            <v>31</v>
          </cell>
          <cell r="L34">
            <v>20</v>
          </cell>
          <cell r="M34">
            <v>31</v>
          </cell>
          <cell r="N34">
            <v>20</v>
          </cell>
          <cell r="O34">
            <v>30</v>
          </cell>
          <cell r="P34">
            <v>20</v>
          </cell>
          <cell r="Q34">
            <v>17</v>
          </cell>
          <cell r="S34">
            <v>28</v>
          </cell>
          <cell r="T34">
            <v>42</v>
          </cell>
          <cell r="U34">
            <v>35</v>
          </cell>
          <cell r="V34">
            <v>30</v>
          </cell>
          <cell r="W34">
            <v>26</v>
          </cell>
          <cell r="X34">
            <v>26</v>
          </cell>
          <cell r="Y34">
            <v>26</v>
          </cell>
          <cell r="AA34">
            <v>27</v>
          </cell>
          <cell r="AB34">
            <v>25</v>
          </cell>
          <cell r="AC34">
            <v>31</v>
          </cell>
          <cell r="AD34">
            <v>23</v>
          </cell>
          <cell r="AE34">
            <v>28</v>
          </cell>
          <cell r="AF34">
            <v>24</v>
          </cell>
          <cell r="AG34">
            <v>21</v>
          </cell>
          <cell r="AH34">
            <v>20</v>
          </cell>
          <cell r="AI34">
            <v>28</v>
          </cell>
          <cell r="AJ34">
            <v>25</v>
          </cell>
          <cell r="AK34">
            <v>33</v>
          </cell>
          <cell r="AL34">
            <v>30</v>
          </cell>
          <cell r="AM34">
            <v>58</v>
          </cell>
        </row>
        <row r="35">
          <cell r="A35">
            <v>732</v>
          </cell>
          <cell r="B35" t="str">
            <v xml:space="preserve">HARSH KACHHI </v>
          </cell>
          <cell r="C35" t="str">
            <v xml:space="preserve">SUNEEL KACHHI </v>
          </cell>
          <cell r="D35" t="str">
            <v xml:space="preserve">SEEMA KACHHI </v>
          </cell>
          <cell r="E35">
            <v>40339</v>
          </cell>
          <cell r="F35">
            <v>159659485</v>
          </cell>
          <cell r="G35">
            <v>639</v>
          </cell>
          <cell r="H35" t="str">
            <v>ANOCH</v>
          </cell>
          <cell r="I35" t="str">
            <v>7TH</v>
          </cell>
          <cell r="J35" t="str">
            <v>2023-24</v>
          </cell>
          <cell r="K35">
            <v>32</v>
          </cell>
          <cell r="L35">
            <v>39</v>
          </cell>
          <cell r="M35">
            <v>23</v>
          </cell>
          <cell r="N35">
            <v>38</v>
          </cell>
          <cell r="O35">
            <v>35</v>
          </cell>
          <cell r="P35">
            <v>18</v>
          </cell>
          <cell r="Q35">
            <v>22</v>
          </cell>
          <cell r="S35">
            <v>25</v>
          </cell>
          <cell r="T35">
            <v>26</v>
          </cell>
          <cell r="U35">
            <v>31</v>
          </cell>
          <cell r="V35">
            <v>26</v>
          </cell>
          <cell r="W35">
            <v>28</v>
          </cell>
          <cell r="X35">
            <v>28</v>
          </cell>
          <cell r="Y35">
            <v>24</v>
          </cell>
          <cell r="AA35">
            <v>36</v>
          </cell>
          <cell r="AB35">
            <v>17</v>
          </cell>
          <cell r="AC35">
            <v>37</v>
          </cell>
          <cell r="AD35">
            <v>26</v>
          </cell>
          <cell r="AE35">
            <v>29</v>
          </cell>
          <cell r="AF35">
            <v>22</v>
          </cell>
          <cell r="AG35">
            <v>36</v>
          </cell>
          <cell r="AH35">
            <v>32</v>
          </cell>
          <cell r="AI35">
            <v>31</v>
          </cell>
          <cell r="AJ35">
            <v>30</v>
          </cell>
          <cell r="AK35">
            <v>36</v>
          </cell>
          <cell r="AL35">
            <v>32</v>
          </cell>
          <cell r="AM35">
            <v>58</v>
          </cell>
        </row>
        <row r="36">
          <cell r="A36">
            <v>733</v>
          </cell>
          <cell r="B36" t="str">
            <v xml:space="preserve">KANHA SEN </v>
          </cell>
          <cell r="C36" t="str">
            <v xml:space="preserve">KAUSAL PRASAD </v>
          </cell>
          <cell r="D36" t="str">
            <v xml:space="preserve">SUNEETA </v>
          </cell>
          <cell r="E36" t="str">
            <v>23/08/2011</v>
          </cell>
          <cell r="F36">
            <v>199348515</v>
          </cell>
          <cell r="G36">
            <v>642</v>
          </cell>
          <cell r="H36" t="str">
            <v>DHANGAWAN</v>
          </cell>
          <cell r="I36" t="str">
            <v>7TH</v>
          </cell>
          <cell r="J36" t="str">
            <v>2023-24</v>
          </cell>
          <cell r="K36">
            <v>20</v>
          </cell>
          <cell r="L36">
            <v>20</v>
          </cell>
          <cell r="M36">
            <v>23</v>
          </cell>
          <cell r="N36">
            <v>20</v>
          </cell>
          <cell r="O36">
            <v>20</v>
          </cell>
          <cell r="P36">
            <v>20</v>
          </cell>
          <cell r="Q36">
            <v>45</v>
          </cell>
          <cell r="S36">
            <v>25</v>
          </cell>
          <cell r="T36">
            <v>28</v>
          </cell>
          <cell r="U36">
            <v>26</v>
          </cell>
          <cell r="V36">
            <v>26</v>
          </cell>
          <cell r="W36">
            <v>29</v>
          </cell>
          <cell r="X36">
            <v>26</v>
          </cell>
          <cell r="Y36">
            <v>25</v>
          </cell>
          <cell r="AA36">
            <v>27</v>
          </cell>
          <cell r="AB36">
            <v>38</v>
          </cell>
          <cell r="AC36">
            <v>26</v>
          </cell>
          <cell r="AD36">
            <v>20</v>
          </cell>
          <cell r="AE36">
            <v>27</v>
          </cell>
          <cell r="AF36">
            <v>25</v>
          </cell>
          <cell r="AG36">
            <v>28</v>
          </cell>
          <cell r="AH36">
            <v>24</v>
          </cell>
          <cell r="AI36">
            <v>31</v>
          </cell>
          <cell r="AJ36">
            <v>26</v>
          </cell>
          <cell r="AK36">
            <v>26</v>
          </cell>
          <cell r="AL36">
            <v>24</v>
          </cell>
          <cell r="AM36">
            <v>43</v>
          </cell>
        </row>
        <row r="37">
          <cell r="A37">
            <v>734</v>
          </cell>
          <cell r="B37" t="str">
            <v xml:space="preserve">LALIT KUMAR BARMAN </v>
          </cell>
          <cell r="C37" t="str">
            <v xml:space="preserve">GOVIND PRASAD </v>
          </cell>
          <cell r="D37" t="str">
            <v xml:space="preserve">PRAM KUMARI </v>
          </cell>
          <cell r="E37" t="str">
            <v>19/05/2012</v>
          </cell>
          <cell r="F37">
            <v>143850843</v>
          </cell>
          <cell r="G37">
            <v>810</v>
          </cell>
          <cell r="H37" t="str">
            <v xml:space="preserve">NIMAS </v>
          </cell>
          <cell r="I37" t="str">
            <v>7TH</v>
          </cell>
          <cell r="J37" t="str">
            <v>2023-24</v>
          </cell>
          <cell r="K37">
            <v>38</v>
          </cell>
          <cell r="L37">
            <v>38</v>
          </cell>
          <cell r="M37">
            <v>41</v>
          </cell>
          <cell r="N37">
            <v>44</v>
          </cell>
          <cell r="O37">
            <v>35</v>
          </cell>
          <cell r="P37">
            <v>20</v>
          </cell>
          <cell r="Q37">
            <v>23</v>
          </cell>
          <cell r="S37">
            <v>41</v>
          </cell>
          <cell r="T37">
            <v>27</v>
          </cell>
          <cell r="U37">
            <v>44</v>
          </cell>
          <cell r="V37">
            <v>25</v>
          </cell>
          <cell r="W37">
            <v>25</v>
          </cell>
          <cell r="X37">
            <v>28</v>
          </cell>
          <cell r="Y37">
            <v>28</v>
          </cell>
          <cell r="AA37">
            <v>41</v>
          </cell>
          <cell r="AB37">
            <v>31</v>
          </cell>
          <cell r="AC37">
            <v>40</v>
          </cell>
          <cell r="AD37">
            <v>30</v>
          </cell>
          <cell r="AE37">
            <v>37</v>
          </cell>
          <cell r="AF37">
            <v>32</v>
          </cell>
          <cell r="AG37">
            <v>39</v>
          </cell>
          <cell r="AH37">
            <v>31</v>
          </cell>
          <cell r="AI37">
            <v>38</v>
          </cell>
          <cell r="AJ37">
            <v>33</v>
          </cell>
          <cell r="AK37">
            <v>39</v>
          </cell>
          <cell r="AL37">
            <v>35</v>
          </cell>
          <cell r="AM37">
            <v>58</v>
          </cell>
        </row>
        <row r="38">
          <cell r="A38">
            <v>735</v>
          </cell>
          <cell r="B38" t="str">
            <v>NIKHIL LODHI</v>
          </cell>
          <cell r="C38" t="str">
            <v xml:space="preserve">SANJAY KUMAR LODHI </v>
          </cell>
          <cell r="D38" t="str">
            <v xml:space="preserve">RAJA BAI </v>
          </cell>
          <cell r="E38" t="str">
            <v>19/09/2010</v>
          </cell>
          <cell r="F38">
            <v>110405214</v>
          </cell>
          <cell r="G38">
            <v>643</v>
          </cell>
          <cell r="H38" t="str">
            <v xml:space="preserve">PAHARUA </v>
          </cell>
          <cell r="I38" t="str">
            <v>7TH</v>
          </cell>
          <cell r="J38" t="str">
            <v>2023-24</v>
          </cell>
          <cell r="K38">
            <v>22</v>
          </cell>
          <cell r="L38">
            <v>20</v>
          </cell>
          <cell r="M38">
            <v>20</v>
          </cell>
          <cell r="N38">
            <v>20</v>
          </cell>
          <cell r="O38">
            <v>20</v>
          </cell>
          <cell r="P38">
            <v>20</v>
          </cell>
          <cell r="Q38">
            <v>27</v>
          </cell>
          <cell r="S38">
            <v>25</v>
          </cell>
          <cell r="T38">
            <v>26</v>
          </cell>
          <cell r="U38">
            <v>39</v>
          </cell>
          <cell r="V38">
            <v>26</v>
          </cell>
          <cell r="W38">
            <v>26</v>
          </cell>
          <cell r="X38">
            <v>29</v>
          </cell>
          <cell r="Y38">
            <v>41</v>
          </cell>
          <cell r="AA38">
            <v>35</v>
          </cell>
          <cell r="AB38">
            <v>29</v>
          </cell>
          <cell r="AC38">
            <v>36</v>
          </cell>
          <cell r="AD38">
            <v>29</v>
          </cell>
          <cell r="AE38">
            <v>31</v>
          </cell>
          <cell r="AF38">
            <v>28</v>
          </cell>
          <cell r="AG38">
            <v>30</v>
          </cell>
          <cell r="AH38">
            <v>26</v>
          </cell>
          <cell r="AI38">
            <v>39</v>
          </cell>
          <cell r="AJ38">
            <v>31</v>
          </cell>
          <cell r="AK38">
            <v>37</v>
          </cell>
          <cell r="AL38">
            <v>32</v>
          </cell>
          <cell r="AM38">
            <v>50</v>
          </cell>
        </row>
        <row r="39">
          <cell r="A39">
            <v>736</v>
          </cell>
          <cell r="B39" t="str">
            <v xml:space="preserve">NENSHU RAJAK </v>
          </cell>
          <cell r="C39" t="str">
            <v xml:space="preserve">SUSHEEL RAJAK </v>
          </cell>
          <cell r="D39" t="str">
            <v xml:space="preserve">SARITA RAJAK </v>
          </cell>
          <cell r="E39">
            <v>40853</v>
          </cell>
          <cell r="F39">
            <v>113690277</v>
          </cell>
          <cell r="G39">
            <v>654</v>
          </cell>
          <cell r="H39" t="str">
            <v xml:space="preserve">PAHARUA </v>
          </cell>
          <cell r="I39" t="str">
            <v>7TH</v>
          </cell>
          <cell r="J39" t="str">
            <v>2023-24</v>
          </cell>
          <cell r="K39">
            <v>29</v>
          </cell>
          <cell r="L39">
            <v>20</v>
          </cell>
          <cell r="M39">
            <v>21</v>
          </cell>
          <cell r="N39">
            <v>20</v>
          </cell>
          <cell r="O39">
            <v>20</v>
          </cell>
          <cell r="P39">
            <v>20</v>
          </cell>
          <cell r="Q39">
            <v>23</v>
          </cell>
          <cell r="S39">
            <v>26</v>
          </cell>
          <cell r="T39">
            <v>31</v>
          </cell>
          <cell r="U39">
            <v>26</v>
          </cell>
          <cell r="V39">
            <v>28</v>
          </cell>
          <cell r="W39">
            <v>26</v>
          </cell>
          <cell r="X39">
            <v>25</v>
          </cell>
          <cell r="Y39">
            <v>25</v>
          </cell>
          <cell r="AA39">
            <v>26</v>
          </cell>
          <cell r="AB39">
            <v>17</v>
          </cell>
          <cell r="AC39">
            <v>28</v>
          </cell>
          <cell r="AD39">
            <v>22</v>
          </cell>
          <cell r="AE39">
            <v>26</v>
          </cell>
          <cell r="AF39">
            <v>20</v>
          </cell>
          <cell r="AG39">
            <v>24</v>
          </cell>
          <cell r="AH39">
            <v>21</v>
          </cell>
          <cell r="AI39">
            <v>26</v>
          </cell>
          <cell r="AJ39">
            <v>23</v>
          </cell>
          <cell r="AK39">
            <v>30</v>
          </cell>
          <cell r="AL39">
            <v>25</v>
          </cell>
          <cell r="AM39">
            <v>48</v>
          </cell>
        </row>
        <row r="40">
          <cell r="A40">
            <v>737</v>
          </cell>
          <cell r="B40" t="str">
            <v xml:space="preserve">NEERAJ LODHI </v>
          </cell>
          <cell r="C40" t="str">
            <v xml:space="preserve">SANJAY LODHI </v>
          </cell>
          <cell r="D40" t="str">
            <v xml:space="preserve">JANKI  BAI </v>
          </cell>
          <cell r="E40" t="str">
            <v>28/09/2010</v>
          </cell>
          <cell r="F40">
            <v>110529267</v>
          </cell>
          <cell r="G40">
            <v>659</v>
          </cell>
          <cell r="H40" t="str">
            <v xml:space="preserve">PAHARUA </v>
          </cell>
          <cell r="I40" t="str">
            <v>7TH</v>
          </cell>
          <cell r="J40" t="str">
            <v>2023-24</v>
          </cell>
          <cell r="K40">
            <v>20</v>
          </cell>
          <cell r="L40">
            <v>20</v>
          </cell>
          <cell r="M40">
            <v>23</v>
          </cell>
          <cell r="N40">
            <v>20</v>
          </cell>
          <cell r="O40">
            <v>20</v>
          </cell>
          <cell r="P40">
            <v>20</v>
          </cell>
          <cell r="Q40">
            <v>18</v>
          </cell>
          <cell r="S40">
            <v>25</v>
          </cell>
          <cell r="T40">
            <v>29</v>
          </cell>
          <cell r="U40">
            <v>27</v>
          </cell>
          <cell r="V40">
            <v>27</v>
          </cell>
          <cell r="W40">
            <v>28</v>
          </cell>
          <cell r="X40">
            <v>26</v>
          </cell>
          <cell r="Y40">
            <v>26</v>
          </cell>
          <cell r="AA40">
            <v>28</v>
          </cell>
          <cell r="AB40">
            <v>21</v>
          </cell>
          <cell r="AC40">
            <v>28</v>
          </cell>
          <cell r="AD40">
            <v>20</v>
          </cell>
          <cell r="AE40">
            <v>26</v>
          </cell>
          <cell r="AF40">
            <v>22</v>
          </cell>
          <cell r="AG40">
            <v>24</v>
          </cell>
          <cell r="AH40">
            <v>20</v>
          </cell>
          <cell r="AI40">
            <v>31</v>
          </cell>
          <cell r="AJ40">
            <v>26</v>
          </cell>
          <cell r="AK40">
            <v>27</v>
          </cell>
          <cell r="AL40">
            <v>24</v>
          </cell>
          <cell r="AM40">
            <v>46</v>
          </cell>
        </row>
        <row r="41">
          <cell r="A41">
            <v>738</v>
          </cell>
          <cell r="B41" t="str">
            <v xml:space="preserve">NAITIK PATEL </v>
          </cell>
          <cell r="C41" t="str">
            <v xml:space="preserve">SUNEEL PATEL </v>
          </cell>
          <cell r="D41" t="str">
            <v xml:space="preserve">ANJOM  BAI </v>
          </cell>
          <cell r="E41" t="str">
            <v>13/11/2011</v>
          </cell>
          <cell r="F41">
            <v>111507662</v>
          </cell>
          <cell r="G41">
            <v>1209</v>
          </cell>
          <cell r="H41" t="str">
            <v>D.KHAMARIYA</v>
          </cell>
          <cell r="I41" t="str">
            <v>7TH</v>
          </cell>
          <cell r="J41" t="str">
            <v>2023-24</v>
          </cell>
          <cell r="K41">
            <v>20</v>
          </cell>
          <cell r="L41">
            <v>20</v>
          </cell>
          <cell r="M41">
            <v>20</v>
          </cell>
          <cell r="N41">
            <v>20</v>
          </cell>
          <cell r="O41">
            <v>18</v>
          </cell>
          <cell r="P41">
            <v>20</v>
          </cell>
          <cell r="Q41">
            <v>37</v>
          </cell>
          <cell r="S41">
            <v>32</v>
          </cell>
          <cell r="T41">
            <v>40</v>
          </cell>
          <cell r="U41">
            <v>29</v>
          </cell>
          <cell r="V41">
            <v>26</v>
          </cell>
          <cell r="W41">
            <v>29</v>
          </cell>
          <cell r="X41">
            <v>27</v>
          </cell>
          <cell r="Y41">
            <v>25</v>
          </cell>
          <cell r="AA41">
            <v>30</v>
          </cell>
          <cell r="AB41">
            <v>16</v>
          </cell>
          <cell r="AC41">
            <v>29</v>
          </cell>
          <cell r="AD41">
            <v>24</v>
          </cell>
          <cell r="AE41">
            <v>25</v>
          </cell>
          <cell r="AF41">
            <v>21</v>
          </cell>
          <cell r="AG41">
            <v>23</v>
          </cell>
          <cell r="AH41">
            <v>20</v>
          </cell>
          <cell r="AI41">
            <v>26</v>
          </cell>
          <cell r="AJ41">
            <v>24</v>
          </cell>
          <cell r="AK41">
            <v>27</v>
          </cell>
          <cell r="AL41">
            <v>24</v>
          </cell>
          <cell r="AM41">
            <v>35</v>
          </cell>
        </row>
        <row r="42">
          <cell r="A42">
            <v>739</v>
          </cell>
          <cell r="B42" t="str">
            <v xml:space="preserve">PRASHANT YADAV </v>
          </cell>
          <cell r="C42" t="str">
            <v xml:space="preserve">RAGHVENDRA YADAV </v>
          </cell>
          <cell r="D42" t="str">
            <v xml:space="preserve">KIRAN YADAV </v>
          </cell>
          <cell r="E42" t="str">
            <v>27/12/2010</v>
          </cell>
          <cell r="F42">
            <v>139945418</v>
          </cell>
          <cell r="G42">
            <v>594</v>
          </cell>
          <cell r="H42" t="str">
            <v>MAHAGAWAN</v>
          </cell>
          <cell r="I42" t="str">
            <v>7TH</v>
          </cell>
          <cell r="J42" t="str">
            <v>2023-24</v>
          </cell>
          <cell r="K42">
            <v>25</v>
          </cell>
          <cell r="L42">
            <v>23</v>
          </cell>
          <cell r="M42">
            <v>29</v>
          </cell>
          <cell r="N42">
            <v>20</v>
          </cell>
          <cell r="O42">
            <v>20</v>
          </cell>
          <cell r="P42">
            <v>20</v>
          </cell>
          <cell r="Q42">
            <v>21</v>
          </cell>
          <cell r="S42">
            <v>25</v>
          </cell>
          <cell r="T42">
            <v>4</v>
          </cell>
          <cell r="U42">
            <v>28</v>
          </cell>
          <cell r="V42">
            <v>25</v>
          </cell>
          <cell r="W42">
            <v>26</v>
          </cell>
          <cell r="X42">
            <v>29</v>
          </cell>
          <cell r="Y42">
            <v>32</v>
          </cell>
          <cell r="AA42">
            <v>26</v>
          </cell>
          <cell r="AB42">
            <v>15</v>
          </cell>
          <cell r="AC42">
            <v>32</v>
          </cell>
          <cell r="AD42">
            <v>19</v>
          </cell>
          <cell r="AE42">
            <v>32</v>
          </cell>
          <cell r="AF42">
            <v>20</v>
          </cell>
          <cell r="AG42">
            <v>30</v>
          </cell>
          <cell r="AH42">
            <v>25</v>
          </cell>
          <cell r="AI42">
            <v>28</v>
          </cell>
          <cell r="AJ42">
            <v>23</v>
          </cell>
          <cell r="AK42">
            <v>25</v>
          </cell>
          <cell r="AL42">
            <v>22</v>
          </cell>
          <cell r="AM42">
            <v>42</v>
          </cell>
        </row>
        <row r="43">
          <cell r="A43">
            <v>740</v>
          </cell>
          <cell r="B43" t="str">
            <v xml:space="preserve">PRINCE PATEL </v>
          </cell>
          <cell r="C43" t="str">
            <v xml:space="preserve">DURGADUTT PATEL </v>
          </cell>
          <cell r="D43" t="str">
            <v xml:space="preserve">SATYAWATI PATEL </v>
          </cell>
          <cell r="E43" t="str">
            <v>17/01/2010</v>
          </cell>
          <cell r="F43">
            <v>106326964</v>
          </cell>
          <cell r="G43">
            <v>1402</v>
          </cell>
          <cell r="H43" t="str">
            <v xml:space="preserve">PAHARUA </v>
          </cell>
          <cell r="I43" t="str">
            <v>7TH</v>
          </cell>
          <cell r="J43" t="str">
            <v>2023-24</v>
          </cell>
          <cell r="K43">
            <v>20</v>
          </cell>
          <cell r="L43">
            <v>27</v>
          </cell>
          <cell r="M43">
            <v>26</v>
          </cell>
          <cell r="N43">
            <v>20</v>
          </cell>
          <cell r="O43">
            <v>20</v>
          </cell>
          <cell r="P43">
            <v>20</v>
          </cell>
          <cell r="Q43">
            <v>22</v>
          </cell>
          <cell r="S43">
            <v>25</v>
          </cell>
          <cell r="T43">
            <v>36</v>
          </cell>
          <cell r="U43">
            <v>25</v>
          </cell>
          <cell r="V43">
            <v>26</v>
          </cell>
          <cell r="W43">
            <v>28</v>
          </cell>
          <cell r="X43">
            <v>28</v>
          </cell>
          <cell r="Y43">
            <v>25</v>
          </cell>
          <cell r="AA43">
            <v>26</v>
          </cell>
          <cell r="AB43">
            <v>20</v>
          </cell>
          <cell r="AC43">
            <v>30</v>
          </cell>
          <cell r="AD43">
            <v>23</v>
          </cell>
          <cell r="AE43">
            <v>31</v>
          </cell>
          <cell r="AF43">
            <v>25</v>
          </cell>
          <cell r="AG43">
            <v>29</v>
          </cell>
          <cell r="AH43">
            <v>28</v>
          </cell>
          <cell r="AI43">
            <v>30</v>
          </cell>
          <cell r="AJ43">
            <v>29</v>
          </cell>
          <cell r="AK43">
            <v>25</v>
          </cell>
          <cell r="AL43">
            <v>21</v>
          </cell>
          <cell r="AM43">
            <v>41</v>
          </cell>
        </row>
        <row r="44">
          <cell r="A44">
            <v>741</v>
          </cell>
          <cell r="B44" t="str">
            <v xml:space="preserve">PRATEEK MISHRA </v>
          </cell>
          <cell r="C44" t="str">
            <v xml:space="preserve">MANOJ MISHRA </v>
          </cell>
          <cell r="D44" t="str">
            <v xml:space="preserve">VINEETA BAI </v>
          </cell>
          <cell r="E44" t="str">
            <v>30/08/2011</v>
          </cell>
          <cell r="F44">
            <v>200376222</v>
          </cell>
          <cell r="G44">
            <v>603</v>
          </cell>
          <cell r="H44" t="str">
            <v>BARGI</v>
          </cell>
          <cell r="I44" t="str">
            <v>7TH</v>
          </cell>
          <cell r="J44" t="str">
            <v>2023-24</v>
          </cell>
          <cell r="K44">
            <v>36</v>
          </cell>
          <cell r="L44">
            <v>30</v>
          </cell>
          <cell r="M44">
            <v>25</v>
          </cell>
          <cell r="N44">
            <v>27</v>
          </cell>
          <cell r="O44">
            <v>22</v>
          </cell>
          <cell r="P44">
            <v>20</v>
          </cell>
          <cell r="Q44">
            <v>27</v>
          </cell>
          <cell r="S44">
            <v>25</v>
          </cell>
          <cell r="T44">
            <v>39</v>
          </cell>
          <cell r="U44">
            <v>26</v>
          </cell>
          <cell r="V44">
            <v>26</v>
          </cell>
          <cell r="W44">
            <v>26</v>
          </cell>
          <cell r="X44">
            <v>27</v>
          </cell>
          <cell r="Y44">
            <v>25</v>
          </cell>
          <cell r="AA44">
            <v>28</v>
          </cell>
          <cell r="AB44">
            <v>24</v>
          </cell>
          <cell r="AC44">
            <v>36</v>
          </cell>
          <cell r="AD44">
            <v>30</v>
          </cell>
          <cell r="AE44">
            <v>30</v>
          </cell>
          <cell r="AF44">
            <v>28</v>
          </cell>
          <cell r="AG44">
            <v>27</v>
          </cell>
          <cell r="AH44">
            <v>26</v>
          </cell>
          <cell r="AI44">
            <v>32</v>
          </cell>
          <cell r="AJ44">
            <v>30</v>
          </cell>
          <cell r="AK44">
            <v>33</v>
          </cell>
          <cell r="AL44">
            <v>31</v>
          </cell>
          <cell r="AM44">
            <v>47</v>
          </cell>
        </row>
        <row r="45">
          <cell r="A45">
            <v>742</v>
          </cell>
          <cell r="B45" t="str">
            <v xml:space="preserve">PIYUSH PATEL </v>
          </cell>
          <cell r="C45" t="str">
            <v xml:space="preserve">KRISHNA KU. PATEL </v>
          </cell>
          <cell r="D45" t="str">
            <v xml:space="preserve">ARTI </v>
          </cell>
          <cell r="E45">
            <v>40643</v>
          </cell>
          <cell r="F45">
            <v>140917229</v>
          </cell>
          <cell r="G45">
            <v>644</v>
          </cell>
          <cell r="H45" t="str">
            <v>KHALARI</v>
          </cell>
          <cell r="I45" t="str">
            <v>7TH</v>
          </cell>
          <cell r="J45" t="str">
            <v>2023-24</v>
          </cell>
          <cell r="K45">
            <v>23</v>
          </cell>
          <cell r="L45">
            <v>20</v>
          </cell>
          <cell r="M45">
            <v>22</v>
          </cell>
          <cell r="N45">
            <v>20</v>
          </cell>
          <cell r="O45">
            <v>28</v>
          </cell>
          <cell r="P45">
            <v>20</v>
          </cell>
          <cell r="Q45">
            <v>24</v>
          </cell>
          <cell r="S45">
            <v>26</v>
          </cell>
          <cell r="T45">
            <v>35</v>
          </cell>
          <cell r="U45">
            <v>26</v>
          </cell>
          <cell r="V45">
            <v>25</v>
          </cell>
          <cell r="W45">
            <v>24</v>
          </cell>
          <cell r="X45">
            <v>28</v>
          </cell>
          <cell r="Y45">
            <v>25</v>
          </cell>
          <cell r="AA45">
            <v>29</v>
          </cell>
          <cell r="AB45">
            <v>24</v>
          </cell>
          <cell r="AC45">
            <v>35</v>
          </cell>
          <cell r="AD45">
            <v>30</v>
          </cell>
          <cell r="AE45">
            <v>30</v>
          </cell>
          <cell r="AF45">
            <v>27</v>
          </cell>
          <cell r="AG45">
            <v>27</v>
          </cell>
          <cell r="AH45">
            <v>25</v>
          </cell>
          <cell r="AI45">
            <v>34</v>
          </cell>
          <cell r="AJ45">
            <v>31</v>
          </cell>
          <cell r="AK45">
            <v>29</v>
          </cell>
          <cell r="AL45">
            <v>26</v>
          </cell>
          <cell r="AM45">
            <v>57</v>
          </cell>
        </row>
        <row r="46">
          <cell r="A46">
            <v>743</v>
          </cell>
          <cell r="B46" t="str">
            <v xml:space="preserve">RAMU PATEL </v>
          </cell>
          <cell r="C46" t="str">
            <v xml:space="preserve">KANHAIYA  </v>
          </cell>
          <cell r="D46" t="str">
            <v xml:space="preserve">GAURI </v>
          </cell>
          <cell r="E46" t="str">
            <v>20/12/2010</v>
          </cell>
          <cell r="F46">
            <v>110046991</v>
          </cell>
          <cell r="G46">
            <v>595</v>
          </cell>
          <cell r="H46" t="str">
            <v>MOHLA</v>
          </cell>
          <cell r="I46" t="str">
            <v>7TH</v>
          </cell>
          <cell r="J46" t="str">
            <v>2023-24</v>
          </cell>
          <cell r="K46">
            <v>23</v>
          </cell>
          <cell r="L46">
            <v>27</v>
          </cell>
          <cell r="M46">
            <v>23</v>
          </cell>
          <cell r="N46">
            <v>20</v>
          </cell>
          <cell r="O46">
            <v>18</v>
          </cell>
          <cell r="P46">
            <v>20</v>
          </cell>
          <cell r="Q46">
            <v>41</v>
          </cell>
          <cell r="S46">
            <v>26</v>
          </cell>
          <cell r="T46">
            <v>25</v>
          </cell>
          <cell r="U46">
            <v>29</v>
          </cell>
          <cell r="V46">
            <v>26</v>
          </cell>
          <cell r="W46">
            <v>26</v>
          </cell>
          <cell r="X46">
            <v>29</v>
          </cell>
          <cell r="Y46">
            <v>26</v>
          </cell>
          <cell r="AA46">
            <v>30</v>
          </cell>
          <cell r="AB46">
            <v>25</v>
          </cell>
          <cell r="AC46">
            <v>29</v>
          </cell>
          <cell r="AD46">
            <v>24</v>
          </cell>
          <cell r="AE46">
            <v>32</v>
          </cell>
          <cell r="AF46">
            <v>30</v>
          </cell>
          <cell r="AG46">
            <v>25</v>
          </cell>
          <cell r="AH46">
            <v>20</v>
          </cell>
          <cell r="AI46">
            <v>26</v>
          </cell>
          <cell r="AJ46">
            <v>24</v>
          </cell>
          <cell r="AK46">
            <v>29</v>
          </cell>
          <cell r="AL46">
            <v>23</v>
          </cell>
          <cell r="AM46">
            <v>50</v>
          </cell>
        </row>
        <row r="47">
          <cell r="A47">
            <v>744</v>
          </cell>
          <cell r="B47" t="str">
            <v>SHANI RAJAK</v>
          </cell>
          <cell r="C47" t="str">
            <v>SHIV PRASAD</v>
          </cell>
          <cell r="D47" t="str">
            <v xml:space="preserve">ANITA RAJAK </v>
          </cell>
          <cell r="E47" t="str">
            <v>17/07/2010</v>
          </cell>
          <cell r="F47">
            <v>148739043</v>
          </cell>
          <cell r="G47">
            <v>646</v>
          </cell>
          <cell r="H47" t="str">
            <v>BARGI</v>
          </cell>
          <cell r="I47" t="str">
            <v>7TH</v>
          </cell>
          <cell r="J47" t="str">
            <v>2023-24</v>
          </cell>
          <cell r="K47">
            <v>25</v>
          </cell>
          <cell r="L47">
            <v>32</v>
          </cell>
          <cell r="M47">
            <v>31</v>
          </cell>
          <cell r="N47">
            <v>36</v>
          </cell>
          <cell r="O47">
            <v>36</v>
          </cell>
          <cell r="P47">
            <v>20</v>
          </cell>
          <cell r="Q47">
            <v>40</v>
          </cell>
          <cell r="S47">
            <v>34</v>
          </cell>
          <cell r="T47">
            <v>28</v>
          </cell>
          <cell r="U47">
            <v>29</v>
          </cell>
          <cell r="V47">
            <v>24</v>
          </cell>
          <cell r="W47">
            <v>28</v>
          </cell>
          <cell r="X47">
            <v>28</v>
          </cell>
          <cell r="Y47">
            <v>26</v>
          </cell>
          <cell r="AA47">
            <v>35</v>
          </cell>
          <cell r="AB47">
            <v>24</v>
          </cell>
          <cell r="AC47">
            <v>36</v>
          </cell>
          <cell r="AD47">
            <v>30</v>
          </cell>
          <cell r="AE47">
            <v>33</v>
          </cell>
          <cell r="AF47">
            <v>31</v>
          </cell>
          <cell r="AG47">
            <v>32</v>
          </cell>
          <cell r="AH47">
            <v>28</v>
          </cell>
          <cell r="AI47">
            <v>36</v>
          </cell>
          <cell r="AJ47">
            <v>30</v>
          </cell>
          <cell r="AK47">
            <v>33</v>
          </cell>
          <cell r="AL47">
            <v>29</v>
          </cell>
          <cell r="AM47">
            <v>48</v>
          </cell>
        </row>
        <row r="48">
          <cell r="A48">
            <v>745</v>
          </cell>
          <cell r="B48" t="str">
            <v xml:space="preserve">SHIVANSH MISHRA </v>
          </cell>
          <cell r="C48" t="str">
            <v xml:space="preserve">AJITKANT MISHRA  </v>
          </cell>
          <cell r="D48" t="str">
            <v xml:space="preserve">SEEMA  </v>
          </cell>
          <cell r="E48">
            <v>40850</v>
          </cell>
          <cell r="F48">
            <v>199742545</v>
          </cell>
          <cell r="G48">
            <v>597</v>
          </cell>
          <cell r="H48" t="str">
            <v>BARGI</v>
          </cell>
          <cell r="I48" t="str">
            <v>7TH</v>
          </cell>
          <cell r="J48" t="str">
            <v>2023-24</v>
          </cell>
          <cell r="K48">
            <v>36</v>
          </cell>
          <cell r="L48">
            <v>31</v>
          </cell>
          <cell r="M48">
            <v>29</v>
          </cell>
          <cell r="N48">
            <v>20</v>
          </cell>
          <cell r="O48">
            <v>30</v>
          </cell>
          <cell r="P48">
            <v>20</v>
          </cell>
          <cell r="Q48">
            <v>24</v>
          </cell>
          <cell r="S48">
            <v>39</v>
          </cell>
          <cell r="T48">
            <v>26</v>
          </cell>
          <cell r="U48">
            <v>34</v>
          </cell>
          <cell r="V48">
            <v>27</v>
          </cell>
          <cell r="W48">
            <v>27</v>
          </cell>
          <cell r="X48">
            <v>27</v>
          </cell>
          <cell r="Y48">
            <v>34</v>
          </cell>
          <cell r="AA48">
            <v>31</v>
          </cell>
          <cell r="AB48">
            <v>24</v>
          </cell>
          <cell r="AC48">
            <v>34</v>
          </cell>
          <cell r="AD48">
            <v>30</v>
          </cell>
          <cell r="AE48">
            <v>38</v>
          </cell>
          <cell r="AF48">
            <v>36</v>
          </cell>
          <cell r="AG48">
            <v>31</v>
          </cell>
          <cell r="AH48">
            <v>30</v>
          </cell>
          <cell r="AI48">
            <v>40</v>
          </cell>
          <cell r="AJ48">
            <v>35</v>
          </cell>
          <cell r="AK48">
            <v>36</v>
          </cell>
          <cell r="AL48">
            <v>32</v>
          </cell>
          <cell r="AM48">
            <v>51</v>
          </cell>
        </row>
        <row r="49">
          <cell r="A49">
            <v>746</v>
          </cell>
          <cell r="B49" t="str">
            <v xml:space="preserve">SUBHAM LODHI </v>
          </cell>
          <cell r="C49" t="str">
            <v xml:space="preserve">RAVI LODHI </v>
          </cell>
          <cell r="D49" t="str">
            <v xml:space="preserve">ROSHNI </v>
          </cell>
          <cell r="E49">
            <v>40550</v>
          </cell>
          <cell r="F49">
            <v>189105287</v>
          </cell>
          <cell r="G49">
            <v>649</v>
          </cell>
          <cell r="H49" t="str">
            <v>DHANGAWAN</v>
          </cell>
          <cell r="I49" t="str">
            <v>7TH</v>
          </cell>
          <cell r="J49" t="str">
            <v>2023-24</v>
          </cell>
          <cell r="K49">
            <v>35</v>
          </cell>
          <cell r="L49">
            <v>34</v>
          </cell>
          <cell r="M49">
            <v>30</v>
          </cell>
          <cell r="N49">
            <v>20</v>
          </cell>
          <cell r="O49">
            <v>27</v>
          </cell>
          <cell r="P49">
            <v>25</v>
          </cell>
          <cell r="Q49">
            <v>17</v>
          </cell>
          <cell r="S49">
            <v>41</v>
          </cell>
          <cell r="T49">
            <v>26</v>
          </cell>
          <cell r="U49">
            <v>28</v>
          </cell>
          <cell r="V49">
            <v>26</v>
          </cell>
          <cell r="W49">
            <v>26</v>
          </cell>
          <cell r="X49">
            <v>29</v>
          </cell>
          <cell r="Y49">
            <v>39</v>
          </cell>
          <cell r="AA49">
            <v>35</v>
          </cell>
          <cell r="AB49">
            <v>20</v>
          </cell>
          <cell r="AC49">
            <v>33</v>
          </cell>
          <cell r="AD49">
            <v>31</v>
          </cell>
          <cell r="AE49">
            <v>32</v>
          </cell>
          <cell r="AF49">
            <v>30</v>
          </cell>
          <cell r="AG49">
            <v>36</v>
          </cell>
          <cell r="AH49">
            <v>34</v>
          </cell>
          <cell r="AI49">
            <v>32</v>
          </cell>
          <cell r="AJ49">
            <v>30</v>
          </cell>
          <cell r="AK49">
            <v>29</v>
          </cell>
          <cell r="AL49">
            <v>27</v>
          </cell>
          <cell r="AM49">
            <v>47</v>
          </cell>
        </row>
        <row r="50">
          <cell r="A50">
            <v>747</v>
          </cell>
          <cell r="B50" t="str">
            <v xml:space="preserve">SOORAJ PATEL </v>
          </cell>
          <cell r="C50" t="str">
            <v xml:space="preserve">MUKESH KUMAR </v>
          </cell>
          <cell r="D50" t="str">
            <v xml:space="preserve">ASHA BAI </v>
          </cell>
          <cell r="E50">
            <v>40670</v>
          </cell>
          <cell r="F50">
            <v>108761793</v>
          </cell>
          <cell r="G50">
            <v>650</v>
          </cell>
          <cell r="H50" t="str">
            <v xml:space="preserve">PAHARUA </v>
          </cell>
          <cell r="I50" t="str">
            <v>7TH</v>
          </cell>
          <cell r="J50" t="str">
            <v>2023-24</v>
          </cell>
          <cell r="K50">
            <v>26</v>
          </cell>
          <cell r="L50">
            <v>21</v>
          </cell>
          <cell r="M50">
            <v>18</v>
          </cell>
          <cell r="N50">
            <v>20</v>
          </cell>
          <cell r="O50">
            <v>28</v>
          </cell>
          <cell r="P50">
            <v>20</v>
          </cell>
          <cell r="Q50">
            <v>24</v>
          </cell>
          <cell r="S50">
            <v>26</v>
          </cell>
          <cell r="T50">
            <v>25</v>
          </cell>
          <cell r="U50">
            <v>26</v>
          </cell>
          <cell r="V50">
            <v>26</v>
          </cell>
          <cell r="W50">
            <v>27</v>
          </cell>
          <cell r="X50">
            <v>26</v>
          </cell>
          <cell r="Y50">
            <v>41</v>
          </cell>
          <cell r="AA50">
            <v>29</v>
          </cell>
          <cell r="AB50">
            <v>29</v>
          </cell>
          <cell r="AC50">
            <v>36</v>
          </cell>
          <cell r="AD50">
            <v>30</v>
          </cell>
          <cell r="AE50">
            <v>31</v>
          </cell>
          <cell r="AF50">
            <v>29</v>
          </cell>
          <cell r="AG50">
            <v>31</v>
          </cell>
          <cell r="AH50">
            <v>28</v>
          </cell>
          <cell r="AI50">
            <v>28</v>
          </cell>
          <cell r="AJ50">
            <v>24</v>
          </cell>
          <cell r="AK50">
            <v>25</v>
          </cell>
          <cell r="AL50">
            <v>21</v>
          </cell>
          <cell r="AM50">
            <v>51</v>
          </cell>
        </row>
        <row r="51">
          <cell r="A51">
            <v>748</v>
          </cell>
          <cell r="B51" t="str">
            <v>SAHIL MEHRA</v>
          </cell>
          <cell r="C51" t="str">
            <v xml:space="preserve">SANTOSH MEHRA </v>
          </cell>
          <cell r="D51" t="str">
            <v xml:space="preserve">ROSHNI MEHRA </v>
          </cell>
          <cell r="E51" t="str">
            <v>19/02/2011</v>
          </cell>
          <cell r="F51">
            <v>137960532</v>
          </cell>
          <cell r="G51">
            <v>1257</v>
          </cell>
          <cell r="H51" t="str">
            <v xml:space="preserve">NIMAS </v>
          </cell>
          <cell r="I51" t="str">
            <v>7TH</v>
          </cell>
          <cell r="J51" t="str">
            <v>2023-24</v>
          </cell>
          <cell r="K51">
            <v>35</v>
          </cell>
          <cell r="L51">
            <v>37</v>
          </cell>
          <cell r="M51">
            <v>29</v>
          </cell>
          <cell r="N51">
            <v>34</v>
          </cell>
          <cell r="O51">
            <v>18</v>
          </cell>
          <cell r="P51">
            <v>22</v>
          </cell>
          <cell r="Q51">
            <v>23</v>
          </cell>
          <cell r="S51">
            <v>33</v>
          </cell>
          <cell r="T51">
            <v>25</v>
          </cell>
          <cell r="U51">
            <v>25</v>
          </cell>
          <cell r="V51">
            <v>27</v>
          </cell>
          <cell r="W51">
            <v>25</v>
          </cell>
          <cell r="X51">
            <v>28</v>
          </cell>
          <cell r="Y51">
            <v>26</v>
          </cell>
          <cell r="AA51">
            <v>35</v>
          </cell>
          <cell r="AB51">
            <v>24</v>
          </cell>
          <cell r="AC51">
            <v>29</v>
          </cell>
          <cell r="AD51">
            <v>25</v>
          </cell>
          <cell r="AE51">
            <v>33</v>
          </cell>
          <cell r="AF51">
            <v>30</v>
          </cell>
          <cell r="AG51">
            <v>35</v>
          </cell>
          <cell r="AH51">
            <v>31</v>
          </cell>
          <cell r="AI51">
            <v>30</v>
          </cell>
          <cell r="AJ51">
            <v>28</v>
          </cell>
          <cell r="AK51">
            <v>29</v>
          </cell>
          <cell r="AL51">
            <v>26</v>
          </cell>
          <cell r="AM51">
            <v>49</v>
          </cell>
        </row>
        <row r="52">
          <cell r="A52">
            <v>749</v>
          </cell>
          <cell r="B52" t="str">
            <v>SHREYANSH YADAV</v>
          </cell>
          <cell r="C52" t="str">
            <v xml:space="preserve">LATE LALCHANDRA </v>
          </cell>
          <cell r="D52" t="str">
            <v xml:space="preserve">SUNEETA BAI </v>
          </cell>
          <cell r="E52" t="str">
            <v>21/07/2011</v>
          </cell>
          <cell r="F52">
            <v>131869371</v>
          </cell>
          <cell r="G52">
            <v>596</v>
          </cell>
          <cell r="H52" t="str">
            <v>MAHAGAWAN</v>
          </cell>
          <cell r="I52" t="str">
            <v>7TH</v>
          </cell>
          <cell r="J52" t="str">
            <v>2023-24</v>
          </cell>
          <cell r="K52">
            <v>34</v>
          </cell>
          <cell r="L52">
            <v>34</v>
          </cell>
          <cell r="M52">
            <v>24</v>
          </cell>
          <cell r="N52">
            <v>20</v>
          </cell>
          <cell r="O52">
            <v>19</v>
          </cell>
          <cell r="P52">
            <v>20</v>
          </cell>
          <cell r="Q52">
            <v>29</v>
          </cell>
          <cell r="S52">
            <v>35</v>
          </cell>
          <cell r="T52">
            <v>26</v>
          </cell>
          <cell r="U52">
            <v>26</v>
          </cell>
          <cell r="V52">
            <v>25</v>
          </cell>
          <cell r="W52">
            <v>28</v>
          </cell>
          <cell r="X52">
            <v>26</v>
          </cell>
          <cell r="Y52">
            <v>33</v>
          </cell>
          <cell r="AA52">
            <v>34</v>
          </cell>
          <cell r="AB52">
            <v>23</v>
          </cell>
          <cell r="AC52">
            <v>35</v>
          </cell>
          <cell r="AD52">
            <v>30</v>
          </cell>
          <cell r="AE52">
            <v>33</v>
          </cell>
          <cell r="AF52">
            <v>31</v>
          </cell>
          <cell r="AG52">
            <v>31</v>
          </cell>
          <cell r="AH52">
            <v>27</v>
          </cell>
          <cell r="AI52">
            <v>27</v>
          </cell>
          <cell r="AJ52">
            <v>22</v>
          </cell>
          <cell r="AK52">
            <v>27</v>
          </cell>
          <cell r="AL52">
            <v>24</v>
          </cell>
          <cell r="AM52">
            <v>45</v>
          </cell>
        </row>
        <row r="53">
          <cell r="A53">
            <v>750</v>
          </cell>
          <cell r="B53" t="str">
            <v>TRIBHOM SEN</v>
          </cell>
          <cell r="C53" t="str">
            <v xml:space="preserve">SUNEEL SEN </v>
          </cell>
          <cell r="D53" t="str">
            <v>JYOTI SEN</v>
          </cell>
          <cell r="E53">
            <v>41163</v>
          </cell>
          <cell r="F53">
            <v>199438323</v>
          </cell>
          <cell r="G53">
            <v>614</v>
          </cell>
          <cell r="H53" t="str">
            <v>DHANGAWAN</v>
          </cell>
          <cell r="I53" t="str">
            <v>7TH</v>
          </cell>
          <cell r="J53" t="str">
            <v>2023-24</v>
          </cell>
          <cell r="K53">
            <v>34</v>
          </cell>
          <cell r="L53">
            <v>32</v>
          </cell>
          <cell r="M53">
            <v>26</v>
          </cell>
          <cell r="N53">
            <v>20</v>
          </cell>
          <cell r="O53">
            <v>22</v>
          </cell>
          <cell r="P53">
            <v>20</v>
          </cell>
          <cell r="Q53">
            <v>17</v>
          </cell>
          <cell r="S53">
            <v>29</v>
          </cell>
          <cell r="T53">
            <v>25</v>
          </cell>
          <cell r="U53">
            <v>28</v>
          </cell>
          <cell r="V53">
            <v>26</v>
          </cell>
          <cell r="W53">
            <v>29</v>
          </cell>
          <cell r="X53">
            <v>28</v>
          </cell>
          <cell r="Y53">
            <v>35</v>
          </cell>
          <cell r="AA53">
            <v>36</v>
          </cell>
          <cell r="AB53">
            <v>23</v>
          </cell>
          <cell r="AC53">
            <v>37</v>
          </cell>
          <cell r="AD53">
            <v>32</v>
          </cell>
          <cell r="AE53">
            <v>30</v>
          </cell>
          <cell r="AF53">
            <v>28</v>
          </cell>
          <cell r="AG53">
            <v>32</v>
          </cell>
          <cell r="AH53">
            <v>30</v>
          </cell>
          <cell r="AI53">
            <v>37</v>
          </cell>
          <cell r="AJ53">
            <v>35</v>
          </cell>
          <cell r="AK53">
            <v>33</v>
          </cell>
          <cell r="AL53">
            <v>30</v>
          </cell>
          <cell r="AM53">
            <v>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RKSHEET "/>
      <sheetName val="CLASS 9TH "/>
    </sheetNames>
    <sheetDataSet>
      <sheetData sheetId="0" refreshError="1"/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</row>
        <row r="2">
          <cell r="A2" t="str">
            <v xml:space="preserve">class - 9TH </v>
          </cell>
          <cell r="C2" t="str">
            <v>CODE- KK</v>
          </cell>
          <cell r="K2" t="str">
            <v xml:space="preserve">QUARTARLY  EXAM </v>
          </cell>
          <cell r="Z2" t="str">
            <v xml:space="preserve">HALP YEARLY  EXAM </v>
          </cell>
          <cell r="AM2" t="str">
            <v xml:space="preserve">ANNUAL EXAM  </v>
          </cell>
        </row>
        <row r="3">
          <cell r="A3" t="str">
            <v xml:space="preserve">ROLL NO. </v>
          </cell>
          <cell r="B3" t="str">
            <v xml:space="preserve">NAME OF STUDENT </v>
          </cell>
          <cell r="C3" t="str">
            <v xml:space="preserve">NAME OF FATHER </v>
          </cell>
          <cell r="D3" t="str">
            <v xml:space="preserve">NAME OF MOTHER </v>
          </cell>
          <cell r="E3" t="str">
            <v>BIRTH DATE</v>
          </cell>
          <cell r="F3" t="str">
            <v xml:space="preserve">SSSM ID </v>
          </cell>
          <cell r="G3" t="str">
            <v>ADMISSION  NO.</v>
          </cell>
          <cell r="H3" t="str">
            <v xml:space="preserve">VILLAGE </v>
          </cell>
          <cell r="I3" t="str">
            <v>CLASS</v>
          </cell>
          <cell r="J3" t="str">
            <v xml:space="preserve">YEAR </v>
          </cell>
          <cell r="K3" t="str">
            <v xml:space="preserve">HINDI </v>
          </cell>
          <cell r="L3" t="str">
            <v xml:space="preserve">PROJECT </v>
          </cell>
          <cell r="M3" t="str">
            <v xml:space="preserve">ENGLISH </v>
          </cell>
          <cell r="N3" t="str">
            <v xml:space="preserve">PROJECT </v>
          </cell>
          <cell r="O3" t="str">
            <v xml:space="preserve">SANSTRIT </v>
          </cell>
          <cell r="P3" t="str">
            <v xml:space="preserve">PROJECT </v>
          </cell>
          <cell r="Q3" t="str">
            <v>MATH</v>
          </cell>
          <cell r="R3" t="str">
            <v xml:space="preserve">PROJECT </v>
          </cell>
          <cell r="S3" t="str">
            <v xml:space="preserve">SCIENCE </v>
          </cell>
          <cell r="T3" t="str">
            <v xml:space="preserve">PROJECT </v>
          </cell>
          <cell r="U3" t="str">
            <v xml:space="preserve">SO. SCIENCE </v>
          </cell>
          <cell r="V3" t="str">
            <v xml:space="preserve">PROJECT </v>
          </cell>
          <cell r="W3" t="str">
            <v xml:space="preserve">APDA PARABHNADN </v>
          </cell>
          <cell r="Y3" t="str">
            <v xml:space="preserve">HINDI </v>
          </cell>
          <cell r="Z3" t="str">
            <v xml:space="preserve">PROJECT </v>
          </cell>
          <cell r="AA3" t="str">
            <v xml:space="preserve">ENGLISH </v>
          </cell>
          <cell r="AB3" t="str">
            <v xml:space="preserve">PROJECT </v>
          </cell>
          <cell r="AC3" t="str">
            <v xml:space="preserve">SANSTRIT </v>
          </cell>
          <cell r="AD3" t="str">
            <v xml:space="preserve">PROJECT </v>
          </cell>
          <cell r="AE3" t="str">
            <v>MATH</v>
          </cell>
          <cell r="AF3" t="str">
            <v xml:space="preserve">PROJECT </v>
          </cell>
          <cell r="AG3" t="str">
            <v xml:space="preserve">SCIENCE </v>
          </cell>
          <cell r="AH3" t="str">
            <v xml:space="preserve">PROJECT </v>
          </cell>
          <cell r="AI3" t="str">
            <v xml:space="preserve">SO. SCIENCE </v>
          </cell>
          <cell r="AJ3" t="str">
            <v xml:space="preserve">PROJECT </v>
          </cell>
          <cell r="AK3" t="str">
            <v xml:space="preserve">APDA PARABHNADN </v>
          </cell>
          <cell r="AM3" t="str">
            <v xml:space="preserve">HINDI </v>
          </cell>
          <cell r="AN3" t="str">
            <v xml:space="preserve">PROJECT </v>
          </cell>
          <cell r="AO3" t="str">
            <v xml:space="preserve">ENGLISH </v>
          </cell>
          <cell r="AP3" t="str">
            <v xml:space="preserve">PROJECT </v>
          </cell>
          <cell r="AQ3" t="str">
            <v xml:space="preserve">SANSTRIT </v>
          </cell>
          <cell r="AR3" t="str">
            <v xml:space="preserve">PROJECT </v>
          </cell>
          <cell r="AS3" t="str">
            <v>MATH</v>
          </cell>
          <cell r="AT3" t="str">
            <v xml:space="preserve">PROJECT </v>
          </cell>
          <cell r="AU3" t="str">
            <v xml:space="preserve">SCIENCE </v>
          </cell>
          <cell r="AV3" t="str">
            <v xml:space="preserve">PROJECT </v>
          </cell>
          <cell r="AW3" t="str">
            <v xml:space="preserve">SO. SCIENCE </v>
          </cell>
          <cell r="AX3" t="str">
            <v xml:space="preserve">PROJECT </v>
          </cell>
          <cell r="AY3" t="str">
            <v xml:space="preserve">APDA PARABHNADN </v>
          </cell>
          <cell r="BA3" t="str">
            <v>ENROLMENT NO</v>
          </cell>
        </row>
        <row r="4">
          <cell r="A4">
            <v>9001</v>
          </cell>
          <cell r="B4" t="str">
            <v>AKANKSHA PATEL</v>
          </cell>
          <cell r="C4" t="str">
            <v xml:space="preserve">SHIV KUMAR PATEL </v>
          </cell>
          <cell r="D4" t="str">
            <v xml:space="preserve"> TULSA BAI PATEL</v>
          </cell>
          <cell r="E4">
            <v>40439</v>
          </cell>
          <cell r="F4">
            <v>107354393</v>
          </cell>
          <cell r="G4">
            <v>663</v>
          </cell>
          <cell r="I4" t="str">
            <v xml:space="preserve">9TH </v>
          </cell>
          <cell r="J4" t="str">
            <v>2024-25</v>
          </cell>
          <cell r="K4">
            <v>49</v>
          </cell>
          <cell r="L4">
            <v>24</v>
          </cell>
          <cell r="M4">
            <v>40</v>
          </cell>
          <cell r="N4">
            <v>22</v>
          </cell>
          <cell r="O4">
            <v>50</v>
          </cell>
          <cell r="P4">
            <v>24</v>
          </cell>
          <cell r="Q4">
            <v>35</v>
          </cell>
          <cell r="R4">
            <v>23</v>
          </cell>
          <cell r="S4">
            <v>37</v>
          </cell>
          <cell r="T4">
            <v>23</v>
          </cell>
          <cell r="U4">
            <v>38</v>
          </cell>
          <cell r="V4">
            <v>24</v>
          </cell>
          <cell r="W4" t="str">
            <v>A +</v>
          </cell>
          <cell r="Y4">
            <v>50</v>
          </cell>
          <cell r="Z4">
            <v>24</v>
          </cell>
          <cell r="AA4">
            <v>44</v>
          </cell>
          <cell r="AB4">
            <v>24</v>
          </cell>
          <cell r="AC4">
            <v>47</v>
          </cell>
          <cell r="AD4">
            <v>23</v>
          </cell>
          <cell r="AE4">
            <v>48</v>
          </cell>
          <cell r="AF4">
            <v>24</v>
          </cell>
          <cell r="AG4">
            <v>42</v>
          </cell>
          <cell r="AH4">
            <v>23</v>
          </cell>
          <cell r="AI4">
            <v>46</v>
          </cell>
          <cell r="AJ4">
            <v>23</v>
          </cell>
          <cell r="AK4" t="str">
            <v>A +</v>
          </cell>
          <cell r="AM4">
            <v>52</v>
          </cell>
          <cell r="AN4">
            <v>23</v>
          </cell>
          <cell r="AO4">
            <v>46</v>
          </cell>
          <cell r="AP4">
            <v>22</v>
          </cell>
          <cell r="AQ4">
            <v>60</v>
          </cell>
          <cell r="AR4">
            <v>24</v>
          </cell>
          <cell r="AS4">
            <v>46</v>
          </cell>
          <cell r="AT4">
            <v>20</v>
          </cell>
          <cell r="AU4">
            <v>39</v>
          </cell>
          <cell r="AV4">
            <v>24</v>
          </cell>
          <cell r="AW4">
            <v>37</v>
          </cell>
          <cell r="AX4">
            <v>21</v>
          </cell>
          <cell r="AY4" t="str">
            <v xml:space="preserve">A+ </v>
          </cell>
          <cell r="BA4" t="str">
            <v xml:space="preserve"> A24/712384/030</v>
          </cell>
        </row>
        <row r="5">
          <cell r="A5">
            <v>9002</v>
          </cell>
          <cell r="B5" t="str">
            <v>AKANKSHA KUSHWAHA</v>
          </cell>
          <cell r="C5" t="str">
            <v xml:space="preserve">SANTOSH KUMAR KUSHWAHA </v>
          </cell>
          <cell r="D5" t="str">
            <v>ARADHNA KUSHWAHA</v>
          </cell>
          <cell r="E5">
            <v>40172</v>
          </cell>
          <cell r="F5">
            <v>107114652</v>
          </cell>
          <cell r="G5">
            <v>1196</v>
          </cell>
          <cell r="I5" t="str">
            <v xml:space="preserve">9TH </v>
          </cell>
          <cell r="J5" t="str">
            <v>2024-25</v>
          </cell>
          <cell r="K5">
            <v>64</v>
          </cell>
          <cell r="L5">
            <v>23</v>
          </cell>
          <cell r="M5">
            <v>49</v>
          </cell>
          <cell r="N5">
            <v>23</v>
          </cell>
          <cell r="O5">
            <v>67</v>
          </cell>
          <cell r="P5">
            <v>24</v>
          </cell>
          <cell r="Q5">
            <v>56</v>
          </cell>
          <cell r="R5">
            <v>24</v>
          </cell>
          <cell r="S5">
            <v>61</v>
          </cell>
          <cell r="T5">
            <v>23</v>
          </cell>
          <cell r="U5">
            <v>55</v>
          </cell>
          <cell r="V5">
            <v>24</v>
          </cell>
          <cell r="W5" t="str">
            <v xml:space="preserve">A </v>
          </cell>
          <cell r="Y5">
            <v>72</v>
          </cell>
          <cell r="Z5">
            <v>25</v>
          </cell>
          <cell r="AA5">
            <v>65</v>
          </cell>
          <cell r="AB5">
            <v>24</v>
          </cell>
          <cell r="AC5">
            <v>70</v>
          </cell>
          <cell r="AD5">
            <v>25</v>
          </cell>
          <cell r="AE5">
            <v>67</v>
          </cell>
          <cell r="AF5">
            <v>25</v>
          </cell>
          <cell r="AG5">
            <v>68</v>
          </cell>
          <cell r="AH5">
            <v>24</v>
          </cell>
          <cell r="AI5">
            <v>65</v>
          </cell>
          <cell r="AJ5">
            <v>25</v>
          </cell>
          <cell r="AK5" t="str">
            <v xml:space="preserve">A </v>
          </cell>
          <cell r="AM5">
            <v>74</v>
          </cell>
          <cell r="AN5">
            <v>24</v>
          </cell>
          <cell r="AO5">
            <v>68</v>
          </cell>
          <cell r="AP5">
            <v>24</v>
          </cell>
          <cell r="AQ5">
            <v>72</v>
          </cell>
          <cell r="AR5">
            <v>25</v>
          </cell>
          <cell r="AS5">
            <v>73</v>
          </cell>
          <cell r="AT5">
            <v>25</v>
          </cell>
          <cell r="AU5">
            <v>72</v>
          </cell>
          <cell r="AV5">
            <v>24</v>
          </cell>
          <cell r="AW5">
            <v>67</v>
          </cell>
          <cell r="AX5">
            <v>24</v>
          </cell>
          <cell r="AY5" t="str">
            <v xml:space="preserve">A </v>
          </cell>
          <cell r="BA5" t="str">
            <v xml:space="preserve"> A24/712384/009</v>
          </cell>
        </row>
        <row r="6">
          <cell r="A6">
            <v>9003</v>
          </cell>
          <cell r="B6" t="str">
            <v>ANSHIKA SINGH</v>
          </cell>
          <cell r="C6" t="str">
            <v xml:space="preserve">INDRAPAL SINGH </v>
          </cell>
          <cell r="D6" t="str">
            <v>DURGA BAI</v>
          </cell>
          <cell r="E6">
            <v>40439</v>
          </cell>
          <cell r="F6">
            <v>105015096</v>
          </cell>
          <cell r="G6">
            <v>428</v>
          </cell>
          <cell r="I6" t="str">
            <v xml:space="preserve">9TH </v>
          </cell>
          <cell r="J6" t="str">
            <v>2024-25</v>
          </cell>
          <cell r="K6">
            <v>34</v>
          </cell>
          <cell r="L6">
            <v>22</v>
          </cell>
          <cell r="M6">
            <v>32</v>
          </cell>
          <cell r="N6">
            <v>18</v>
          </cell>
          <cell r="O6">
            <v>35</v>
          </cell>
          <cell r="P6">
            <v>19</v>
          </cell>
          <cell r="Q6">
            <v>32</v>
          </cell>
          <cell r="R6">
            <v>18</v>
          </cell>
          <cell r="S6">
            <v>35</v>
          </cell>
          <cell r="T6">
            <v>17</v>
          </cell>
          <cell r="U6">
            <v>36</v>
          </cell>
          <cell r="V6">
            <v>20</v>
          </cell>
          <cell r="W6" t="str">
            <v>A +</v>
          </cell>
          <cell r="Y6">
            <v>38</v>
          </cell>
          <cell r="Z6">
            <v>18</v>
          </cell>
          <cell r="AA6">
            <v>35</v>
          </cell>
          <cell r="AB6">
            <v>16</v>
          </cell>
          <cell r="AC6">
            <v>39</v>
          </cell>
          <cell r="AD6">
            <v>18</v>
          </cell>
          <cell r="AE6">
            <v>34</v>
          </cell>
          <cell r="AF6">
            <v>16</v>
          </cell>
          <cell r="AG6">
            <v>37</v>
          </cell>
          <cell r="AH6">
            <v>17</v>
          </cell>
          <cell r="AI6">
            <v>42</v>
          </cell>
          <cell r="AJ6">
            <v>18</v>
          </cell>
          <cell r="AK6" t="str">
            <v>A +</v>
          </cell>
          <cell r="AM6">
            <v>43</v>
          </cell>
          <cell r="AN6">
            <v>22</v>
          </cell>
          <cell r="AO6">
            <v>40</v>
          </cell>
          <cell r="AP6">
            <v>21</v>
          </cell>
          <cell r="AQ6">
            <v>34</v>
          </cell>
          <cell r="AR6">
            <v>23</v>
          </cell>
          <cell r="AS6">
            <v>35</v>
          </cell>
          <cell r="AT6">
            <v>20</v>
          </cell>
          <cell r="AU6">
            <v>38</v>
          </cell>
          <cell r="AV6">
            <v>23</v>
          </cell>
          <cell r="AW6">
            <v>28</v>
          </cell>
          <cell r="AX6">
            <v>19</v>
          </cell>
          <cell r="AY6" t="str">
            <v>A +</v>
          </cell>
          <cell r="BA6" t="str">
            <v xml:space="preserve"> A24/712384/035</v>
          </cell>
        </row>
        <row r="7">
          <cell r="A7">
            <v>9004</v>
          </cell>
          <cell r="B7" t="str">
            <v>ASHI PATEL</v>
          </cell>
          <cell r="C7" t="str">
            <v xml:space="preserve">ASHOK PATEL </v>
          </cell>
          <cell r="D7" t="str">
            <v>SAROJ PATEL</v>
          </cell>
          <cell r="E7">
            <v>40363</v>
          </cell>
          <cell r="F7">
            <v>124522280</v>
          </cell>
          <cell r="G7">
            <v>414</v>
          </cell>
          <cell r="I7" t="str">
            <v xml:space="preserve">9TH </v>
          </cell>
          <cell r="J7" t="str">
            <v>2024-25</v>
          </cell>
          <cell r="K7">
            <v>52</v>
          </cell>
          <cell r="L7">
            <v>24</v>
          </cell>
          <cell r="M7">
            <v>48</v>
          </cell>
          <cell r="N7">
            <v>22</v>
          </cell>
          <cell r="O7">
            <v>58</v>
          </cell>
          <cell r="P7">
            <v>24</v>
          </cell>
          <cell r="Q7">
            <v>40</v>
          </cell>
          <cell r="R7">
            <v>23</v>
          </cell>
          <cell r="S7">
            <v>42</v>
          </cell>
          <cell r="T7">
            <v>22</v>
          </cell>
          <cell r="U7">
            <v>43</v>
          </cell>
          <cell r="V7">
            <v>24</v>
          </cell>
          <cell r="W7" t="str">
            <v xml:space="preserve">A </v>
          </cell>
          <cell r="Y7">
            <v>54</v>
          </cell>
          <cell r="Z7">
            <v>25</v>
          </cell>
          <cell r="AA7">
            <v>44</v>
          </cell>
          <cell r="AB7">
            <v>22</v>
          </cell>
          <cell r="AC7">
            <v>50</v>
          </cell>
          <cell r="AD7">
            <v>24</v>
          </cell>
          <cell r="AE7">
            <v>47</v>
          </cell>
          <cell r="AF7">
            <v>23</v>
          </cell>
          <cell r="AG7">
            <v>52</v>
          </cell>
          <cell r="AH7">
            <v>24</v>
          </cell>
          <cell r="AI7">
            <v>49</v>
          </cell>
          <cell r="AJ7">
            <v>25</v>
          </cell>
          <cell r="AK7" t="str">
            <v xml:space="preserve">A </v>
          </cell>
          <cell r="AM7">
            <v>61</v>
          </cell>
          <cell r="AN7">
            <v>23</v>
          </cell>
          <cell r="AO7">
            <v>49</v>
          </cell>
          <cell r="AP7">
            <v>21</v>
          </cell>
          <cell r="AQ7">
            <v>58</v>
          </cell>
          <cell r="AR7">
            <v>24</v>
          </cell>
          <cell r="AS7">
            <v>38</v>
          </cell>
          <cell r="AT7">
            <v>22</v>
          </cell>
          <cell r="AU7">
            <v>60</v>
          </cell>
          <cell r="AV7">
            <v>20</v>
          </cell>
          <cell r="AW7">
            <v>55</v>
          </cell>
          <cell r="AX7">
            <v>24</v>
          </cell>
          <cell r="AY7" t="str">
            <v xml:space="preserve">A </v>
          </cell>
          <cell r="BA7" t="str">
            <v xml:space="preserve"> A24/712384/023</v>
          </cell>
        </row>
        <row r="8">
          <cell r="A8">
            <v>9005</v>
          </cell>
          <cell r="B8" t="str">
            <v>ASHUYANTI PATEL</v>
          </cell>
          <cell r="C8" t="str">
            <v xml:space="preserve">SANDEEP PATEL </v>
          </cell>
          <cell r="D8" t="str">
            <v>BHOORI PATEL</v>
          </cell>
          <cell r="E8">
            <v>39884</v>
          </cell>
          <cell r="F8">
            <v>118717876</v>
          </cell>
          <cell r="G8">
            <v>419</v>
          </cell>
          <cell r="I8" t="str">
            <v xml:space="preserve">9TH </v>
          </cell>
          <cell r="J8" t="str">
            <v>2024-25</v>
          </cell>
          <cell r="K8">
            <v>34</v>
          </cell>
          <cell r="L8">
            <v>23</v>
          </cell>
          <cell r="M8">
            <v>30</v>
          </cell>
          <cell r="N8">
            <v>17</v>
          </cell>
          <cell r="O8">
            <v>40</v>
          </cell>
          <cell r="P8">
            <v>20</v>
          </cell>
          <cell r="Q8">
            <v>36</v>
          </cell>
          <cell r="R8">
            <v>18</v>
          </cell>
          <cell r="S8">
            <v>32</v>
          </cell>
          <cell r="T8">
            <v>17</v>
          </cell>
          <cell r="U8">
            <v>40</v>
          </cell>
          <cell r="V8">
            <v>16</v>
          </cell>
          <cell r="W8" t="str">
            <v xml:space="preserve">A </v>
          </cell>
          <cell r="Y8">
            <v>36</v>
          </cell>
          <cell r="Z8">
            <v>19</v>
          </cell>
          <cell r="AA8">
            <v>32</v>
          </cell>
          <cell r="AB8">
            <v>16</v>
          </cell>
          <cell r="AC8">
            <v>39</v>
          </cell>
          <cell r="AD8">
            <v>18</v>
          </cell>
          <cell r="AE8">
            <v>40</v>
          </cell>
          <cell r="AF8">
            <v>18</v>
          </cell>
          <cell r="AG8">
            <v>38</v>
          </cell>
          <cell r="AH8">
            <v>18</v>
          </cell>
          <cell r="AI8">
            <v>41</v>
          </cell>
          <cell r="AJ8">
            <v>19</v>
          </cell>
          <cell r="AK8" t="str">
            <v xml:space="preserve">A </v>
          </cell>
          <cell r="AM8">
            <v>44</v>
          </cell>
          <cell r="AN8">
            <v>23</v>
          </cell>
          <cell r="AO8">
            <v>45</v>
          </cell>
          <cell r="AP8">
            <v>20</v>
          </cell>
          <cell r="AQ8">
            <v>41</v>
          </cell>
          <cell r="AR8">
            <v>22</v>
          </cell>
          <cell r="AS8">
            <v>33</v>
          </cell>
          <cell r="AT8">
            <v>20</v>
          </cell>
          <cell r="AU8">
            <v>38</v>
          </cell>
          <cell r="AV8">
            <v>21</v>
          </cell>
          <cell r="AW8">
            <v>39</v>
          </cell>
          <cell r="AX8">
            <v>24</v>
          </cell>
          <cell r="AY8" t="str">
            <v>A +</v>
          </cell>
          <cell r="BA8" t="str">
            <v xml:space="preserve"> A24/712384/028</v>
          </cell>
        </row>
        <row r="9">
          <cell r="A9">
            <v>9006</v>
          </cell>
          <cell r="B9" t="str">
            <v>VRINDA BAIRAGI</v>
          </cell>
          <cell r="C9" t="str">
            <v xml:space="preserve">SATISH DAS BAIRAGI </v>
          </cell>
          <cell r="D9" t="str">
            <v>ROSHANI BAIRAGI</v>
          </cell>
          <cell r="E9">
            <v>40498</v>
          </cell>
          <cell r="F9">
            <v>168655752</v>
          </cell>
          <cell r="G9">
            <v>1550</v>
          </cell>
          <cell r="I9" t="str">
            <v xml:space="preserve">9TH </v>
          </cell>
          <cell r="J9" t="str">
            <v>2024-25</v>
          </cell>
          <cell r="K9">
            <v>40</v>
          </cell>
          <cell r="L9">
            <v>23</v>
          </cell>
          <cell r="M9">
            <v>30</v>
          </cell>
          <cell r="N9">
            <v>16</v>
          </cell>
          <cell r="O9">
            <v>41</v>
          </cell>
          <cell r="P9">
            <v>18</v>
          </cell>
          <cell r="Q9">
            <v>35</v>
          </cell>
          <cell r="R9">
            <v>17</v>
          </cell>
          <cell r="S9">
            <v>34</v>
          </cell>
          <cell r="T9">
            <v>16</v>
          </cell>
          <cell r="U9">
            <v>36</v>
          </cell>
          <cell r="V9">
            <v>15</v>
          </cell>
          <cell r="W9" t="str">
            <v xml:space="preserve">A+ </v>
          </cell>
          <cell r="Y9">
            <v>38</v>
          </cell>
          <cell r="Z9">
            <v>18</v>
          </cell>
          <cell r="AA9">
            <v>36</v>
          </cell>
          <cell r="AB9">
            <v>19</v>
          </cell>
          <cell r="AC9">
            <v>45</v>
          </cell>
          <cell r="AD9">
            <v>19</v>
          </cell>
          <cell r="AE9">
            <v>41</v>
          </cell>
          <cell r="AF9">
            <v>18</v>
          </cell>
          <cell r="AG9">
            <v>40</v>
          </cell>
          <cell r="AH9">
            <v>17</v>
          </cell>
          <cell r="AI9">
            <v>39</v>
          </cell>
          <cell r="AJ9">
            <v>18</v>
          </cell>
          <cell r="AK9" t="str">
            <v xml:space="preserve">A+ </v>
          </cell>
          <cell r="AM9">
            <v>42</v>
          </cell>
          <cell r="AN9">
            <v>23</v>
          </cell>
          <cell r="AO9">
            <v>41</v>
          </cell>
          <cell r="AP9">
            <v>19</v>
          </cell>
          <cell r="AQ9">
            <v>42</v>
          </cell>
          <cell r="AR9">
            <v>23</v>
          </cell>
          <cell r="AS9">
            <v>42</v>
          </cell>
          <cell r="AT9">
            <v>23</v>
          </cell>
          <cell r="AU9">
            <v>34</v>
          </cell>
          <cell r="AV9">
            <v>20</v>
          </cell>
          <cell r="AW9">
            <v>42</v>
          </cell>
          <cell r="AX9">
            <v>21</v>
          </cell>
          <cell r="AY9" t="str">
            <v xml:space="preserve">A </v>
          </cell>
          <cell r="BA9" t="str">
            <v xml:space="preserve"> A24/712384/020</v>
          </cell>
        </row>
        <row r="10">
          <cell r="A10">
            <v>9007</v>
          </cell>
          <cell r="B10" t="str">
            <v>MAHI DUBEY</v>
          </cell>
          <cell r="C10" t="str">
            <v xml:space="preserve">SANJAY DUBEY </v>
          </cell>
          <cell r="D10" t="str">
            <v>SHOBHA DUBEY</v>
          </cell>
          <cell r="E10">
            <v>40153</v>
          </cell>
          <cell r="F10">
            <v>187985790</v>
          </cell>
          <cell r="G10">
            <v>1635</v>
          </cell>
          <cell r="I10" t="str">
            <v xml:space="preserve">9TH </v>
          </cell>
          <cell r="J10" t="str">
            <v>2024-25</v>
          </cell>
          <cell r="K10">
            <v>49</v>
          </cell>
          <cell r="L10">
            <v>24</v>
          </cell>
          <cell r="M10">
            <v>51</v>
          </cell>
          <cell r="N10">
            <v>22</v>
          </cell>
          <cell r="O10">
            <v>52</v>
          </cell>
          <cell r="P10">
            <v>24</v>
          </cell>
          <cell r="Q10">
            <v>49</v>
          </cell>
          <cell r="R10">
            <v>23</v>
          </cell>
          <cell r="S10">
            <v>56</v>
          </cell>
          <cell r="T10">
            <v>24</v>
          </cell>
          <cell r="U10">
            <v>51</v>
          </cell>
          <cell r="V10">
            <v>25</v>
          </cell>
          <cell r="W10" t="str">
            <v xml:space="preserve">A </v>
          </cell>
          <cell r="Y10">
            <v>63</v>
          </cell>
          <cell r="Z10">
            <v>25</v>
          </cell>
          <cell r="AA10">
            <v>59</v>
          </cell>
          <cell r="AB10">
            <v>24</v>
          </cell>
          <cell r="AC10">
            <v>58</v>
          </cell>
          <cell r="AD10">
            <v>25</v>
          </cell>
          <cell r="AE10">
            <v>58</v>
          </cell>
          <cell r="AF10">
            <v>23</v>
          </cell>
          <cell r="AG10">
            <v>63</v>
          </cell>
          <cell r="AH10">
            <v>25</v>
          </cell>
          <cell r="AI10">
            <v>64</v>
          </cell>
          <cell r="AJ10">
            <v>25</v>
          </cell>
          <cell r="AK10" t="str">
            <v xml:space="preserve">A </v>
          </cell>
          <cell r="AM10">
            <v>69</v>
          </cell>
          <cell r="AN10">
            <v>24</v>
          </cell>
          <cell r="AO10">
            <v>66</v>
          </cell>
          <cell r="AP10">
            <v>23</v>
          </cell>
          <cell r="AQ10">
            <v>71</v>
          </cell>
          <cell r="AR10">
            <v>25</v>
          </cell>
          <cell r="AS10">
            <v>70</v>
          </cell>
          <cell r="AT10">
            <v>24</v>
          </cell>
          <cell r="AU10">
            <v>70</v>
          </cell>
          <cell r="AV10">
            <v>24</v>
          </cell>
          <cell r="AW10">
            <v>67</v>
          </cell>
          <cell r="AX10">
            <v>23</v>
          </cell>
          <cell r="AY10" t="str">
            <v xml:space="preserve">A </v>
          </cell>
          <cell r="BA10" t="str">
            <v xml:space="preserve"> A24/712384/027</v>
          </cell>
        </row>
        <row r="11">
          <cell r="A11">
            <v>9008</v>
          </cell>
          <cell r="B11" t="str">
            <v>MAHAK PATEL</v>
          </cell>
          <cell r="C11" t="str">
            <v xml:space="preserve">SANJAY KUMAR PATEL </v>
          </cell>
          <cell r="D11" t="str">
            <v>ASHWANI PATEL</v>
          </cell>
          <cell r="E11">
            <v>40752</v>
          </cell>
          <cell r="F11">
            <v>132372203</v>
          </cell>
          <cell r="G11">
            <v>432</v>
          </cell>
          <cell r="I11" t="str">
            <v xml:space="preserve">9TH </v>
          </cell>
          <cell r="J11" t="str">
            <v>2024-25</v>
          </cell>
          <cell r="K11">
            <v>46</v>
          </cell>
          <cell r="L11">
            <v>20</v>
          </cell>
          <cell r="M11">
            <v>41</v>
          </cell>
          <cell r="N11">
            <v>24</v>
          </cell>
          <cell r="O11">
            <v>61</v>
          </cell>
          <cell r="P11">
            <v>25</v>
          </cell>
          <cell r="Q11">
            <v>59</v>
          </cell>
          <cell r="R11">
            <v>24</v>
          </cell>
          <cell r="S11">
            <v>44</v>
          </cell>
          <cell r="T11">
            <v>23</v>
          </cell>
          <cell r="U11">
            <v>50</v>
          </cell>
          <cell r="V11">
            <v>24</v>
          </cell>
          <cell r="W11" t="str">
            <v>A +</v>
          </cell>
          <cell r="Y11">
            <v>60</v>
          </cell>
          <cell r="Z11">
            <v>24</v>
          </cell>
          <cell r="AA11">
            <v>46</v>
          </cell>
          <cell r="AB11">
            <v>24</v>
          </cell>
          <cell r="AC11">
            <v>62</v>
          </cell>
          <cell r="AD11">
            <v>25</v>
          </cell>
          <cell r="AE11">
            <v>55</v>
          </cell>
          <cell r="AF11">
            <v>24</v>
          </cell>
          <cell r="AG11">
            <v>60</v>
          </cell>
          <cell r="AH11">
            <v>25</v>
          </cell>
          <cell r="AI11">
            <v>63</v>
          </cell>
          <cell r="AJ11">
            <v>25</v>
          </cell>
          <cell r="AK11" t="str">
            <v>A +</v>
          </cell>
          <cell r="AM11">
            <v>54</v>
          </cell>
          <cell r="AN11">
            <v>23</v>
          </cell>
          <cell r="AO11">
            <v>55</v>
          </cell>
          <cell r="AP11">
            <v>22</v>
          </cell>
          <cell r="AQ11">
            <v>68</v>
          </cell>
          <cell r="AR11">
            <v>25</v>
          </cell>
          <cell r="AS11">
            <v>49</v>
          </cell>
          <cell r="AT11">
            <v>22</v>
          </cell>
          <cell r="AU11">
            <v>60</v>
          </cell>
          <cell r="AV11">
            <v>23</v>
          </cell>
          <cell r="AW11">
            <v>59</v>
          </cell>
          <cell r="AX11">
            <v>22</v>
          </cell>
          <cell r="AY11" t="str">
            <v xml:space="preserve">A+ </v>
          </cell>
          <cell r="BA11" t="str">
            <v xml:space="preserve"> A24/712384/025</v>
          </cell>
        </row>
        <row r="12">
          <cell r="A12">
            <v>9009</v>
          </cell>
          <cell r="B12" t="str">
            <v>MANSHI PATEL</v>
          </cell>
          <cell r="C12" t="str">
            <v xml:space="preserve">NAND KISHOR PATEL </v>
          </cell>
          <cell r="D12" t="str">
            <v>AHILYA BAI PATEL</v>
          </cell>
          <cell r="E12">
            <v>40442</v>
          </cell>
          <cell r="F12">
            <v>131894537</v>
          </cell>
          <cell r="G12">
            <v>489</v>
          </cell>
          <cell r="I12" t="str">
            <v xml:space="preserve">9TH </v>
          </cell>
          <cell r="J12" t="str">
            <v>2024-25</v>
          </cell>
          <cell r="K12">
            <v>46</v>
          </cell>
          <cell r="L12">
            <v>23</v>
          </cell>
          <cell r="M12">
            <v>41</v>
          </cell>
          <cell r="N12">
            <v>22</v>
          </cell>
          <cell r="O12">
            <v>53</v>
          </cell>
          <cell r="P12">
            <v>24</v>
          </cell>
          <cell r="Q12">
            <v>37</v>
          </cell>
          <cell r="R12">
            <v>23</v>
          </cell>
          <cell r="S12">
            <v>42</v>
          </cell>
          <cell r="T12">
            <v>24</v>
          </cell>
          <cell r="U12">
            <v>45</v>
          </cell>
          <cell r="V12">
            <v>23</v>
          </cell>
          <cell r="W12" t="str">
            <v xml:space="preserve">A </v>
          </cell>
          <cell r="Y12">
            <v>58</v>
          </cell>
          <cell r="Z12">
            <v>24</v>
          </cell>
          <cell r="AA12">
            <v>40</v>
          </cell>
          <cell r="AB12">
            <v>23</v>
          </cell>
          <cell r="AC12">
            <v>60</v>
          </cell>
          <cell r="AD12">
            <v>24</v>
          </cell>
          <cell r="AE12">
            <v>53</v>
          </cell>
          <cell r="AF12">
            <v>24</v>
          </cell>
          <cell r="AG12">
            <v>58</v>
          </cell>
          <cell r="AH12">
            <v>24</v>
          </cell>
          <cell r="AI12">
            <v>60</v>
          </cell>
          <cell r="AJ12">
            <v>24</v>
          </cell>
          <cell r="AK12" t="str">
            <v xml:space="preserve">A </v>
          </cell>
          <cell r="AM12">
            <v>62</v>
          </cell>
          <cell r="AN12">
            <v>24</v>
          </cell>
          <cell r="AO12">
            <v>54</v>
          </cell>
          <cell r="AP12">
            <v>21</v>
          </cell>
          <cell r="AQ12">
            <v>56</v>
          </cell>
          <cell r="AR12">
            <v>24</v>
          </cell>
          <cell r="AS12">
            <v>54</v>
          </cell>
          <cell r="AT12">
            <v>23</v>
          </cell>
          <cell r="AU12">
            <v>68</v>
          </cell>
          <cell r="AV12">
            <v>21</v>
          </cell>
          <cell r="AW12">
            <v>56</v>
          </cell>
          <cell r="AX12">
            <v>23</v>
          </cell>
          <cell r="AY12" t="str">
            <v xml:space="preserve">A </v>
          </cell>
          <cell r="BA12" t="str">
            <v xml:space="preserve"> A24/712384/013</v>
          </cell>
        </row>
        <row r="13">
          <cell r="A13">
            <v>9010</v>
          </cell>
          <cell r="B13" t="str">
            <v>MANSHI NAYAK</v>
          </cell>
          <cell r="C13" t="str">
            <v xml:space="preserve">AVINASH KUMAR NAYAK </v>
          </cell>
          <cell r="D13" t="str">
            <v xml:space="preserve"> SONA NAYAK</v>
          </cell>
          <cell r="E13">
            <v>40362</v>
          </cell>
          <cell r="F13">
            <v>128398037</v>
          </cell>
          <cell r="G13">
            <v>688</v>
          </cell>
          <cell r="I13" t="str">
            <v xml:space="preserve">9TH </v>
          </cell>
          <cell r="J13" t="str">
            <v>2024-25</v>
          </cell>
          <cell r="K13">
            <v>55</v>
          </cell>
          <cell r="L13">
            <v>21</v>
          </cell>
          <cell r="M13">
            <v>56</v>
          </cell>
          <cell r="N13">
            <v>22</v>
          </cell>
          <cell r="O13">
            <v>69</v>
          </cell>
          <cell r="P13">
            <v>25</v>
          </cell>
          <cell r="Q13">
            <v>52</v>
          </cell>
          <cell r="R13">
            <v>23</v>
          </cell>
          <cell r="S13">
            <v>61</v>
          </cell>
          <cell r="T13">
            <v>24</v>
          </cell>
          <cell r="U13">
            <v>58</v>
          </cell>
          <cell r="V13">
            <v>24</v>
          </cell>
          <cell r="W13" t="str">
            <v>A +</v>
          </cell>
          <cell r="Y13">
            <v>63</v>
          </cell>
          <cell r="Z13">
            <v>25</v>
          </cell>
          <cell r="AA13">
            <v>59</v>
          </cell>
          <cell r="AB13">
            <v>25</v>
          </cell>
          <cell r="AC13">
            <v>62</v>
          </cell>
          <cell r="AD13">
            <v>25</v>
          </cell>
          <cell r="AE13">
            <v>67</v>
          </cell>
          <cell r="AF13">
            <v>25</v>
          </cell>
          <cell r="AG13">
            <v>69</v>
          </cell>
          <cell r="AH13">
            <v>25</v>
          </cell>
          <cell r="AI13">
            <v>71</v>
          </cell>
          <cell r="AJ13">
            <v>24</v>
          </cell>
          <cell r="AK13" t="str">
            <v>A +</v>
          </cell>
          <cell r="AM13">
            <v>69</v>
          </cell>
          <cell r="AN13">
            <v>24</v>
          </cell>
          <cell r="AO13">
            <v>69</v>
          </cell>
          <cell r="AP13">
            <v>24</v>
          </cell>
          <cell r="AQ13">
            <v>68</v>
          </cell>
          <cell r="AR13">
            <v>25</v>
          </cell>
          <cell r="AS13">
            <v>70</v>
          </cell>
          <cell r="AT13">
            <v>24</v>
          </cell>
          <cell r="AU13">
            <v>70</v>
          </cell>
          <cell r="AV13">
            <v>24</v>
          </cell>
          <cell r="AW13">
            <v>64</v>
          </cell>
          <cell r="AX13">
            <v>24</v>
          </cell>
          <cell r="AY13" t="str">
            <v xml:space="preserve">A </v>
          </cell>
          <cell r="BA13" t="str">
            <v xml:space="preserve"> A24/712384/010</v>
          </cell>
        </row>
        <row r="14">
          <cell r="A14">
            <v>9011</v>
          </cell>
          <cell r="B14" t="str">
            <v>MUSKAN PATEL</v>
          </cell>
          <cell r="C14" t="str">
            <v xml:space="preserve">SANTOSH KUMAR </v>
          </cell>
          <cell r="D14" t="str">
            <v>SUSHEELA</v>
          </cell>
          <cell r="E14">
            <v>40588</v>
          </cell>
          <cell r="F14">
            <v>156728166</v>
          </cell>
          <cell r="G14">
            <v>433</v>
          </cell>
          <cell r="I14" t="str">
            <v xml:space="preserve">9TH </v>
          </cell>
          <cell r="J14" t="str">
            <v>2024-25</v>
          </cell>
          <cell r="K14">
            <v>49</v>
          </cell>
          <cell r="L14">
            <v>19</v>
          </cell>
          <cell r="M14">
            <v>39</v>
          </cell>
          <cell r="N14">
            <v>22</v>
          </cell>
          <cell r="O14">
            <v>52</v>
          </cell>
          <cell r="P14">
            <v>24</v>
          </cell>
          <cell r="Q14">
            <v>40</v>
          </cell>
          <cell r="R14">
            <v>22</v>
          </cell>
          <cell r="S14">
            <v>45</v>
          </cell>
          <cell r="T14">
            <v>22</v>
          </cell>
          <cell r="U14">
            <v>47</v>
          </cell>
          <cell r="V14">
            <v>22</v>
          </cell>
          <cell r="W14" t="str">
            <v xml:space="preserve">A </v>
          </cell>
          <cell r="Y14">
            <v>49</v>
          </cell>
          <cell r="Z14">
            <v>24</v>
          </cell>
          <cell r="AA14">
            <v>40</v>
          </cell>
          <cell r="AB14">
            <v>23</v>
          </cell>
          <cell r="AC14">
            <v>48</v>
          </cell>
          <cell r="AD14">
            <v>24</v>
          </cell>
          <cell r="AE14">
            <v>41</v>
          </cell>
          <cell r="AF14">
            <v>24</v>
          </cell>
          <cell r="AG14">
            <v>49</v>
          </cell>
          <cell r="AH14">
            <v>23</v>
          </cell>
          <cell r="AI14">
            <v>50</v>
          </cell>
          <cell r="AJ14">
            <v>24</v>
          </cell>
          <cell r="AK14" t="str">
            <v xml:space="preserve">A </v>
          </cell>
          <cell r="AM14">
            <v>53</v>
          </cell>
          <cell r="AN14">
            <v>23</v>
          </cell>
          <cell r="AO14">
            <v>45</v>
          </cell>
          <cell r="AP14">
            <v>22</v>
          </cell>
          <cell r="AQ14">
            <v>54</v>
          </cell>
          <cell r="AR14">
            <v>24</v>
          </cell>
          <cell r="AS14">
            <v>39</v>
          </cell>
          <cell r="AT14">
            <v>20</v>
          </cell>
          <cell r="AU14">
            <v>54</v>
          </cell>
          <cell r="AV14">
            <v>22</v>
          </cell>
          <cell r="AW14">
            <v>49</v>
          </cell>
          <cell r="AX14">
            <v>21</v>
          </cell>
          <cell r="AY14" t="str">
            <v xml:space="preserve">A </v>
          </cell>
          <cell r="BA14" t="str">
            <v xml:space="preserve"> A24/712384/019</v>
          </cell>
        </row>
        <row r="15">
          <cell r="A15">
            <v>9012</v>
          </cell>
          <cell r="B15" t="str">
            <v>POONAM RAJAK</v>
          </cell>
          <cell r="C15" t="str">
            <v xml:space="preserve">DASHRATH RAJAK </v>
          </cell>
          <cell r="D15" t="str">
            <v xml:space="preserve"> ANJALI RAJAK</v>
          </cell>
          <cell r="E15">
            <v>40325</v>
          </cell>
          <cell r="F15">
            <v>122946988</v>
          </cell>
          <cell r="G15">
            <v>820</v>
          </cell>
          <cell r="I15" t="str">
            <v xml:space="preserve">9TH </v>
          </cell>
          <cell r="J15" t="str">
            <v>2024-25</v>
          </cell>
          <cell r="K15">
            <v>46</v>
          </cell>
          <cell r="L15">
            <v>24</v>
          </cell>
          <cell r="M15">
            <v>36</v>
          </cell>
          <cell r="N15">
            <v>22</v>
          </cell>
          <cell r="O15">
            <v>58</v>
          </cell>
          <cell r="P15">
            <v>24</v>
          </cell>
          <cell r="Q15">
            <v>49</v>
          </cell>
          <cell r="R15">
            <v>23</v>
          </cell>
          <cell r="S15">
            <v>46</v>
          </cell>
          <cell r="T15">
            <v>22</v>
          </cell>
          <cell r="U15">
            <v>53</v>
          </cell>
          <cell r="V15">
            <v>23</v>
          </cell>
          <cell r="W15" t="str">
            <v xml:space="preserve">A </v>
          </cell>
          <cell r="Y15">
            <v>60</v>
          </cell>
          <cell r="Z15">
            <v>25</v>
          </cell>
          <cell r="AA15">
            <v>47</v>
          </cell>
          <cell r="AB15">
            <v>24</v>
          </cell>
          <cell r="AC15">
            <v>57</v>
          </cell>
          <cell r="AD15">
            <v>25</v>
          </cell>
          <cell r="AE15">
            <v>40</v>
          </cell>
          <cell r="AF15">
            <v>24</v>
          </cell>
          <cell r="AG15">
            <v>49</v>
          </cell>
          <cell r="AH15">
            <v>25</v>
          </cell>
          <cell r="AI15">
            <v>48</v>
          </cell>
          <cell r="AJ15">
            <v>24</v>
          </cell>
          <cell r="AK15" t="str">
            <v xml:space="preserve">A </v>
          </cell>
          <cell r="AM15">
            <v>62</v>
          </cell>
          <cell r="AN15">
            <v>23</v>
          </cell>
          <cell r="AO15">
            <v>55</v>
          </cell>
          <cell r="AP15">
            <v>22</v>
          </cell>
          <cell r="AQ15">
            <v>57</v>
          </cell>
          <cell r="AR15">
            <v>24</v>
          </cell>
          <cell r="AS15">
            <v>47</v>
          </cell>
          <cell r="AT15">
            <v>21</v>
          </cell>
          <cell r="AU15">
            <v>57</v>
          </cell>
          <cell r="AV15">
            <v>23</v>
          </cell>
          <cell r="AW15">
            <v>66</v>
          </cell>
          <cell r="AX15">
            <v>23</v>
          </cell>
          <cell r="AY15" t="str">
            <v xml:space="preserve">A </v>
          </cell>
          <cell r="BA15" t="str">
            <v xml:space="preserve"> A24/712384/034</v>
          </cell>
        </row>
        <row r="16">
          <cell r="A16">
            <v>9013</v>
          </cell>
          <cell r="B16" t="str">
            <v>RAKHI PATEL</v>
          </cell>
          <cell r="C16" t="str">
            <v xml:space="preserve">BABLU PATEL </v>
          </cell>
          <cell r="D16" t="str">
            <v xml:space="preserve"> KAUSHALYA PATEL</v>
          </cell>
          <cell r="E16">
            <v>40414</v>
          </cell>
          <cell r="F16">
            <v>110355499</v>
          </cell>
          <cell r="G16">
            <v>493</v>
          </cell>
          <cell r="I16" t="str">
            <v xml:space="preserve">9TH </v>
          </cell>
          <cell r="J16" t="str">
            <v>2024-25</v>
          </cell>
          <cell r="K16">
            <v>43</v>
          </cell>
          <cell r="L16">
            <v>23</v>
          </cell>
          <cell r="M16">
            <v>40</v>
          </cell>
          <cell r="N16">
            <v>22</v>
          </cell>
          <cell r="O16">
            <v>61</v>
          </cell>
          <cell r="P16">
            <v>23</v>
          </cell>
          <cell r="Q16">
            <v>45</v>
          </cell>
          <cell r="R16">
            <v>22</v>
          </cell>
          <cell r="S16">
            <v>53</v>
          </cell>
          <cell r="T16">
            <v>23</v>
          </cell>
          <cell r="U16">
            <v>50</v>
          </cell>
          <cell r="V16">
            <v>24</v>
          </cell>
          <cell r="W16" t="str">
            <v xml:space="preserve">A+ </v>
          </cell>
          <cell r="Y16">
            <v>55</v>
          </cell>
          <cell r="Z16">
            <v>25</v>
          </cell>
          <cell r="AA16">
            <v>45</v>
          </cell>
          <cell r="AB16">
            <v>24</v>
          </cell>
          <cell r="AC16">
            <v>51</v>
          </cell>
          <cell r="AD16">
            <v>25</v>
          </cell>
          <cell r="AE16">
            <v>47</v>
          </cell>
          <cell r="AF16">
            <v>25</v>
          </cell>
          <cell r="AG16">
            <v>56</v>
          </cell>
          <cell r="AH16">
            <v>24</v>
          </cell>
          <cell r="AI16">
            <v>49</v>
          </cell>
          <cell r="AJ16">
            <v>25</v>
          </cell>
          <cell r="AK16" t="str">
            <v xml:space="preserve">A+ </v>
          </cell>
          <cell r="AM16">
            <v>63</v>
          </cell>
          <cell r="AN16">
            <v>23</v>
          </cell>
          <cell r="AO16">
            <v>59</v>
          </cell>
          <cell r="AP16">
            <v>22</v>
          </cell>
          <cell r="AQ16">
            <v>67</v>
          </cell>
          <cell r="AR16">
            <v>25</v>
          </cell>
          <cell r="AS16">
            <v>64</v>
          </cell>
          <cell r="AT16">
            <v>22</v>
          </cell>
          <cell r="AU16">
            <v>63</v>
          </cell>
          <cell r="AV16">
            <v>24</v>
          </cell>
          <cell r="AW16">
            <v>66</v>
          </cell>
          <cell r="AX16">
            <v>23</v>
          </cell>
          <cell r="AY16" t="str">
            <v xml:space="preserve">A </v>
          </cell>
          <cell r="BA16" t="str">
            <v xml:space="preserve"> A24/712384/011</v>
          </cell>
        </row>
        <row r="17">
          <cell r="A17">
            <v>9014</v>
          </cell>
          <cell r="B17" t="str">
            <v>RINKI</v>
          </cell>
          <cell r="C17" t="str">
            <v xml:space="preserve">RAKESH </v>
          </cell>
          <cell r="D17" t="str">
            <v>NANDANI</v>
          </cell>
          <cell r="E17">
            <v>39836</v>
          </cell>
          <cell r="F17">
            <v>109825112</v>
          </cell>
          <cell r="G17">
            <v>1632</v>
          </cell>
          <cell r="I17" t="str">
            <v xml:space="preserve">9TH </v>
          </cell>
          <cell r="J17" t="str">
            <v>2024-25</v>
          </cell>
          <cell r="K17">
            <v>34</v>
          </cell>
          <cell r="L17">
            <v>23</v>
          </cell>
          <cell r="M17">
            <v>30</v>
          </cell>
          <cell r="N17">
            <v>18</v>
          </cell>
          <cell r="O17">
            <v>40</v>
          </cell>
          <cell r="P17">
            <v>19</v>
          </cell>
          <cell r="Q17">
            <v>38</v>
          </cell>
          <cell r="R17">
            <v>20</v>
          </cell>
          <cell r="S17">
            <v>39</v>
          </cell>
          <cell r="T17">
            <v>18</v>
          </cell>
          <cell r="U17">
            <v>36</v>
          </cell>
          <cell r="V17">
            <v>17</v>
          </cell>
          <cell r="W17" t="str">
            <v xml:space="preserve">A </v>
          </cell>
          <cell r="Y17">
            <v>36</v>
          </cell>
          <cell r="Z17">
            <v>24</v>
          </cell>
          <cell r="AA17">
            <v>32</v>
          </cell>
          <cell r="AB17">
            <v>23</v>
          </cell>
          <cell r="AC17">
            <v>40</v>
          </cell>
          <cell r="AD17">
            <v>24</v>
          </cell>
          <cell r="AE17">
            <v>40</v>
          </cell>
          <cell r="AF17">
            <v>22</v>
          </cell>
          <cell r="AG17">
            <v>41</v>
          </cell>
          <cell r="AH17">
            <v>23</v>
          </cell>
          <cell r="AI17">
            <v>38</v>
          </cell>
          <cell r="AJ17">
            <v>24</v>
          </cell>
          <cell r="AK17" t="str">
            <v xml:space="preserve">A </v>
          </cell>
          <cell r="AM17">
            <v>45</v>
          </cell>
          <cell r="AN17">
            <v>23</v>
          </cell>
          <cell r="AO17">
            <v>39</v>
          </cell>
          <cell r="AP17">
            <v>20</v>
          </cell>
          <cell r="AQ17">
            <v>46</v>
          </cell>
          <cell r="AR17">
            <v>23</v>
          </cell>
          <cell r="AS17">
            <v>41</v>
          </cell>
          <cell r="AT17">
            <v>20</v>
          </cell>
          <cell r="AU17">
            <v>36</v>
          </cell>
          <cell r="AV17">
            <v>20</v>
          </cell>
          <cell r="AW17">
            <v>39</v>
          </cell>
          <cell r="AX17">
            <v>21</v>
          </cell>
          <cell r="AY17" t="str">
            <v xml:space="preserve">A </v>
          </cell>
          <cell r="BA17" t="str">
            <v xml:space="preserve"> A24/712384/026</v>
          </cell>
        </row>
        <row r="18">
          <cell r="A18">
            <v>9015</v>
          </cell>
          <cell r="B18" t="str">
            <v>SUHANI KUMARI</v>
          </cell>
          <cell r="C18" t="str">
            <v xml:space="preserve">KAMLESH KUMAR CHOUBEY </v>
          </cell>
          <cell r="D18" t="str">
            <v>NIDHI</v>
          </cell>
          <cell r="E18">
            <v>40803</v>
          </cell>
          <cell r="F18">
            <v>105772489</v>
          </cell>
          <cell r="G18">
            <v>1314</v>
          </cell>
          <cell r="I18" t="str">
            <v xml:space="preserve">9TH </v>
          </cell>
          <cell r="J18" t="str">
            <v>2024-25</v>
          </cell>
          <cell r="K18">
            <v>50</v>
          </cell>
          <cell r="L18">
            <v>15</v>
          </cell>
          <cell r="M18">
            <v>45</v>
          </cell>
          <cell r="N18">
            <v>20</v>
          </cell>
          <cell r="O18">
            <v>59</v>
          </cell>
          <cell r="P18">
            <v>23</v>
          </cell>
          <cell r="Q18">
            <v>43</v>
          </cell>
          <cell r="R18">
            <v>21</v>
          </cell>
          <cell r="S18">
            <v>46</v>
          </cell>
          <cell r="T18">
            <v>23</v>
          </cell>
          <cell r="U18">
            <v>48</v>
          </cell>
          <cell r="V18">
            <v>22</v>
          </cell>
          <cell r="W18" t="str">
            <v xml:space="preserve">A </v>
          </cell>
          <cell r="Y18">
            <v>52</v>
          </cell>
          <cell r="Z18">
            <v>24</v>
          </cell>
          <cell r="AA18">
            <v>47</v>
          </cell>
          <cell r="AB18">
            <v>23</v>
          </cell>
          <cell r="AC18">
            <v>58</v>
          </cell>
          <cell r="AD18">
            <v>24</v>
          </cell>
          <cell r="AE18">
            <v>45</v>
          </cell>
          <cell r="AF18">
            <v>24</v>
          </cell>
          <cell r="AG18">
            <v>49</v>
          </cell>
          <cell r="AH18">
            <v>25</v>
          </cell>
          <cell r="AI18">
            <v>50</v>
          </cell>
          <cell r="AJ18">
            <v>24</v>
          </cell>
          <cell r="AK18" t="str">
            <v xml:space="preserve">A </v>
          </cell>
          <cell r="AM18">
            <v>57</v>
          </cell>
          <cell r="AN18">
            <v>24</v>
          </cell>
          <cell r="AO18">
            <v>41</v>
          </cell>
          <cell r="AP18">
            <v>20</v>
          </cell>
          <cell r="AQ18">
            <v>51</v>
          </cell>
          <cell r="AR18">
            <v>24</v>
          </cell>
          <cell r="AS18">
            <v>49</v>
          </cell>
          <cell r="AT18">
            <v>22</v>
          </cell>
          <cell r="AU18">
            <v>60</v>
          </cell>
          <cell r="AV18">
            <v>23</v>
          </cell>
          <cell r="AW18">
            <v>46</v>
          </cell>
          <cell r="AX18">
            <v>21</v>
          </cell>
          <cell r="AY18" t="str">
            <v>A +</v>
          </cell>
          <cell r="BA18" t="str">
            <v>A24/712384/003</v>
          </cell>
        </row>
        <row r="19">
          <cell r="A19">
            <v>9016</v>
          </cell>
          <cell r="B19" t="str">
            <v>SHRASHTI NAYAK</v>
          </cell>
          <cell r="C19" t="str">
            <v xml:space="preserve">SHIV ADHAR </v>
          </cell>
          <cell r="D19" t="str">
            <v>POONA NAYAK</v>
          </cell>
          <cell r="E19">
            <v>40179</v>
          </cell>
          <cell r="F19">
            <v>193371675</v>
          </cell>
          <cell r="G19">
            <v>1603</v>
          </cell>
          <cell r="I19" t="str">
            <v xml:space="preserve">9TH </v>
          </cell>
          <cell r="J19" t="str">
            <v>2024-25</v>
          </cell>
          <cell r="K19">
            <v>36</v>
          </cell>
          <cell r="L19">
            <v>21</v>
          </cell>
          <cell r="M19">
            <v>30</v>
          </cell>
          <cell r="N19">
            <v>18</v>
          </cell>
          <cell r="O19">
            <v>39</v>
          </cell>
          <cell r="P19">
            <v>19</v>
          </cell>
          <cell r="Q19">
            <v>38</v>
          </cell>
          <cell r="R19">
            <v>20</v>
          </cell>
          <cell r="S19">
            <v>39</v>
          </cell>
          <cell r="T19">
            <v>21</v>
          </cell>
          <cell r="U19">
            <v>41</v>
          </cell>
          <cell r="V19">
            <v>23</v>
          </cell>
          <cell r="W19" t="str">
            <v xml:space="preserve">A </v>
          </cell>
          <cell r="Y19">
            <v>37</v>
          </cell>
          <cell r="Z19">
            <v>23</v>
          </cell>
          <cell r="AA19">
            <v>33</v>
          </cell>
          <cell r="AB19">
            <v>21</v>
          </cell>
          <cell r="AC19">
            <v>39</v>
          </cell>
          <cell r="AD19">
            <v>23</v>
          </cell>
          <cell r="AE19">
            <v>39</v>
          </cell>
          <cell r="AF19">
            <v>21</v>
          </cell>
          <cell r="AG19">
            <v>40</v>
          </cell>
          <cell r="AH19">
            <v>23</v>
          </cell>
          <cell r="AI19">
            <v>43</v>
          </cell>
          <cell r="AJ19">
            <v>24</v>
          </cell>
          <cell r="AK19" t="str">
            <v xml:space="preserve">A </v>
          </cell>
          <cell r="AM19">
            <v>45</v>
          </cell>
          <cell r="AN19">
            <v>23</v>
          </cell>
          <cell r="AO19">
            <v>35</v>
          </cell>
          <cell r="AP19">
            <v>19</v>
          </cell>
          <cell r="AQ19">
            <v>35</v>
          </cell>
          <cell r="AR19">
            <v>22</v>
          </cell>
          <cell r="AS19">
            <v>35</v>
          </cell>
          <cell r="AT19">
            <v>20</v>
          </cell>
          <cell r="AU19">
            <v>34</v>
          </cell>
          <cell r="AV19">
            <v>24</v>
          </cell>
          <cell r="AW19">
            <v>39</v>
          </cell>
          <cell r="AX19">
            <v>20</v>
          </cell>
          <cell r="AY19" t="str">
            <v xml:space="preserve">A </v>
          </cell>
          <cell r="BA19" t="str">
            <v xml:space="preserve"> A24/712384/012</v>
          </cell>
        </row>
        <row r="20">
          <cell r="A20">
            <v>9017</v>
          </cell>
          <cell r="B20" t="str">
            <v>ABHINEET LODHI</v>
          </cell>
          <cell r="C20" t="str">
            <v xml:space="preserve">AMIT KUMAR LODHI </v>
          </cell>
          <cell r="D20" t="str">
            <v>SANGEETA BAI</v>
          </cell>
          <cell r="E20">
            <v>39837</v>
          </cell>
          <cell r="F20">
            <v>188641080</v>
          </cell>
          <cell r="G20">
            <v>442</v>
          </cell>
          <cell r="I20" t="str">
            <v xml:space="preserve">9TH </v>
          </cell>
          <cell r="J20" t="str">
            <v>2024-25</v>
          </cell>
          <cell r="K20">
            <v>31</v>
          </cell>
          <cell r="L20">
            <v>23</v>
          </cell>
          <cell r="M20">
            <v>30</v>
          </cell>
          <cell r="N20">
            <v>16</v>
          </cell>
          <cell r="O20">
            <v>39</v>
          </cell>
          <cell r="P20">
            <v>20</v>
          </cell>
          <cell r="Q20">
            <v>36</v>
          </cell>
          <cell r="R20">
            <v>17</v>
          </cell>
          <cell r="S20">
            <v>38</v>
          </cell>
          <cell r="T20">
            <v>19</v>
          </cell>
          <cell r="U20">
            <v>40</v>
          </cell>
          <cell r="V20">
            <v>18</v>
          </cell>
          <cell r="W20" t="str">
            <v xml:space="preserve">A </v>
          </cell>
          <cell r="Y20">
            <v>32</v>
          </cell>
          <cell r="Z20">
            <v>20</v>
          </cell>
          <cell r="AA20">
            <v>31</v>
          </cell>
          <cell r="AB20">
            <v>19</v>
          </cell>
          <cell r="AC20">
            <v>40</v>
          </cell>
          <cell r="AD20">
            <v>23</v>
          </cell>
          <cell r="AE20">
            <v>38</v>
          </cell>
          <cell r="AF20">
            <v>18</v>
          </cell>
          <cell r="AG20">
            <v>40</v>
          </cell>
          <cell r="AH20">
            <v>24</v>
          </cell>
          <cell r="AI20">
            <v>43</v>
          </cell>
          <cell r="AJ20">
            <v>23</v>
          </cell>
          <cell r="AK20" t="str">
            <v xml:space="preserve">A </v>
          </cell>
          <cell r="AM20">
            <v>37</v>
          </cell>
          <cell r="AN20">
            <v>23</v>
          </cell>
          <cell r="AO20">
            <v>32</v>
          </cell>
          <cell r="AP20">
            <v>18</v>
          </cell>
          <cell r="AQ20">
            <v>32</v>
          </cell>
          <cell r="AR20">
            <v>21</v>
          </cell>
          <cell r="AS20">
            <v>40</v>
          </cell>
          <cell r="AT20">
            <v>20</v>
          </cell>
          <cell r="AU20">
            <v>37</v>
          </cell>
          <cell r="AV20">
            <v>23</v>
          </cell>
          <cell r="AW20">
            <v>37</v>
          </cell>
          <cell r="AX20">
            <v>20</v>
          </cell>
          <cell r="AY20" t="str">
            <v xml:space="preserve">A+ </v>
          </cell>
          <cell r="BA20" t="str">
            <v xml:space="preserve"> A24/712384/008</v>
          </cell>
        </row>
        <row r="21">
          <cell r="A21">
            <v>9018</v>
          </cell>
          <cell r="B21" t="str">
            <v>AMIT SAHU</v>
          </cell>
          <cell r="C21" t="str">
            <v xml:space="preserve">RAJKUMAR SAHU </v>
          </cell>
          <cell r="D21" t="str">
            <v>SANGEETA SAHU</v>
          </cell>
          <cell r="E21">
            <v>40194</v>
          </cell>
          <cell r="F21">
            <v>136683103</v>
          </cell>
          <cell r="G21">
            <v>1042</v>
          </cell>
          <cell r="I21" t="str">
            <v xml:space="preserve">9TH </v>
          </cell>
          <cell r="J21" t="str">
            <v>2024-25</v>
          </cell>
          <cell r="K21">
            <v>61</v>
          </cell>
          <cell r="L21">
            <v>23</v>
          </cell>
          <cell r="M21">
            <v>46</v>
          </cell>
          <cell r="N21">
            <v>23</v>
          </cell>
          <cell r="O21">
            <v>53</v>
          </cell>
          <cell r="P21">
            <v>24</v>
          </cell>
          <cell r="Q21">
            <v>56</v>
          </cell>
          <cell r="R21">
            <v>23</v>
          </cell>
          <cell r="S21">
            <v>57</v>
          </cell>
          <cell r="T21">
            <v>24</v>
          </cell>
          <cell r="U21">
            <v>59</v>
          </cell>
          <cell r="V21">
            <v>24</v>
          </cell>
          <cell r="W21" t="str">
            <v xml:space="preserve">A </v>
          </cell>
          <cell r="Y21">
            <v>65</v>
          </cell>
          <cell r="Z21">
            <v>25</v>
          </cell>
          <cell r="AA21">
            <v>50</v>
          </cell>
          <cell r="AB21">
            <v>24</v>
          </cell>
          <cell r="AC21">
            <v>66</v>
          </cell>
          <cell r="AD21">
            <v>25</v>
          </cell>
          <cell r="AE21">
            <v>52</v>
          </cell>
          <cell r="AF21">
            <v>24</v>
          </cell>
          <cell r="AG21">
            <v>55</v>
          </cell>
          <cell r="AH21">
            <v>25</v>
          </cell>
          <cell r="AI21">
            <v>55</v>
          </cell>
          <cell r="AJ21">
            <v>25</v>
          </cell>
          <cell r="AK21" t="str">
            <v xml:space="preserve">A </v>
          </cell>
          <cell r="AM21">
            <v>65</v>
          </cell>
          <cell r="AN21">
            <v>24</v>
          </cell>
          <cell r="AO21">
            <v>68</v>
          </cell>
          <cell r="AP21">
            <v>24</v>
          </cell>
          <cell r="AQ21">
            <v>70</v>
          </cell>
          <cell r="AR21">
            <v>25</v>
          </cell>
          <cell r="AS21">
            <v>64</v>
          </cell>
          <cell r="AT21">
            <v>23</v>
          </cell>
          <cell r="AU21">
            <v>63</v>
          </cell>
          <cell r="AV21">
            <v>22</v>
          </cell>
          <cell r="AW21">
            <v>68</v>
          </cell>
          <cell r="AX21">
            <v>23</v>
          </cell>
          <cell r="AY21" t="str">
            <v xml:space="preserve">A </v>
          </cell>
          <cell r="BA21" t="str">
            <v xml:space="preserve"> A24/712384/015</v>
          </cell>
        </row>
        <row r="22">
          <cell r="A22">
            <v>9019</v>
          </cell>
          <cell r="B22" t="str">
            <v>CHANDAN JAISWAL</v>
          </cell>
          <cell r="C22" t="str">
            <v xml:space="preserve">SHIV PRASAD JAISWAL </v>
          </cell>
          <cell r="D22" t="str">
            <v>AARTI BAI</v>
          </cell>
          <cell r="E22">
            <v>40184</v>
          </cell>
          <cell r="F22">
            <v>188830849</v>
          </cell>
          <cell r="G22">
            <v>1160</v>
          </cell>
          <cell r="I22" t="str">
            <v xml:space="preserve">9TH </v>
          </cell>
          <cell r="J22" t="str">
            <v>2024-25</v>
          </cell>
          <cell r="K22">
            <v>57</v>
          </cell>
          <cell r="L22">
            <v>23</v>
          </cell>
          <cell r="M22">
            <v>44</v>
          </cell>
          <cell r="N22">
            <v>23</v>
          </cell>
          <cell r="O22">
            <v>51</v>
          </cell>
          <cell r="P22">
            <v>24</v>
          </cell>
          <cell r="Q22">
            <v>43</v>
          </cell>
          <cell r="R22">
            <v>23</v>
          </cell>
          <cell r="S22">
            <v>44</v>
          </cell>
          <cell r="T22">
            <v>22</v>
          </cell>
          <cell r="U22">
            <v>43</v>
          </cell>
          <cell r="V22">
            <v>24</v>
          </cell>
          <cell r="W22" t="str">
            <v xml:space="preserve">A </v>
          </cell>
          <cell r="Y22">
            <v>60</v>
          </cell>
          <cell r="Z22">
            <v>25</v>
          </cell>
          <cell r="AA22">
            <v>42</v>
          </cell>
          <cell r="AB22">
            <v>23</v>
          </cell>
          <cell r="AC22">
            <v>53</v>
          </cell>
          <cell r="AD22">
            <v>25</v>
          </cell>
          <cell r="AE22">
            <v>25</v>
          </cell>
          <cell r="AF22">
            <v>24</v>
          </cell>
          <cell r="AG22">
            <v>49</v>
          </cell>
          <cell r="AH22">
            <v>24</v>
          </cell>
          <cell r="AI22">
            <v>51</v>
          </cell>
          <cell r="AJ22">
            <v>25</v>
          </cell>
          <cell r="AK22" t="str">
            <v xml:space="preserve">A </v>
          </cell>
          <cell r="AM22">
            <v>61</v>
          </cell>
          <cell r="AN22">
            <v>23</v>
          </cell>
          <cell r="AO22">
            <v>47</v>
          </cell>
          <cell r="AP22">
            <v>22</v>
          </cell>
          <cell r="AQ22">
            <v>49</v>
          </cell>
          <cell r="AR22">
            <v>24</v>
          </cell>
          <cell r="AS22">
            <v>57</v>
          </cell>
          <cell r="AT22">
            <v>22</v>
          </cell>
          <cell r="AU22">
            <v>43</v>
          </cell>
          <cell r="AV22">
            <v>23</v>
          </cell>
          <cell r="AW22">
            <v>49</v>
          </cell>
          <cell r="AX22">
            <v>24</v>
          </cell>
          <cell r="AY22" t="str">
            <v xml:space="preserve">A </v>
          </cell>
          <cell r="BA22" t="str">
            <v xml:space="preserve"> A24/712384/014</v>
          </cell>
        </row>
        <row r="23">
          <cell r="A23">
            <v>9020</v>
          </cell>
          <cell r="B23" t="str">
            <v>DEEPAK KUSHWAHA</v>
          </cell>
          <cell r="C23" t="str">
            <v xml:space="preserve">OM PRAKASH KUSHWAHA </v>
          </cell>
          <cell r="D23" t="str">
            <v xml:space="preserve"> GAYATRI KUSHWAHA</v>
          </cell>
          <cell r="E23">
            <v>40500</v>
          </cell>
          <cell r="F23">
            <v>108194915</v>
          </cell>
          <cell r="G23">
            <v>425</v>
          </cell>
          <cell r="I23" t="str">
            <v xml:space="preserve">9TH </v>
          </cell>
          <cell r="J23" t="str">
            <v>2024-25</v>
          </cell>
          <cell r="K23">
            <v>45</v>
          </cell>
          <cell r="L23">
            <v>15</v>
          </cell>
          <cell r="M23">
            <v>36</v>
          </cell>
          <cell r="N23">
            <v>20</v>
          </cell>
          <cell r="O23">
            <v>48</v>
          </cell>
          <cell r="P23">
            <v>22</v>
          </cell>
          <cell r="Q23">
            <v>45</v>
          </cell>
          <cell r="R23">
            <v>22</v>
          </cell>
          <cell r="S23">
            <v>40</v>
          </cell>
          <cell r="T23">
            <v>22</v>
          </cell>
          <cell r="U23">
            <v>49</v>
          </cell>
          <cell r="V23">
            <v>24</v>
          </cell>
          <cell r="W23" t="str">
            <v>A +</v>
          </cell>
          <cell r="Y23">
            <v>46</v>
          </cell>
          <cell r="Z23">
            <v>25</v>
          </cell>
          <cell r="AA23">
            <v>38</v>
          </cell>
          <cell r="AB23">
            <v>23</v>
          </cell>
          <cell r="AC23">
            <v>48</v>
          </cell>
          <cell r="AD23">
            <v>25</v>
          </cell>
          <cell r="AE23">
            <v>46</v>
          </cell>
          <cell r="AF23">
            <v>24</v>
          </cell>
          <cell r="AG23">
            <v>41</v>
          </cell>
          <cell r="AH23">
            <v>24</v>
          </cell>
          <cell r="AI23">
            <v>52</v>
          </cell>
          <cell r="AJ23">
            <v>24</v>
          </cell>
          <cell r="AK23" t="str">
            <v>A +</v>
          </cell>
          <cell r="AM23">
            <v>49</v>
          </cell>
          <cell r="AN23">
            <v>23</v>
          </cell>
          <cell r="AO23">
            <v>39</v>
          </cell>
          <cell r="AP23">
            <v>19</v>
          </cell>
          <cell r="AQ23">
            <v>40</v>
          </cell>
          <cell r="AR23">
            <v>23</v>
          </cell>
          <cell r="AS23">
            <v>36</v>
          </cell>
          <cell r="AT23">
            <v>20</v>
          </cell>
          <cell r="AU23">
            <v>39</v>
          </cell>
          <cell r="AV23">
            <v>22</v>
          </cell>
          <cell r="AW23">
            <v>45</v>
          </cell>
          <cell r="AX23">
            <v>20</v>
          </cell>
          <cell r="AY23" t="str">
            <v xml:space="preserve">A </v>
          </cell>
          <cell r="BA23" t="str">
            <v xml:space="preserve"> A24/712384/005</v>
          </cell>
        </row>
        <row r="24">
          <cell r="A24">
            <v>9021</v>
          </cell>
          <cell r="B24" t="str">
            <v>DILIP KUMAR</v>
          </cell>
          <cell r="C24" t="str">
            <v xml:space="preserve">INDRA KUMAR </v>
          </cell>
          <cell r="D24" t="str">
            <v>DASHODA</v>
          </cell>
          <cell r="E24">
            <v>40312</v>
          </cell>
          <cell r="F24">
            <v>134607740</v>
          </cell>
          <cell r="G24">
            <v>1585</v>
          </cell>
          <cell r="I24" t="str">
            <v xml:space="preserve">9TH </v>
          </cell>
          <cell r="J24" t="str">
            <v>2024-25</v>
          </cell>
          <cell r="K24">
            <v>36</v>
          </cell>
          <cell r="L24">
            <v>20</v>
          </cell>
          <cell r="M24">
            <v>28</v>
          </cell>
          <cell r="N24">
            <v>15</v>
          </cell>
          <cell r="O24">
            <v>34</v>
          </cell>
          <cell r="P24">
            <v>18</v>
          </cell>
          <cell r="Q24">
            <v>32</v>
          </cell>
          <cell r="R24">
            <v>16</v>
          </cell>
          <cell r="S24">
            <v>31</v>
          </cell>
          <cell r="T24">
            <v>15</v>
          </cell>
          <cell r="U24">
            <v>40</v>
          </cell>
          <cell r="V24">
            <v>15</v>
          </cell>
          <cell r="W24" t="str">
            <v xml:space="preserve">A </v>
          </cell>
          <cell r="Y24">
            <v>40</v>
          </cell>
          <cell r="Z24">
            <v>16</v>
          </cell>
          <cell r="AA24">
            <v>30</v>
          </cell>
          <cell r="AB24">
            <v>15</v>
          </cell>
          <cell r="AC24">
            <v>38</v>
          </cell>
          <cell r="AD24">
            <v>17</v>
          </cell>
          <cell r="AE24">
            <v>34</v>
          </cell>
          <cell r="AF24">
            <v>15</v>
          </cell>
          <cell r="AG24">
            <v>32</v>
          </cell>
          <cell r="AH24">
            <v>14</v>
          </cell>
          <cell r="AI24">
            <v>39</v>
          </cell>
          <cell r="AJ24">
            <v>17</v>
          </cell>
          <cell r="AK24" t="str">
            <v xml:space="preserve">A </v>
          </cell>
          <cell r="AM24">
            <v>34</v>
          </cell>
          <cell r="AN24">
            <v>22</v>
          </cell>
          <cell r="AO24">
            <v>35</v>
          </cell>
          <cell r="AP24">
            <v>18</v>
          </cell>
          <cell r="AQ24">
            <v>30</v>
          </cell>
          <cell r="AR24">
            <v>20</v>
          </cell>
          <cell r="AS24">
            <v>29</v>
          </cell>
          <cell r="AT24">
            <v>20</v>
          </cell>
          <cell r="AU24">
            <v>33</v>
          </cell>
          <cell r="AV24">
            <v>20</v>
          </cell>
          <cell r="AW24">
            <v>36</v>
          </cell>
          <cell r="AX24">
            <v>20</v>
          </cell>
          <cell r="AY24" t="str">
            <v xml:space="preserve">A </v>
          </cell>
          <cell r="BA24" t="str">
            <v xml:space="preserve"> A24/712384/033</v>
          </cell>
        </row>
        <row r="25">
          <cell r="A25">
            <v>9022</v>
          </cell>
          <cell r="B25" t="str">
            <v>GOPAL SEN</v>
          </cell>
          <cell r="C25" t="str">
            <v xml:space="preserve">SONU SEN </v>
          </cell>
          <cell r="D25" t="str">
            <v>VANDNA SEN</v>
          </cell>
          <cell r="E25">
            <v>40277</v>
          </cell>
          <cell r="F25">
            <v>124505012</v>
          </cell>
          <cell r="G25">
            <v>1666</v>
          </cell>
          <cell r="I25" t="str">
            <v xml:space="preserve">9TH </v>
          </cell>
          <cell r="J25" t="str">
            <v>2024-25</v>
          </cell>
          <cell r="K25">
            <v>39</v>
          </cell>
          <cell r="L25">
            <v>20</v>
          </cell>
          <cell r="M25">
            <v>27</v>
          </cell>
          <cell r="N25">
            <v>15</v>
          </cell>
          <cell r="O25">
            <v>39</v>
          </cell>
          <cell r="P25">
            <v>19</v>
          </cell>
          <cell r="Q25">
            <v>31</v>
          </cell>
          <cell r="R25">
            <v>15</v>
          </cell>
          <cell r="S25">
            <v>33</v>
          </cell>
          <cell r="T25">
            <v>16</v>
          </cell>
          <cell r="U25">
            <v>37</v>
          </cell>
          <cell r="V25">
            <v>16</v>
          </cell>
          <cell r="W25" t="str">
            <v xml:space="preserve">A+ </v>
          </cell>
          <cell r="Y25">
            <v>42</v>
          </cell>
          <cell r="Z25">
            <v>15</v>
          </cell>
          <cell r="AA25">
            <v>31</v>
          </cell>
          <cell r="AB25">
            <v>16</v>
          </cell>
          <cell r="AC25">
            <v>40</v>
          </cell>
          <cell r="AD25">
            <v>17</v>
          </cell>
          <cell r="AE25">
            <v>35</v>
          </cell>
          <cell r="AF25">
            <v>16</v>
          </cell>
          <cell r="AG25">
            <v>34</v>
          </cell>
          <cell r="AH25">
            <v>17</v>
          </cell>
          <cell r="AI25">
            <v>38</v>
          </cell>
          <cell r="AJ25">
            <v>17</v>
          </cell>
          <cell r="AK25" t="str">
            <v xml:space="preserve">A+ </v>
          </cell>
          <cell r="AM25">
            <v>35</v>
          </cell>
          <cell r="AN25">
            <v>23</v>
          </cell>
          <cell r="AO25">
            <v>35</v>
          </cell>
          <cell r="AP25">
            <v>18</v>
          </cell>
          <cell r="AQ25">
            <v>32</v>
          </cell>
          <cell r="AR25">
            <v>18</v>
          </cell>
          <cell r="AS25">
            <v>33</v>
          </cell>
          <cell r="AT25">
            <v>21</v>
          </cell>
          <cell r="AU25">
            <v>33</v>
          </cell>
          <cell r="AV25">
            <v>21</v>
          </cell>
          <cell r="AW25">
            <v>36</v>
          </cell>
          <cell r="AX25">
            <v>23</v>
          </cell>
          <cell r="AY25" t="str">
            <v xml:space="preserve">A </v>
          </cell>
          <cell r="BA25" t="str">
            <v xml:space="preserve"> A23/711031/072</v>
          </cell>
        </row>
        <row r="26">
          <cell r="A26">
            <v>9023</v>
          </cell>
          <cell r="B26" t="str">
            <v>HARSH PATEL</v>
          </cell>
          <cell r="C26" t="str">
            <v xml:space="preserve">RAMPRAKASH PATEL </v>
          </cell>
          <cell r="D26" t="str">
            <v xml:space="preserve"> UMA BAI PATEL</v>
          </cell>
          <cell r="E26">
            <v>40255</v>
          </cell>
          <cell r="F26">
            <v>104857398</v>
          </cell>
          <cell r="G26">
            <v>467</v>
          </cell>
          <cell r="I26" t="str">
            <v xml:space="preserve">9TH </v>
          </cell>
          <cell r="J26" t="str">
            <v>2024-25</v>
          </cell>
          <cell r="K26">
            <v>49</v>
          </cell>
          <cell r="L26">
            <v>20</v>
          </cell>
          <cell r="M26">
            <v>40</v>
          </cell>
          <cell r="N26">
            <v>20</v>
          </cell>
          <cell r="O26">
            <v>51</v>
          </cell>
          <cell r="P26">
            <v>24</v>
          </cell>
          <cell r="Q26">
            <v>46</v>
          </cell>
          <cell r="R26">
            <v>22</v>
          </cell>
          <cell r="S26">
            <v>47</v>
          </cell>
          <cell r="T26">
            <v>22</v>
          </cell>
          <cell r="U26">
            <v>49</v>
          </cell>
          <cell r="V26">
            <v>24</v>
          </cell>
          <cell r="W26" t="str">
            <v xml:space="preserve">A </v>
          </cell>
          <cell r="Y26">
            <v>58</v>
          </cell>
          <cell r="Z26">
            <v>24</v>
          </cell>
          <cell r="AA26">
            <v>42</v>
          </cell>
          <cell r="AB26">
            <v>23</v>
          </cell>
          <cell r="AC26">
            <v>54</v>
          </cell>
          <cell r="AD26">
            <v>25</v>
          </cell>
          <cell r="AE26">
            <v>53</v>
          </cell>
          <cell r="AF26">
            <v>24</v>
          </cell>
          <cell r="AG26">
            <v>50</v>
          </cell>
          <cell r="AH26">
            <v>23</v>
          </cell>
          <cell r="AI26">
            <v>50</v>
          </cell>
          <cell r="AJ26">
            <v>25</v>
          </cell>
          <cell r="AK26" t="str">
            <v xml:space="preserve">A </v>
          </cell>
          <cell r="AM26">
            <v>53</v>
          </cell>
          <cell r="AN26">
            <v>23</v>
          </cell>
          <cell r="AO26">
            <v>40</v>
          </cell>
          <cell r="AP26">
            <v>20</v>
          </cell>
          <cell r="AQ26">
            <v>45</v>
          </cell>
          <cell r="AR26">
            <v>22</v>
          </cell>
          <cell r="AS26">
            <v>36</v>
          </cell>
          <cell r="AT26">
            <v>22</v>
          </cell>
          <cell r="AU26">
            <v>34</v>
          </cell>
          <cell r="AV26">
            <v>20</v>
          </cell>
          <cell r="AW26">
            <v>42</v>
          </cell>
          <cell r="AX26">
            <v>24</v>
          </cell>
          <cell r="AY26" t="str">
            <v xml:space="preserve">A </v>
          </cell>
          <cell r="BA26" t="str">
            <v xml:space="preserve"> A24/712384/007</v>
          </cell>
        </row>
        <row r="27">
          <cell r="B27" t="str">
            <v>LALIT SEN</v>
          </cell>
          <cell r="C27" t="str">
            <v xml:space="preserve">RAJKUMAR SEN </v>
          </cell>
          <cell r="D27" t="str">
            <v>PINKI SEN</v>
          </cell>
          <cell r="E27">
            <v>40037</v>
          </cell>
          <cell r="F27">
            <v>149761194</v>
          </cell>
          <cell r="G27">
            <v>472</v>
          </cell>
          <cell r="I27" t="str">
            <v xml:space="preserve">9TH </v>
          </cell>
          <cell r="J27" t="str">
            <v>2024-25</v>
          </cell>
          <cell r="K27">
            <v>43</v>
          </cell>
          <cell r="L27">
            <v>24</v>
          </cell>
          <cell r="M27">
            <v>32</v>
          </cell>
          <cell r="N27">
            <v>20</v>
          </cell>
          <cell r="O27">
            <v>48</v>
          </cell>
          <cell r="P27">
            <v>23</v>
          </cell>
          <cell r="Q27">
            <v>44</v>
          </cell>
          <cell r="R27">
            <v>23</v>
          </cell>
          <cell r="S27">
            <v>39</v>
          </cell>
          <cell r="T27">
            <v>21</v>
          </cell>
          <cell r="U27">
            <v>49</v>
          </cell>
          <cell r="V27">
            <v>23</v>
          </cell>
          <cell r="W27" t="str">
            <v xml:space="preserve">A </v>
          </cell>
          <cell r="Y27">
            <v>45</v>
          </cell>
          <cell r="Z27">
            <v>25</v>
          </cell>
          <cell r="AA27">
            <v>37</v>
          </cell>
          <cell r="AB27">
            <v>23</v>
          </cell>
          <cell r="AC27">
            <v>46</v>
          </cell>
          <cell r="AD27">
            <v>24</v>
          </cell>
          <cell r="AE27">
            <v>46</v>
          </cell>
          <cell r="AF27">
            <v>24</v>
          </cell>
          <cell r="AG27">
            <v>40</v>
          </cell>
          <cell r="AH27">
            <v>23</v>
          </cell>
          <cell r="AI27">
            <v>51</v>
          </cell>
          <cell r="AJ27">
            <v>24</v>
          </cell>
          <cell r="AK27" t="str">
            <v xml:space="preserve">A </v>
          </cell>
          <cell r="AM27">
            <v>48</v>
          </cell>
          <cell r="AN27">
            <v>23</v>
          </cell>
          <cell r="AO27">
            <v>42</v>
          </cell>
          <cell r="AP27">
            <v>18</v>
          </cell>
          <cell r="AQ27">
            <v>39</v>
          </cell>
          <cell r="AR27">
            <v>23</v>
          </cell>
          <cell r="AS27">
            <v>35</v>
          </cell>
          <cell r="AT27">
            <v>20</v>
          </cell>
          <cell r="AU27">
            <v>34</v>
          </cell>
          <cell r="AV27">
            <v>21</v>
          </cell>
          <cell r="AW27">
            <v>49</v>
          </cell>
          <cell r="AX27">
            <v>21</v>
          </cell>
          <cell r="AY27" t="str">
            <v xml:space="preserve">A </v>
          </cell>
          <cell r="BA27" t="str">
            <v xml:space="preserve"> A24/712384/016</v>
          </cell>
        </row>
        <row r="28">
          <cell r="B28" t="str">
            <v>MONU PATEL</v>
          </cell>
          <cell r="C28" t="str">
            <v xml:space="preserve">AMAR SINGH LODHI </v>
          </cell>
          <cell r="D28" t="str">
            <v>DURGA BAI</v>
          </cell>
          <cell r="E28">
            <v>39889</v>
          </cell>
          <cell r="F28">
            <v>117628074</v>
          </cell>
          <cell r="G28">
            <v>453</v>
          </cell>
          <cell r="I28" t="str">
            <v xml:space="preserve">9TH </v>
          </cell>
          <cell r="J28" t="str">
            <v>2024-25</v>
          </cell>
          <cell r="K28">
            <v>35</v>
          </cell>
          <cell r="L28">
            <v>23</v>
          </cell>
          <cell r="M28">
            <v>29</v>
          </cell>
          <cell r="N28">
            <v>20</v>
          </cell>
          <cell r="O28">
            <v>38</v>
          </cell>
          <cell r="P28">
            <v>22</v>
          </cell>
          <cell r="Q28">
            <v>36</v>
          </cell>
          <cell r="R28">
            <v>20</v>
          </cell>
          <cell r="S28">
            <v>38</v>
          </cell>
          <cell r="T28">
            <v>23</v>
          </cell>
          <cell r="U28">
            <v>35</v>
          </cell>
          <cell r="V28">
            <v>24</v>
          </cell>
          <cell r="W28" t="str">
            <v xml:space="preserve">A </v>
          </cell>
          <cell r="Y28">
            <v>36</v>
          </cell>
          <cell r="Z28">
            <v>24</v>
          </cell>
          <cell r="AA28">
            <v>32</v>
          </cell>
          <cell r="AB28">
            <v>23</v>
          </cell>
          <cell r="AC28">
            <v>40</v>
          </cell>
          <cell r="AD28">
            <v>24</v>
          </cell>
          <cell r="AE28">
            <v>40</v>
          </cell>
          <cell r="AF28">
            <v>22</v>
          </cell>
          <cell r="AG28">
            <v>41</v>
          </cell>
          <cell r="AH28">
            <v>22</v>
          </cell>
          <cell r="AI28">
            <v>37</v>
          </cell>
          <cell r="AJ28">
            <v>24</v>
          </cell>
          <cell r="AK28" t="str">
            <v xml:space="preserve">A </v>
          </cell>
          <cell r="AM28">
            <v>43</v>
          </cell>
          <cell r="AN28">
            <v>23</v>
          </cell>
          <cell r="AO28">
            <v>35</v>
          </cell>
          <cell r="AP28">
            <v>20</v>
          </cell>
          <cell r="AQ28">
            <v>31</v>
          </cell>
          <cell r="AR28">
            <v>20</v>
          </cell>
          <cell r="AS28">
            <v>38</v>
          </cell>
          <cell r="AT28">
            <v>21</v>
          </cell>
          <cell r="AU28">
            <v>39</v>
          </cell>
          <cell r="AV28">
            <v>23</v>
          </cell>
          <cell r="AW28">
            <v>38</v>
          </cell>
          <cell r="AX28">
            <v>21</v>
          </cell>
          <cell r="AY28" t="str">
            <v xml:space="preserve">A </v>
          </cell>
          <cell r="BA28" t="str">
            <v xml:space="preserve"> A24/712384/031</v>
          </cell>
        </row>
        <row r="29">
          <cell r="B29" t="str">
            <v>MOHIT RAJAK</v>
          </cell>
          <cell r="C29" t="str">
            <v xml:space="preserve">ASHOK KUMAR RAJAK </v>
          </cell>
          <cell r="D29" t="str">
            <v xml:space="preserve"> LAXMI BAI RAJAK</v>
          </cell>
          <cell r="E29">
            <v>40074</v>
          </cell>
          <cell r="F29">
            <v>106154984</v>
          </cell>
          <cell r="G29">
            <v>471</v>
          </cell>
          <cell r="I29" t="str">
            <v xml:space="preserve">9TH </v>
          </cell>
          <cell r="J29" t="str">
            <v>2024-25</v>
          </cell>
          <cell r="K29">
            <v>35</v>
          </cell>
          <cell r="L29">
            <v>24</v>
          </cell>
          <cell r="M29">
            <v>30</v>
          </cell>
          <cell r="N29">
            <v>18</v>
          </cell>
          <cell r="O29">
            <v>39</v>
          </cell>
          <cell r="P29">
            <v>22</v>
          </cell>
          <cell r="Q29">
            <v>39</v>
          </cell>
          <cell r="R29">
            <v>18</v>
          </cell>
          <cell r="S29">
            <v>35</v>
          </cell>
          <cell r="T29">
            <v>20</v>
          </cell>
          <cell r="U29">
            <v>36</v>
          </cell>
          <cell r="V29">
            <v>20</v>
          </cell>
          <cell r="W29" t="str">
            <v xml:space="preserve">A </v>
          </cell>
          <cell r="Y29">
            <v>34</v>
          </cell>
          <cell r="Z29">
            <v>14</v>
          </cell>
          <cell r="AA29">
            <v>32</v>
          </cell>
          <cell r="AB29">
            <v>18</v>
          </cell>
          <cell r="AC29">
            <v>40</v>
          </cell>
          <cell r="AD29">
            <v>23</v>
          </cell>
          <cell r="AE29">
            <v>38</v>
          </cell>
          <cell r="AF29">
            <v>17</v>
          </cell>
          <cell r="AG29">
            <v>36</v>
          </cell>
          <cell r="AH29">
            <v>18</v>
          </cell>
          <cell r="AI29">
            <v>39</v>
          </cell>
          <cell r="AJ29">
            <v>19</v>
          </cell>
          <cell r="AK29" t="str">
            <v xml:space="preserve">A </v>
          </cell>
          <cell r="AM29">
            <v>41</v>
          </cell>
          <cell r="AN29">
            <v>23</v>
          </cell>
          <cell r="AO29">
            <v>33</v>
          </cell>
          <cell r="AP29">
            <v>18</v>
          </cell>
          <cell r="AQ29">
            <v>32</v>
          </cell>
          <cell r="AR29">
            <v>19</v>
          </cell>
          <cell r="AS29">
            <v>30</v>
          </cell>
          <cell r="AT29">
            <v>20</v>
          </cell>
          <cell r="AU29">
            <v>35</v>
          </cell>
          <cell r="AV29">
            <v>20</v>
          </cell>
          <cell r="AW29">
            <v>40</v>
          </cell>
          <cell r="AX29">
            <v>23</v>
          </cell>
          <cell r="AY29" t="str">
            <v xml:space="preserve">A+ </v>
          </cell>
          <cell r="BA29" t="str">
            <v xml:space="preserve"> A24/712384/024</v>
          </cell>
        </row>
        <row r="30">
          <cell r="B30" t="str">
            <v>MAYANK DUBEY</v>
          </cell>
          <cell r="C30" t="str">
            <v xml:space="preserve">SUNIL DUBEY </v>
          </cell>
          <cell r="D30" t="str">
            <v>NISHA DUBEY</v>
          </cell>
          <cell r="E30">
            <v>40298</v>
          </cell>
          <cell r="F30">
            <v>198482476</v>
          </cell>
          <cell r="G30">
            <v>1671</v>
          </cell>
          <cell r="I30" t="str">
            <v xml:space="preserve">9TH </v>
          </cell>
          <cell r="J30" t="str">
            <v>2024-25</v>
          </cell>
          <cell r="K30">
            <v>40</v>
          </cell>
          <cell r="L30">
            <v>23</v>
          </cell>
          <cell r="M30">
            <v>35</v>
          </cell>
          <cell r="N30">
            <v>18</v>
          </cell>
          <cell r="O30">
            <v>47</v>
          </cell>
          <cell r="P30">
            <v>23</v>
          </cell>
          <cell r="Q30">
            <v>38</v>
          </cell>
          <cell r="R30">
            <v>17</v>
          </cell>
          <cell r="S30">
            <v>40</v>
          </cell>
          <cell r="T30">
            <v>21</v>
          </cell>
          <cell r="U30">
            <v>47</v>
          </cell>
          <cell r="V30">
            <v>21</v>
          </cell>
          <cell r="W30" t="str">
            <v xml:space="preserve">A </v>
          </cell>
          <cell r="Y30">
            <v>42</v>
          </cell>
          <cell r="Z30">
            <v>19</v>
          </cell>
          <cell r="AA30">
            <v>36</v>
          </cell>
          <cell r="AB30">
            <v>18</v>
          </cell>
          <cell r="AC30">
            <v>45</v>
          </cell>
          <cell r="AD30">
            <v>24</v>
          </cell>
          <cell r="AE30">
            <v>40</v>
          </cell>
          <cell r="AF30">
            <v>19</v>
          </cell>
          <cell r="AG30">
            <v>43</v>
          </cell>
          <cell r="AH30">
            <v>22</v>
          </cell>
          <cell r="AI30">
            <v>50</v>
          </cell>
          <cell r="AJ30">
            <v>24</v>
          </cell>
          <cell r="AK30" t="str">
            <v xml:space="preserve">A </v>
          </cell>
          <cell r="AM30">
            <v>49</v>
          </cell>
          <cell r="AN30">
            <v>24</v>
          </cell>
          <cell r="AO30">
            <v>42</v>
          </cell>
          <cell r="AP30">
            <v>18</v>
          </cell>
          <cell r="AQ30">
            <v>45</v>
          </cell>
          <cell r="AR30">
            <v>23</v>
          </cell>
          <cell r="AS30">
            <v>38</v>
          </cell>
          <cell r="AT30">
            <v>21</v>
          </cell>
          <cell r="AU30">
            <v>38</v>
          </cell>
          <cell r="AV30">
            <v>21</v>
          </cell>
          <cell r="AW30">
            <v>46</v>
          </cell>
          <cell r="AX30">
            <v>23</v>
          </cell>
          <cell r="AY30" t="str">
            <v xml:space="preserve">A </v>
          </cell>
          <cell r="BA30" t="str">
            <v xml:space="preserve"> A24/712384/036</v>
          </cell>
        </row>
        <row r="31">
          <cell r="B31" t="str">
            <v>NISHKARSH VISHWAKARMA</v>
          </cell>
          <cell r="C31" t="str">
            <v xml:space="preserve">OMPRAKASH VISHWAKARMA </v>
          </cell>
          <cell r="D31" t="str">
            <v>SNEHLATA VISHWAKARMA</v>
          </cell>
          <cell r="E31">
            <v>40652</v>
          </cell>
          <cell r="F31">
            <v>109703876</v>
          </cell>
          <cell r="G31">
            <v>1476</v>
          </cell>
          <cell r="I31" t="str">
            <v xml:space="preserve">9TH </v>
          </cell>
          <cell r="J31" t="str">
            <v>2024-25</v>
          </cell>
          <cell r="K31">
            <v>35</v>
          </cell>
          <cell r="L31">
            <v>21</v>
          </cell>
          <cell r="M31">
            <v>30</v>
          </cell>
          <cell r="N31">
            <v>20</v>
          </cell>
          <cell r="O31">
            <v>41</v>
          </cell>
          <cell r="P31">
            <v>22</v>
          </cell>
          <cell r="Q31">
            <v>39</v>
          </cell>
          <cell r="R31">
            <v>18</v>
          </cell>
          <cell r="S31">
            <v>35</v>
          </cell>
          <cell r="T31">
            <v>20</v>
          </cell>
          <cell r="U31">
            <v>31</v>
          </cell>
          <cell r="V31">
            <v>23</v>
          </cell>
          <cell r="W31" t="str">
            <v xml:space="preserve">A </v>
          </cell>
          <cell r="Y31">
            <v>37</v>
          </cell>
          <cell r="Z31">
            <v>23</v>
          </cell>
          <cell r="AA31">
            <v>32</v>
          </cell>
          <cell r="AB31">
            <v>23</v>
          </cell>
          <cell r="AC31">
            <v>40</v>
          </cell>
          <cell r="AD31">
            <v>23</v>
          </cell>
          <cell r="AE31">
            <v>42</v>
          </cell>
          <cell r="AF31">
            <v>20</v>
          </cell>
          <cell r="AG31">
            <v>39</v>
          </cell>
          <cell r="AH31">
            <v>23</v>
          </cell>
          <cell r="AI31">
            <v>38</v>
          </cell>
          <cell r="AJ31">
            <v>24</v>
          </cell>
          <cell r="AK31" t="str">
            <v xml:space="preserve">A </v>
          </cell>
          <cell r="AM31">
            <v>33</v>
          </cell>
          <cell r="AN31">
            <v>22</v>
          </cell>
          <cell r="AO31">
            <v>35</v>
          </cell>
          <cell r="AP31">
            <v>17</v>
          </cell>
          <cell r="AQ31">
            <v>35</v>
          </cell>
          <cell r="AR31">
            <v>21</v>
          </cell>
          <cell r="AS31">
            <v>31</v>
          </cell>
          <cell r="AT31">
            <v>20</v>
          </cell>
          <cell r="AU31">
            <v>38</v>
          </cell>
          <cell r="AV31">
            <v>22</v>
          </cell>
          <cell r="AW31">
            <v>38</v>
          </cell>
          <cell r="AX31">
            <v>21</v>
          </cell>
          <cell r="AY31" t="str">
            <v>A +</v>
          </cell>
          <cell r="BA31" t="str">
            <v xml:space="preserve"> A24/712384/029</v>
          </cell>
        </row>
        <row r="32">
          <cell r="B32" t="str">
            <v>RAJ KUSHWAHA</v>
          </cell>
          <cell r="C32" t="str">
            <v xml:space="preserve">MANOJ KUMAR KUSHWAHA </v>
          </cell>
          <cell r="D32" t="str">
            <v>ARTI BAI</v>
          </cell>
          <cell r="E32">
            <v>40531</v>
          </cell>
          <cell r="F32">
            <v>118446341</v>
          </cell>
          <cell r="G32">
            <v>457</v>
          </cell>
          <cell r="I32" t="str">
            <v xml:space="preserve">9TH </v>
          </cell>
          <cell r="J32" t="str">
            <v>2024-25</v>
          </cell>
          <cell r="K32">
            <v>42</v>
          </cell>
          <cell r="L32">
            <v>19</v>
          </cell>
          <cell r="M32">
            <v>29</v>
          </cell>
          <cell r="N32">
            <v>22</v>
          </cell>
          <cell r="O32">
            <v>46</v>
          </cell>
          <cell r="P32">
            <v>23</v>
          </cell>
          <cell r="Q32">
            <v>36</v>
          </cell>
          <cell r="R32">
            <v>23</v>
          </cell>
          <cell r="S32">
            <v>32</v>
          </cell>
          <cell r="T32">
            <v>21</v>
          </cell>
          <cell r="U32">
            <v>35</v>
          </cell>
          <cell r="V32">
            <v>22</v>
          </cell>
          <cell r="W32" t="str">
            <v xml:space="preserve">A </v>
          </cell>
          <cell r="Y32">
            <v>45</v>
          </cell>
          <cell r="Z32">
            <v>24</v>
          </cell>
          <cell r="AA32">
            <v>32</v>
          </cell>
          <cell r="AB32">
            <v>23</v>
          </cell>
          <cell r="AC32">
            <v>48</v>
          </cell>
          <cell r="AD32">
            <v>24</v>
          </cell>
          <cell r="AE32">
            <v>40</v>
          </cell>
          <cell r="AF32">
            <v>24</v>
          </cell>
          <cell r="AG32">
            <v>38</v>
          </cell>
          <cell r="AH32">
            <v>23</v>
          </cell>
          <cell r="AI32">
            <v>43</v>
          </cell>
          <cell r="AJ32">
            <v>23</v>
          </cell>
          <cell r="AK32" t="str">
            <v xml:space="preserve">A </v>
          </cell>
          <cell r="AM32">
            <v>55</v>
          </cell>
          <cell r="AN32">
            <v>24</v>
          </cell>
          <cell r="AO32">
            <v>39</v>
          </cell>
          <cell r="AP32">
            <v>20</v>
          </cell>
          <cell r="AQ32">
            <v>46</v>
          </cell>
          <cell r="AR32">
            <v>22</v>
          </cell>
          <cell r="AS32">
            <v>43</v>
          </cell>
          <cell r="AT32">
            <v>23</v>
          </cell>
          <cell r="AU32">
            <v>39</v>
          </cell>
          <cell r="AV32">
            <v>22</v>
          </cell>
          <cell r="AW32">
            <v>46</v>
          </cell>
          <cell r="AX32">
            <v>23</v>
          </cell>
          <cell r="AY32" t="str">
            <v xml:space="preserve">A </v>
          </cell>
          <cell r="BA32" t="str">
            <v xml:space="preserve"> A24/712384/002</v>
          </cell>
        </row>
        <row r="33">
          <cell r="B33" t="str">
            <v>SHIV KUMAR PATEL</v>
          </cell>
          <cell r="C33" t="str">
            <v xml:space="preserve">BRAJESH KUMAR </v>
          </cell>
          <cell r="D33" t="str">
            <v>ARCHANA PATEL</v>
          </cell>
          <cell r="E33">
            <v>40458</v>
          </cell>
          <cell r="F33">
            <v>109654633</v>
          </cell>
          <cell r="G33">
            <v>481</v>
          </cell>
          <cell r="I33" t="str">
            <v xml:space="preserve">9TH </v>
          </cell>
          <cell r="J33" t="str">
            <v>2024-25</v>
          </cell>
          <cell r="K33">
            <v>44</v>
          </cell>
          <cell r="L33">
            <v>20</v>
          </cell>
          <cell r="M33">
            <v>32</v>
          </cell>
          <cell r="N33">
            <v>20</v>
          </cell>
          <cell r="O33">
            <v>50</v>
          </cell>
          <cell r="P33">
            <v>22</v>
          </cell>
          <cell r="Q33">
            <v>36</v>
          </cell>
          <cell r="R33">
            <v>23</v>
          </cell>
          <cell r="S33">
            <v>38</v>
          </cell>
          <cell r="T33">
            <v>19</v>
          </cell>
          <cell r="U33">
            <v>42</v>
          </cell>
          <cell r="V33">
            <v>20</v>
          </cell>
          <cell r="W33" t="str">
            <v xml:space="preserve">A </v>
          </cell>
          <cell r="Y33">
            <v>47</v>
          </cell>
          <cell r="Z33">
            <v>25</v>
          </cell>
          <cell r="AA33">
            <v>38</v>
          </cell>
          <cell r="AB33">
            <v>22</v>
          </cell>
          <cell r="AC33">
            <v>49</v>
          </cell>
          <cell r="AD33">
            <v>24</v>
          </cell>
          <cell r="AE33">
            <v>42</v>
          </cell>
          <cell r="AF33">
            <v>24</v>
          </cell>
          <cell r="AG33">
            <v>39</v>
          </cell>
          <cell r="AH33">
            <v>24</v>
          </cell>
          <cell r="AI33">
            <v>48</v>
          </cell>
          <cell r="AJ33">
            <v>24</v>
          </cell>
          <cell r="AK33" t="str">
            <v xml:space="preserve">A </v>
          </cell>
          <cell r="AM33">
            <v>57</v>
          </cell>
          <cell r="AN33">
            <v>24</v>
          </cell>
          <cell r="AO33">
            <v>38</v>
          </cell>
          <cell r="AP33">
            <v>20</v>
          </cell>
          <cell r="AQ33">
            <v>48</v>
          </cell>
          <cell r="AR33">
            <v>20</v>
          </cell>
          <cell r="AS33">
            <v>38</v>
          </cell>
          <cell r="AT33">
            <v>20</v>
          </cell>
          <cell r="AU33">
            <v>34</v>
          </cell>
          <cell r="AV33">
            <v>21</v>
          </cell>
          <cell r="AW33">
            <v>44</v>
          </cell>
          <cell r="AX33">
            <v>23</v>
          </cell>
          <cell r="AY33" t="str">
            <v>A +</v>
          </cell>
          <cell r="BA33" t="str">
            <v xml:space="preserve"> A24/712384/021</v>
          </cell>
        </row>
        <row r="34">
          <cell r="B34" t="str">
            <v>SHIVANSHU KUSHWAHA</v>
          </cell>
          <cell r="C34" t="str">
            <v xml:space="preserve">SHARDA PRASAD KUSHWAHA </v>
          </cell>
          <cell r="D34" t="str">
            <v xml:space="preserve"> KAMLA BAI</v>
          </cell>
          <cell r="E34">
            <v>39853</v>
          </cell>
          <cell r="F34">
            <v>103367213</v>
          </cell>
          <cell r="G34">
            <v>486</v>
          </cell>
          <cell r="I34" t="str">
            <v xml:space="preserve">9TH </v>
          </cell>
          <cell r="J34" t="str">
            <v>2024-25</v>
          </cell>
          <cell r="K34">
            <v>50</v>
          </cell>
          <cell r="L34">
            <v>23</v>
          </cell>
          <cell r="M34">
            <v>40</v>
          </cell>
          <cell r="N34">
            <v>20</v>
          </cell>
          <cell r="O34">
            <v>51</v>
          </cell>
          <cell r="P34">
            <v>24</v>
          </cell>
          <cell r="Q34">
            <v>42</v>
          </cell>
          <cell r="R34">
            <v>21</v>
          </cell>
          <cell r="S34">
            <v>48</v>
          </cell>
          <cell r="T34">
            <v>22</v>
          </cell>
          <cell r="U34">
            <v>52</v>
          </cell>
          <cell r="V34">
            <v>22</v>
          </cell>
          <cell r="W34" t="str">
            <v>A +</v>
          </cell>
          <cell r="Y34">
            <v>61</v>
          </cell>
          <cell r="Z34">
            <v>24</v>
          </cell>
          <cell r="AA34">
            <v>38</v>
          </cell>
          <cell r="AB34">
            <v>24</v>
          </cell>
          <cell r="AC34">
            <v>56</v>
          </cell>
          <cell r="AD34">
            <v>25</v>
          </cell>
          <cell r="AE34">
            <v>58</v>
          </cell>
          <cell r="AF34">
            <v>24</v>
          </cell>
          <cell r="AG34">
            <v>59</v>
          </cell>
          <cell r="AH34">
            <v>23</v>
          </cell>
          <cell r="AI34">
            <v>50</v>
          </cell>
          <cell r="AJ34">
            <v>24</v>
          </cell>
          <cell r="AK34" t="str">
            <v>A +</v>
          </cell>
          <cell r="AM34">
            <v>65</v>
          </cell>
          <cell r="AN34">
            <v>24</v>
          </cell>
          <cell r="AO34">
            <v>58</v>
          </cell>
          <cell r="AP34">
            <v>22</v>
          </cell>
          <cell r="AQ34">
            <v>54</v>
          </cell>
          <cell r="AR34">
            <v>24</v>
          </cell>
          <cell r="AS34">
            <v>64</v>
          </cell>
          <cell r="AT34">
            <v>24</v>
          </cell>
          <cell r="AU34">
            <v>58</v>
          </cell>
          <cell r="AV34">
            <v>23</v>
          </cell>
          <cell r="AW34">
            <v>55</v>
          </cell>
          <cell r="AX34">
            <v>24</v>
          </cell>
          <cell r="AY34" t="str">
            <v xml:space="preserve">A </v>
          </cell>
          <cell r="BA34" t="str">
            <v xml:space="preserve"> A24/712384/018</v>
          </cell>
        </row>
        <row r="35">
          <cell r="B35" t="str">
            <v>SHIVAM YADAV</v>
          </cell>
          <cell r="C35" t="str">
            <v xml:space="preserve">RAMSUJAN YADAV </v>
          </cell>
          <cell r="D35" t="str">
            <v>TULSA BAI</v>
          </cell>
          <cell r="E35">
            <v>40101</v>
          </cell>
          <cell r="F35">
            <v>118483841</v>
          </cell>
          <cell r="G35">
            <v>484</v>
          </cell>
          <cell r="I35" t="str">
            <v xml:space="preserve">9TH </v>
          </cell>
          <cell r="J35" t="str">
            <v>2024-25</v>
          </cell>
          <cell r="K35">
            <v>63</v>
          </cell>
          <cell r="L35">
            <v>22</v>
          </cell>
          <cell r="M35">
            <v>53</v>
          </cell>
          <cell r="N35">
            <v>23</v>
          </cell>
          <cell r="O35">
            <v>67</v>
          </cell>
          <cell r="P35">
            <v>24</v>
          </cell>
          <cell r="Q35">
            <v>62</v>
          </cell>
          <cell r="R35">
            <v>22</v>
          </cell>
          <cell r="S35">
            <v>58</v>
          </cell>
          <cell r="T35">
            <v>23</v>
          </cell>
          <cell r="U35">
            <v>59</v>
          </cell>
          <cell r="V35">
            <v>24</v>
          </cell>
          <cell r="W35" t="str">
            <v xml:space="preserve">A </v>
          </cell>
          <cell r="Y35">
            <v>67</v>
          </cell>
          <cell r="Z35">
            <v>25</v>
          </cell>
          <cell r="AA35">
            <v>41</v>
          </cell>
          <cell r="AB35">
            <v>24</v>
          </cell>
          <cell r="AC35">
            <v>68</v>
          </cell>
          <cell r="AD35">
            <v>25</v>
          </cell>
          <cell r="AE35">
            <v>62</v>
          </cell>
          <cell r="AF35">
            <v>24</v>
          </cell>
          <cell r="AG35">
            <v>66</v>
          </cell>
          <cell r="AH35">
            <v>25</v>
          </cell>
          <cell r="AI35">
            <v>62</v>
          </cell>
          <cell r="AJ35">
            <v>25</v>
          </cell>
          <cell r="AK35" t="str">
            <v xml:space="preserve">A </v>
          </cell>
          <cell r="AM35">
            <v>73</v>
          </cell>
          <cell r="AN35">
            <v>24</v>
          </cell>
          <cell r="AO35">
            <v>59</v>
          </cell>
          <cell r="AP35">
            <v>22</v>
          </cell>
          <cell r="AQ35">
            <v>68</v>
          </cell>
          <cell r="AR35">
            <v>25</v>
          </cell>
          <cell r="AS35">
            <v>68</v>
          </cell>
          <cell r="AT35">
            <v>25</v>
          </cell>
          <cell r="AU35">
            <v>71</v>
          </cell>
          <cell r="AV35">
            <v>25</v>
          </cell>
          <cell r="AW35">
            <v>69</v>
          </cell>
          <cell r="AX35">
            <v>24</v>
          </cell>
          <cell r="AY35" t="str">
            <v xml:space="preserve">A </v>
          </cell>
          <cell r="BA35" t="str">
            <v xml:space="preserve"> A24/712384/017</v>
          </cell>
        </row>
        <row r="36">
          <cell r="B36" t="str">
            <v>SIDDHARTH PATEL</v>
          </cell>
          <cell r="C36" t="str">
            <v xml:space="preserve">MITHLESH PATEL </v>
          </cell>
          <cell r="D36" t="str">
            <v xml:space="preserve"> PRABHA PATEL</v>
          </cell>
          <cell r="E36">
            <v>40363</v>
          </cell>
          <cell r="F36">
            <v>105204749</v>
          </cell>
          <cell r="G36">
            <v>461</v>
          </cell>
          <cell r="I36" t="str">
            <v xml:space="preserve">9TH </v>
          </cell>
          <cell r="J36" t="str">
            <v>2024-25</v>
          </cell>
          <cell r="K36">
            <v>50</v>
          </cell>
          <cell r="L36">
            <v>23</v>
          </cell>
          <cell r="M36">
            <v>35</v>
          </cell>
          <cell r="N36">
            <v>20</v>
          </cell>
          <cell r="O36">
            <v>46</v>
          </cell>
          <cell r="P36">
            <v>23</v>
          </cell>
          <cell r="Q36">
            <v>44</v>
          </cell>
          <cell r="R36">
            <v>23</v>
          </cell>
          <cell r="S36">
            <v>43</v>
          </cell>
          <cell r="T36">
            <v>23</v>
          </cell>
          <cell r="U36">
            <v>47</v>
          </cell>
          <cell r="V36">
            <v>21</v>
          </cell>
          <cell r="W36" t="str">
            <v xml:space="preserve">A </v>
          </cell>
          <cell r="Y36">
            <v>56</v>
          </cell>
          <cell r="Z36">
            <v>24</v>
          </cell>
          <cell r="AA36">
            <v>38</v>
          </cell>
          <cell r="AB36">
            <v>23</v>
          </cell>
          <cell r="AC36">
            <v>49</v>
          </cell>
          <cell r="AD36">
            <v>24</v>
          </cell>
          <cell r="AE36">
            <v>48</v>
          </cell>
          <cell r="AF36">
            <v>24</v>
          </cell>
          <cell r="AG36">
            <v>47</v>
          </cell>
          <cell r="AH36">
            <v>23</v>
          </cell>
          <cell r="AI36">
            <v>50</v>
          </cell>
          <cell r="AJ36">
            <v>24</v>
          </cell>
          <cell r="AK36" t="str">
            <v xml:space="preserve">A </v>
          </cell>
          <cell r="AM36">
            <v>55</v>
          </cell>
          <cell r="AN36">
            <v>23</v>
          </cell>
          <cell r="AO36">
            <v>45</v>
          </cell>
          <cell r="AP36">
            <v>22</v>
          </cell>
          <cell r="AQ36">
            <v>50</v>
          </cell>
          <cell r="AR36">
            <v>24</v>
          </cell>
          <cell r="AS36">
            <v>38</v>
          </cell>
          <cell r="AT36">
            <v>20</v>
          </cell>
          <cell r="AU36">
            <v>44</v>
          </cell>
          <cell r="AV36">
            <v>23</v>
          </cell>
          <cell r="AW36">
            <v>49</v>
          </cell>
          <cell r="AX36">
            <v>23</v>
          </cell>
          <cell r="AY36" t="str">
            <v xml:space="preserve">A+ </v>
          </cell>
          <cell r="BA36" t="str">
            <v xml:space="preserve"> A24/712384/006</v>
          </cell>
        </row>
        <row r="37">
          <cell r="B37" t="str">
            <v>SHIVA PATEL</v>
          </cell>
          <cell r="C37" t="str">
            <v xml:space="preserve">ANIL KUMAR </v>
          </cell>
          <cell r="D37" t="str">
            <v>RADHA</v>
          </cell>
          <cell r="E37">
            <v>40500</v>
          </cell>
          <cell r="F37">
            <v>111725859</v>
          </cell>
          <cell r="G37">
            <v>491</v>
          </cell>
          <cell r="I37" t="str">
            <v xml:space="preserve">9TH </v>
          </cell>
          <cell r="J37" t="str">
            <v>2024-25</v>
          </cell>
          <cell r="K37">
            <v>40</v>
          </cell>
          <cell r="L37">
            <v>24</v>
          </cell>
          <cell r="M37">
            <v>31</v>
          </cell>
          <cell r="N37">
            <v>20</v>
          </cell>
          <cell r="O37">
            <v>40</v>
          </cell>
          <cell r="P37">
            <v>21</v>
          </cell>
          <cell r="Q37">
            <v>34</v>
          </cell>
          <cell r="R37">
            <v>20</v>
          </cell>
          <cell r="S37">
            <v>41</v>
          </cell>
          <cell r="T37">
            <v>20</v>
          </cell>
          <cell r="U37">
            <v>45</v>
          </cell>
          <cell r="V37">
            <v>22</v>
          </cell>
          <cell r="W37" t="str">
            <v xml:space="preserve">A </v>
          </cell>
          <cell r="Y37">
            <v>43</v>
          </cell>
          <cell r="Z37">
            <v>24</v>
          </cell>
          <cell r="AA37">
            <v>36</v>
          </cell>
          <cell r="AB37">
            <v>22</v>
          </cell>
          <cell r="AC37">
            <v>42</v>
          </cell>
          <cell r="AD37">
            <v>24</v>
          </cell>
          <cell r="AE37">
            <v>39</v>
          </cell>
          <cell r="AF37">
            <v>23</v>
          </cell>
          <cell r="AG37">
            <v>44</v>
          </cell>
          <cell r="AH37">
            <v>23</v>
          </cell>
          <cell r="AI37">
            <v>47</v>
          </cell>
          <cell r="AJ37">
            <v>23</v>
          </cell>
          <cell r="AK37" t="str">
            <v xml:space="preserve">A </v>
          </cell>
          <cell r="AM37">
            <v>53</v>
          </cell>
          <cell r="AN37">
            <v>23</v>
          </cell>
          <cell r="AO37">
            <v>39</v>
          </cell>
          <cell r="AP37">
            <v>23</v>
          </cell>
          <cell r="AQ37">
            <v>40</v>
          </cell>
          <cell r="AR37">
            <v>23</v>
          </cell>
          <cell r="AS37">
            <v>35</v>
          </cell>
          <cell r="AT37">
            <v>21</v>
          </cell>
          <cell r="AU37">
            <v>35</v>
          </cell>
          <cell r="AV37">
            <v>20</v>
          </cell>
          <cell r="AW37">
            <v>46</v>
          </cell>
          <cell r="AX37">
            <v>21</v>
          </cell>
          <cell r="AY37" t="str">
            <v xml:space="preserve">A </v>
          </cell>
          <cell r="BA37" t="str">
            <v xml:space="preserve"> A24/712384/004</v>
          </cell>
        </row>
        <row r="38">
          <cell r="B38" t="str">
            <v>SAHIL BARMAN</v>
          </cell>
          <cell r="C38" t="str">
            <v xml:space="preserve">RAMKRISHNA BARMAN </v>
          </cell>
          <cell r="D38" t="str">
            <v>RANAJNA BAI BARMAN</v>
          </cell>
          <cell r="E38">
            <v>40358</v>
          </cell>
          <cell r="F38">
            <v>140273110</v>
          </cell>
          <cell r="G38">
            <v>1343</v>
          </cell>
          <cell r="I38" t="str">
            <v xml:space="preserve">9TH </v>
          </cell>
          <cell r="J38" t="str">
            <v>2024-25</v>
          </cell>
          <cell r="K38">
            <v>33</v>
          </cell>
          <cell r="L38">
            <v>21</v>
          </cell>
          <cell r="M38">
            <v>28</v>
          </cell>
          <cell r="N38">
            <v>17</v>
          </cell>
          <cell r="O38">
            <v>40</v>
          </cell>
          <cell r="P38">
            <v>15</v>
          </cell>
          <cell r="Q38">
            <v>30</v>
          </cell>
          <cell r="R38">
            <v>20</v>
          </cell>
          <cell r="S38">
            <v>36</v>
          </cell>
          <cell r="T38">
            <v>16</v>
          </cell>
          <cell r="U38">
            <v>41</v>
          </cell>
          <cell r="V38">
            <v>15</v>
          </cell>
          <cell r="W38" t="str">
            <v xml:space="preserve">A </v>
          </cell>
          <cell r="Y38">
            <v>34</v>
          </cell>
          <cell r="Z38">
            <v>20</v>
          </cell>
          <cell r="AA38">
            <v>30</v>
          </cell>
          <cell r="AB38">
            <v>15</v>
          </cell>
          <cell r="AC38">
            <v>40</v>
          </cell>
          <cell r="AD38">
            <v>14</v>
          </cell>
          <cell r="AE38">
            <v>32</v>
          </cell>
          <cell r="AF38">
            <v>20</v>
          </cell>
          <cell r="AG38">
            <v>33</v>
          </cell>
          <cell r="AH38">
            <v>15</v>
          </cell>
          <cell r="AI38">
            <v>43</v>
          </cell>
          <cell r="AJ38">
            <v>17</v>
          </cell>
          <cell r="AK38" t="str">
            <v xml:space="preserve">A </v>
          </cell>
          <cell r="AM38">
            <v>36</v>
          </cell>
          <cell r="AN38">
            <v>23</v>
          </cell>
          <cell r="AO38">
            <v>45</v>
          </cell>
          <cell r="AP38">
            <v>22</v>
          </cell>
          <cell r="AQ38">
            <v>50</v>
          </cell>
          <cell r="AR38">
            <v>24</v>
          </cell>
          <cell r="AS38">
            <v>38</v>
          </cell>
          <cell r="AT38">
            <v>20</v>
          </cell>
          <cell r="AU38">
            <v>37</v>
          </cell>
          <cell r="AV38">
            <v>21</v>
          </cell>
          <cell r="AW38">
            <v>39</v>
          </cell>
          <cell r="AX38">
            <v>20</v>
          </cell>
          <cell r="AY38" t="str">
            <v xml:space="preserve">A </v>
          </cell>
          <cell r="BA38" t="str">
            <v xml:space="preserve"> A24/712384/022</v>
          </cell>
        </row>
        <row r="39">
          <cell r="B39" t="str">
            <v>SHIVA BARMAN</v>
          </cell>
          <cell r="C39" t="str">
            <v xml:space="preserve">NARAYAN PRSAD </v>
          </cell>
          <cell r="D39" t="str">
            <v>MANJO BAI</v>
          </cell>
          <cell r="E39">
            <v>40516</v>
          </cell>
          <cell r="F39">
            <v>133413333</v>
          </cell>
          <cell r="G39">
            <v>499</v>
          </cell>
          <cell r="I39" t="str">
            <v xml:space="preserve">9TH </v>
          </cell>
          <cell r="J39" t="str">
            <v>2024-25</v>
          </cell>
          <cell r="K39">
            <v>28</v>
          </cell>
          <cell r="L39">
            <v>15</v>
          </cell>
          <cell r="M39">
            <v>27</v>
          </cell>
          <cell r="N39">
            <v>15</v>
          </cell>
          <cell r="O39">
            <v>33</v>
          </cell>
          <cell r="P39">
            <v>14</v>
          </cell>
          <cell r="Q39">
            <v>32</v>
          </cell>
          <cell r="R39">
            <v>15</v>
          </cell>
          <cell r="S39">
            <v>36</v>
          </cell>
          <cell r="T39">
            <v>16</v>
          </cell>
          <cell r="U39">
            <v>30</v>
          </cell>
          <cell r="V39">
            <v>15</v>
          </cell>
          <cell r="W39" t="str">
            <v xml:space="preserve">A </v>
          </cell>
          <cell r="Y39">
            <v>30</v>
          </cell>
          <cell r="Z39">
            <v>21</v>
          </cell>
          <cell r="AA39">
            <v>30</v>
          </cell>
          <cell r="AB39">
            <v>14</v>
          </cell>
          <cell r="AC39">
            <v>35</v>
          </cell>
          <cell r="AD39">
            <v>15</v>
          </cell>
          <cell r="AE39">
            <v>31</v>
          </cell>
          <cell r="AF39">
            <v>16</v>
          </cell>
          <cell r="AG39">
            <v>37</v>
          </cell>
          <cell r="AH39">
            <v>17</v>
          </cell>
          <cell r="AI39">
            <v>32</v>
          </cell>
          <cell r="AJ39">
            <v>16</v>
          </cell>
          <cell r="AK39" t="str">
            <v xml:space="preserve">A </v>
          </cell>
          <cell r="AM39" t="str">
            <v xml:space="preserve">ABS </v>
          </cell>
          <cell r="AN39" t="str">
            <v xml:space="preserve">ABS </v>
          </cell>
          <cell r="AO39" t="str">
            <v>ABS</v>
          </cell>
          <cell r="AP39" t="str">
            <v>ABS</v>
          </cell>
          <cell r="AQ39" t="str">
            <v>ABS</v>
          </cell>
          <cell r="AR39" t="str">
            <v xml:space="preserve">ABS </v>
          </cell>
          <cell r="AS39" t="str">
            <v>ABS</v>
          </cell>
          <cell r="AT39" t="str">
            <v>ABS</v>
          </cell>
          <cell r="AU39" t="str">
            <v xml:space="preserve">ABS </v>
          </cell>
          <cell r="AV39" t="str">
            <v xml:space="preserve">ABS </v>
          </cell>
          <cell r="AW39">
            <v>38</v>
          </cell>
          <cell r="AX39">
            <v>20</v>
          </cell>
          <cell r="AY39" t="str">
            <v xml:space="preserve">A </v>
          </cell>
          <cell r="BA39" t="str">
            <v xml:space="preserve"> A24/712384/032</v>
          </cell>
        </row>
        <row r="40">
          <cell r="B40" t="str">
            <v>VEER MEHRA</v>
          </cell>
          <cell r="C40" t="str">
            <v xml:space="preserve">ARUN </v>
          </cell>
          <cell r="D40" t="str">
            <v>ANSHO</v>
          </cell>
          <cell r="E40">
            <v>40408</v>
          </cell>
          <cell r="F40">
            <v>117479980</v>
          </cell>
          <cell r="G40">
            <v>462</v>
          </cell>
          <cell r="I40" t="str">
            <v xml:space="preserve">9TH </v>
          </cell>
          <cell r="J40" t="str">
            <v>2024-25</v>
          </cell>
          <cell r="K40">
            <v>49</v>
          </cell>
          <cell r="L40">
            <v>22</v>
          </cell>
          <cell r="M40">
            <v>35</v>
          </cell>
          <cell r="N40">
            <v>16</v>
          </cell>
          <cell r="O40">
            <v>50</v>
          </cell>
          <cell r="P40">
            <v>24</v>
          </cell>
          <cell r="Q40">
            <v>42</v>
          </cell>
          <cell r="R40">
            <v>23</v>
          </cell>
          <cell r="S40">
            <v>46</v>
          </cell>
          <cell r="T40">
            <v>22</v>
          </cell>
          <cell r="U40">
            <v>42</v>
          </cell>
          <cell r="V40">
            <v>23</v>
          </cell>
          <cell r="W40" t="str">
            <v>A +</v>
          </cell>
          <cell r="Y40">
            <v>55</v>
          </cell>
          <cell r="Z40">
            <v>24</v>
          </cell>
          <cell r="AA40">
            <v>39</v>
          </cell>
          <cell r="AB40">
            <v>24</v>
          </cell>
          <cell r="AC40">
            <v>54</v>
          </cell>
          <cell r="AD40">
            <v>23</v>
          </cell>
          <cell r="AE40">
            <v>47</v>
          </cell>
          <cell r="AF40">
            <v>24</v>
          </cell>
          <cell r="AG40">
            <v>53</v>
          </cell>
          <cell r="AH40">
            <v>24</v>
          </cell>
          <cell r="AI40">
            <v>47</v>
          </cell>
          <cell r="AJ40">
            <v>24</v>
          </cell>
          <cell r="AK40" t="str">
            <v>A +</v>
          </cell>
          <cell r="AM40">
            <v>58</v>
          </cell>
          <cell r="AN40">
            <v>24</v>
          </cell>
          <cell r="AO40">
            <v>45</v>
          </cell>
          <cell r="AP40">
            <v>21</v>
          </cell>
          <cell r="AQ40">
            <v>48</v>
          </cell>
          <cell r="AR40">
            <v>24</v>
          </cell>
          <cell r="AS40">
            <v>56</v>
          </cell>
          <cell r="AT40">
            <v>23</v>
          </cell>
          <cell r="AU40">
            <v>38</v>
          </cell>
          <cell r="AV40">
            <v>23</v>
          </cell>
          <cell r="AW40">
            <v>48</v>
          </cell>
          <cell r="AX40">
            <v>23</v>
          </cell>
          <cell r="AY40" t="str">
            <v xml:space="preserve">A </v>
          </cell>
          <cell r="BA40" t="str">
            <v xml:space="preserve"> A24/712384/001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53"/>
  <sheetViews>
    <sheetView workbookViewId="0">
      <selection activeCell="F44" sqref="F44"/>
    </sheetView>
  </sheetViews>
  <sheetFormatPr defaultColWidth="9.1796875" defaultRowHeight="14"/>
  <cols>
    <col min="1" max="1" width="3.453125" style="162" customWidth="1"/>
    <col min="2" max="2" width="14.453125" style="22" customWidth="1"/>
    <col min="3" max="4" width="9.54296875" style="22" customWidth="1"/>
    <col min="5" max="5" width="9" style="22" customWidth="1"/>
    <col min="6" max="6" width="6.54296875" style="22" customWidth="1"/>
    <col min="7" max="7" width="7.54296875" style="22" customWidth="1"/>
    <col min="8" max="8" width="14.453125" style="22" customWidth="1"/>
    <col min="9" max="9" width="9.54296875" style="22" customWidth="1"/>
    <col min="10" max="10" width="16.453125" style="22" customWidth="1"/>
    <col min="11" max="11" width="3.1796875" style="162" customWidth="1"/>
    <col min="12" max="12" width="9.1796875" style="81"/>
    <col min="13" max="16384" width="9.1796875" style="22"/>
  </cols>
  <sheetData>
    <row r="1" spans="1:47" ht="33.5" thickTop="1" thickBot="1">
      <c r="A1" s="964" t="s">
        <v>577</v>
      </c>
      <c r="B1" s="965"/>
      <c r="C1" s="965"/>
      <c r="D1" s="965"/>
      <c r="E1" s="965"/>
      <c r="F1" s="965"/>
      <c r="G1" s="965"/>
      <c r="H1" s="965"/>
      <c r="I1" s="965"/>
      <c r="J1" s="965"/>
      <c r="K1" s="966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</row>
    <row r="2" spans="1:47" ht="18.5" thickTop="1">
      <c r="A2" s="169"/>
      <c r="B2" s="976" t="s">
        <v>572</v>
      </c>
      <c r="C2" s="977"/>
      <c r="D2" s="977"/>
      <c r="E2" s="977"/>
      <c r="F2" s="977"/>
      <c r="G2" s="977"/>
      <c r="H2" s="977"/>
      <c r="I2" s="977"/>
      <c r="J2" s="978"/>
      <c r="K2" s="177"/>
    </row>
    <row r="3" spans="1:47" ht="18">
      <c r="A3" s="169"/>
      <c r="B3" s="979" t="s">
        <v>493</v>
      </c>
      <c r="C3" s="980"/>
      <c r="D3" s="980"/>
      <c r="E3" s="980"/>
      <c r="F3" s="980"/>
      <c r="G3" s="980"/>
      <c r="H3" s="980"/>
      <c r="I3" s="980"/>
      <c r="J3" s="981"/>
      <c r="K3" s="178"/>
    </row>
    <row r="4" spans="1:47" ht="18.5" thickBot="1">
      <c r="A4" s="169"/>
      <c r="B4" s="187"/>
      <c r="C4" s="82"/>
      <c r="D4" s="82"/>
      <c r="E4" s="82"/>
      <c r="F4" s="82"/>
      <c r="G4" s="82"/>
      <c r="H4" s="82"/>
      <c r="I4" s="82"/>
      <c r="J4" s="188"/>
      <c r="K4" s="179"/>
    </row>
    <row r="5" spans="1:47" ht="19" thickTop="1" thickBot="1">
      <c r="A5" s="170"/>
      <c r="B5" s="982" t="s">
        <v>584</v>
      </c>
      <c r="C5" s="983"/>
      <c r="D5" s="983"/>
      <c r="E5" s="983"/>
      <c r="F5" s="983"/>
      <c r="G5" s="983"/>
      <c r="H5" s="983"/>
      <c r="I5" s="983"/>
      <c r="J5" s="984"/>
      <c r="K5" s="179"/>
    </row>
    <row r="6" spans="1:47" ht="18.5" thickTop="1">
      <c r="A6" s="170"/>
      <c r="B6" s="189"/>
      <c r="C6" s="166"/>
      <c r="D6" s="166"/>
      <c r="E6" s="166"/>
      <c r="F6" s="166"/>
      <c r="G6" s="166"/>
      <c r="H6" s="166"/>
      <c r="I6" s="166"/>
      <c r="J6" s="190"/>
      <c r="K6" s="179"/>
    </row>
    <row r="7" spans="1:47" s="23" customFormat="1" ht="17.5" customHeight="1">
      <c r="A7" s="171"/>
      <c r="B7" s="191" t="s">
        <v>530</v>
      </c>
      <c r="C7" s="135"/>
      <c r="D7" s="135"/>
      <c r="E7" s="135"/>
      <c r="F7" s="141"/>
      <c r="G7" s="136"/>
      <c r="H7" s="141"/>
      <c r="I7" s="137" t="s">
        <v>570</v>
      </c>
      <c r="J7" s="192"/>
      <c r="K7" s="180"/>
      <c r="L7" s="154"/>
    </row>
    <row r="8" spans="1:47" s="25" customFormat="1" ht="17.5">
      <c r="A8" s="172"/>
      <c r="B8" s="193" t="s">
        <v>571</v>
      </c>
      <c r="C8" s="159" t="e">
        <f>VLOOKUP(J13,RAMMM,8,FALSE)</f>
        <v>#REF!</v>
      </c>
      <c r="D8" s="160"/>
      <c r="E8" s="160"/>
      <c r="F8" s="160"/>
      <c r="G8" s="160"/>
      <c r="H8" s="160"/>
      <c r="I8" s="159" t="s">
        <v>585</v>
      </c>
      <c r="J8" s="194" t="e">
        <f>VLOOKUP(J13,RAMMM,9,FALSE)</f>
        <v>#REF!</v>
      </c>
      <c r="K8" s="181"/>
      <c r="L8" s="155"/>
      <c r="AK8" s="83"/>
      <c r="AL8" s="951"/>
      <c r="AM8" s="951"/>
      <c r="AN8" s="84"/>
      <c r="AO8" s="84"/>
      <c r="AP8" s="84"/>
      <c r="AQ8" s="951"/>
      <c r="AR8" s="951"/>
      <c r="AS8" s="951"/>
      <c r="AT8" s="951"/>
      <c r="AU8" s="951"/>
    </row>
    <row r="9" spans="1:47" s="25" customFormat="1" ht="17.5">
      <c r="A9" s="172"/>
      <c r="B9" s="195" t="s">
        <v>531</v>
      </c>
      <c r="C9" s="165" t="e">
        <f>VLOOKUP(J13,RAMMM,7,FALSE)</f>
        <v>#REF!</v>
      </c>
      <c r="D9" s="160"/>
      <c r="E9" s="160"/>
      <c r="F9" s="160"/>
      <c r="G9" s="160"/>
      <c r="H9" s="160"/>
      <c r="I9" s="159" t="s">
        <v>5</v>
      </c>
      <c r="J9" s="194" t="e">
        <f>VLOOKUP(J13,RAMMM,6,FALSE)</f>
        <v>#REF!</v>
      </c>
      <c r="K9" s="181"/>
      <c r="L9" s="155"/>
      <c r="AK9" s="83"/>
      <c r="AL9" s="84"/>
      <c r="AM9" s="84"/>
      <c r="AN9" s="84"/>
      <c r="AO9" s="84"/>
      <c r="AP9" s="84"/>
      <c r="AQ9" s="84"/>
      <c r="AR9" s="84"/>
      <c r="AS9" s="84"/>
      <c r="AT9" s="84"/>
      <c r="AU9" s="84"/>
    </row>
    <row r="10" spans="1:47" s="25" customFormat="1" ht="18" thickBot="1">
      <c r="A10" s="172"/>
      <c r="B10" s="193"/>
      <c r="C10" s="159"/>
      <c r="D10" s="160"/>
      <c r="E10" s="160"/>
      <c r="F10" s="160"/>
      <c r="G10" s="160"/>
      <c r="H10" s="161"/>
      <c r="I10" s="159"/>
      <c r="J10" s="194"/>
      <c r="K10" s="181"/>
      <c r="L10" s="155"/>
      <c r="AK10" s="83"/>
      <c r="AL10" s="84"/>
      <c r="AM10" s="84"/>
      <c r="AN10" s="84"/>
      <c r="AO10" s="84"/>
      <c r="AP10" s="84"/>
      <c r="AQ10" s="84"/>
      <c r="AR10" s="84"/>
      <c r="AS10" s="84"/>
      <c r="AT10" s="84"/>
      <c r="AU10" s="84"/>
    </row>
    <row r="11" spans="1:47" s="25" customFormat="1" ht="18.5" thickTop="1" thickBot="1">
      <c r="A11" s="172"/>
      <c r="B11" s="948" t="s">
        <v>578</v>
      </c>
      <c r="C11" s="949"/>
      <c r="D11" s="949"/>
      <c r="E11" s="949"/>
      <c r="F11" s="949"/>
      <c r="G11" s="949"/>
      <c r="H11" s="949"/>
      <c r="I11" s="949"/>
      <c r="J11" s="950"/>
      <c r="K11" s="181"/>
      <c r="L11" s="155"/>
      <c r="AK11" s="83"/>
      <c r="AL11" s="84"/>
      <c r="AM11" s="84"/>
      <c r="AN11" s="84"/>
      <c r="AO11" s="84"/>
      <c r="AP11" s="84"/>
      <c r="AQ11" s="84"/>
      <c r="AR11" s="84"/>
      <c r="AS11" s="84"/>
      <c r="AT11" s="84"/>
      <c r="AU11" s="84"/>
    </row>
    <row r="12" spans="1:47" ht="14.5" thickTop="1">
      <c r="A12" s="173"/>
      <c r="B12" s="85"/>
      <c r="C12" s="87"/>
      <c r="D12" s="87"/>
      <c r="F12" s="87"/>
      <c r="G12" s="87"/>
      <c r="J12" s="198"/>
      <c r="K12" s="182"/>
      <c r="AK12" s="85"/>
      <c r="AL12" s="952"/>
      <c r="AM12" s="952"/>
      <c r="AN12" s="86"/>
      <c r="AO12" s="86"/>
      <c r="AP12" s="86"/>
      <c r="AQ12" s="952"/>
      <c r="AR12" s="952"/>
      <c r="AS12" s="952"/>
      <c r="AT12" s="952"/>
      <c r="AU12" s="952"/>
    </row>
    <row r="13" spans="1:47" ht="17.5">
      <c r="A13" s="173"/>
      <c r="B13" s="196" t="s">
        <v>1</v>
      </c>
      <c r="C13" s="87"/>
      <c r="E13" s="87" t="e">
        <f>VLOOKUP(J13,RAMMM,2,FALSE)</f>
        <v>#REF!</v>
      </c>
      <c r="G13" s="87"/>
      <c r="H13" s="87"/>
      <c r="I13" s="87" t="s">
        <v>0</v>
      </c>
      <c r="J13" s="197">
        <v>638</v>
      </c>
      <c r="K13" s="182"/>
      <c r="AK13" s="85"/>
      <c r="AL13" s="88"/>
      <c r="AN13" s="31" t="s">
        <v>1</v>
      </c>
      <c r="AO13" s="31"/>
      <c r="AP13" s="32"/>
      <c r="AR13" s="89" t="str">
        <f>VLOOKUP(AT14,k,2,FALSE)</f>
        <v xml:space="preserve">ADITI HALDKAR </v>
      </c>
      <c r="AU13" s="29"/>
    </row>
    <row r="14" spans="1:47" ht="17.5">
      <c r="A14" s="173"/>
      <c r="B14" s="196" t="s">
        <v>45</v>
      </c>
      <c r="C14" s="87"/>
      <c r="E14" s="87" t="e">
        <f>VLOOKUP(J13,RAMMM,3,FALSE)</f>
        <v>#REF!</v>
      </c>
      <c r="G14" s="87"/>
      <c r="H14" s="87"/>
      <c r="I14" s="87"/>
      <c r="J14" s="198"/>
      <c r="K14" s="182"/>
      <c r="AK14" s="85"/>
      <c r="AL14" s="88"/>
      <c r="AN14" s="31" t="s">
        <v>501</v>
      </c>
      <c r="AO14" s="31"/>
      <c r="AP14" s="32"/>
      <c r="AR14" s="89" t="e">
        <f>VLOOKUP(#REF!,k,3,FALSE)</f>
        <v>#REF!</v>
      </c>
      <c r="AS14" s="22" t="s">
        <v>532</v>
      </c>
      <c r="AT14" s="22">
        <v>701</v>
      </c>
      <c r="AU14" s="29"/>
    </row>
    <row r="15" spans="1:47" ht="17.5">
      <c r="A15" s="173"/>
      <c r="B15" s="196" t="s">
        <v>533</v>
      </c>
      <c r="C15" s="87"/>
      <c r="E15" s="87" t="e">
        <f>VLOOKUP(J13,RAMMM,4,FALSE)</f>
        <v>#REF!</v>
      </c>
      <c r="G15" s="87"/>
      <c r="H15" s="87"/>
      <c r="I15" s="87"/>
      <c r="J15" s="198"/>
      <c r="K15" s="182"/>
      <c r="AK15" s="85"/>
      <c r="AL15" s="88"/>
      <c r="AN15" s="31" t="s">
        <v>502</v>
      </c>
      <c r="AO15" s="31"/>
      <c r="AP15" s="32"/>
      <c r="AR15" s="89" t="e">
        <f>VLOOKUP(#REF!,k,4,FALSE)</f>
        <v>#REF!</v>
      </c>
      <c r="AU15" s="29"/>
    </row>
    <row r="16" spans="1:47" ht="17.5">
      <c r="A16" s="173"/>
      <c r="B16" s="196" t="s">
        <v>503</v>
      </c>
      <c r="C16" s="87"/>
      <c r="E16" s="90" t="e">
        <f>VLOOKUP(J13,RAMMM,5,FALSE)</f>
        <v>#REF!</v>
      </c>
      <c r="G16" s="87"/>
      <c r="H16" s="87"/>
      <c r="I16" s="87"/>
      <c r="J16" s="198"/>
      <c r="K16" s="182"/>
      <c r="AK16" s="85"/>
      <c r="AL16" s="88"/>
      <c r="AN16" s="31" t="s">
        <v>503</v>
      </c>
      <c r="AO16" s="31"/>
      <c r="AP16" s="32"/>
      <c r="AR16" s="91" t="e">
        <f>VLOOKUP(#REF!,k,5,FALSE)</f>
        <v>#REF!</v>
      </c>
      <c r="AU16" s="29"/>
    </row>
    <row r="17" spans="1:48" ht="18" thickBot="1">
      <c r="A17" s="173"/>
      <c r="B17" s="196" t="s">
        <v>583</v>
      </c>
      <c r="C17" s="87"/>
      <c r="E17" s="87" t="s">
        <v>76</v>
      </c>
      <c r="G17" s="87"/>
      <c r="H17" s="87"/>
      <c r="I17" s="87"/>
      <c r="J17" s="198"/>
      <c r="K17" s="182"/>
      <c r="AK17" s="85"/>
      <c r="AL17" s="88"/>
      <c r="AN17" s="31" t="s">
        <v>7</v>
      </c>
      <c r="AO17" s="31"/>
      <c r="AP17" s="32"/>
      <c r="AR17" s="31" t="e">
        <f>VLOOKUP(#REF!,k,9,FALSE)</f>
        <v>#REF!</v>
      </c>
      <c r="AU17" s="27"/>
    </row>
    <row r="18" spans="1:48" s="142" customFormat="1" ht="18.5" thickTop="1" thickBot="1">
      <c r="A18" s="173"/>
      <c r="B18" s="967" t="s">
        <v>504</v>
      </c>
      <c r="C18" s="968"/>
      <c r="D18" s="968"/>
      <c r="E18" s="968"/>
      <c r="F18" s="968"/>
      <c r="G18" s="968"/>
      <c r="H18" s="968"/>
      <c r="I18" s="968"/>
      <c r="J18" s="969"/>
      <c r="K18" s="182"/>
      <c r="L18" s="81"/>
      <c r="AK18" s="143"/>
      <c r="AL18" s="152"/>
      <c r="AM18" s="153"/>
      <c r="AN18" s="970" t="s">
        <v>504</v>
      </c>
      <c r="AO18" s="970"/>
      <c r="AP18" s="970"/>
      <c r="AQ18" s="970"/>
      <c r="AR18" s="970"/>
      <c r="AS18" s="153"/>
      <c r="AT18" s="152"/>
    </row>
    <row r="19" spans="1:48" s="88" customFormat="1" ht="18" thickTop="1">
      <c r="A19" s="174"/>
      <c r="B19" s="971" t="s">
        <v>514</v>
      </c>
      <c r="C19" s="975" t="s">
        <v>569</v>
      </c>
      <c r="D19" s="975"/>
      <c r="E19" s="975"/>
      <c r="F19" s="975" t="s">
        <v>506</v>
      </c>
      <c r="G19" s="975"/>
      <c r="H19" s="975"/>
      <c r="I19" s="975"/>
      <c r="J19" s="985"/>
      <c r="K19" s="183"/>
      <c r="L19" s="156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2"/>
    </row>
    <row r="20" spans="1:48" s="96" customFormat="1" ht="19.5" customHeight="1">
      <c r="A20" s="175"/>
      <c r="B20" s="972"/>
      <c r="C20" s="95" t="s">
        <v>534</v>
      </c>
      <c r="D20" s="973" t="s">
        <v>509</v>
      </c>
      <c r="E20" s="974"/>
      <c r="F20" s="973" t="s">
        <v>535</v>
      </c>
      <c r="G20" s="974"/>
      <c r="H20" s="95" t="s">
        <v>536</v>
      </c>
      <c r="I20" s="95" t="s">
        <v>537</v>
      </c>
      <c r="J20" s="199" t="s">
        <v>513</v>
      </c>
      <c r="K20" s="184"/>
      <c r="L20" s="157"/>
      <c r="AK20" s="94"/>
    </row>
    <row r="21" spans="1:48" ht="20.5" customHeight="1">
      <c r="A21" s="173"/>
      <c r="B21" s="200" t="s">
        <v>10</v>
      </c>
      <c r="C21" s="97">
        <v>60</v>
      </c>
      <c r="D21" s="962" t="e">
        <f>VLOOKUP(J13,RAMMM,11,FALSE)</f>
        <v>#REF!</v>
      </c>
      <c r="E21" s="963"/>
      <c r="F21" s="962">
        <v>100</v>
      </c>
      <c r="G21" s="963"/>
      <c r="H21" s="97" t="e">
        <f>VLOOKUP(J13,RAMMM,19,FALSE)</f>
        <v>#REF!</v>
      </c>
      <c r="I21" s="134" t="e">
        <f>VLOOKUP(J13,RAMMM,20,FALSE)</f>
        <v>#REF!</v>
      </c>
      <c r="J21" s="201" t="e">
        <f>H21+I21</f>
        <v>#REF!</v>
      </c>
      <c r="K21" s="182"/>
      <c r="AK21" s="85"/>
    </row>
    <row r="22" spans="1:48" ht="20.5" customHeight="1">
      <c r="A22" s="173"/>
      <c r="B22" s="200" t="s">
        <v>9</v>
      </c>
      <c r="C22" s="97">
        <v>60</v>
      </c>
      <c r="D22" s="962" t="e">
        <f>VLOOKUP(J13,RAMMM,10,FALSE)</f>
        <v>#REF!</v>
      </c>
      <c r="E22" s="963"/>
      <c r="F22" s="962">
        <v>100</v>
      </c>
      <c r="G22" s="963"/>
      <c r="H22" s="97" t="e">
        <f>VLOOKUP(J13,RAMMM,17,FALSE)</f>
        <v>#REF!</v>
      </c>
      <c r="I22" s="97" t="e">
        <f>VLOOKUP(J13,RAMMM,18,FALSE)</f>
        <v>#REF!</v>
      </c>
      <c r="J22" s="201" t="e">
        <f t="shared" ref="J22:J26" si="0">H22+I22</f>
        <v>#REF!</v>
      </c>
      <c r="K22" s="182"/>
    </row>
    <row r="23" spans="1:48" ht="20.5" customHeight="1">
      <c r="A23" s="173"/>
      <c r="B23" s="200" t="s">
        <v>77</v>
      </c>
      <c r="C23" s="97">
        <v>60</v>
      </c>
      <c r="D23" s="962" t="e">
        <f>VLOOKUP(J13,RAMMM,12,FALSE)</f>
        <v>#REF!</v>
      </c>
      <c r="E23" s="963"/>
      <c r="F23" s="962">
        <v>100</v>
      </c>
      <c r="G23" s="963"/>
      <c r="H23" s="97" t="e">
        <f>VLOOKUP(J13,RAMMM,21,FALSE)</f>
        <v>#REF!</v>
      </c>
      <c r="I23" s="97" t="e">
        <f>VLOOKUP(J13,RAMMM,22,FALSE)</f>
        <v>#REF!</v>
      </c>
      <c r="J23" s="201" t="e">
        <f t="shared" si="0"/>
        <v>#REF!</v>
      </c>
      <c r="K23" s="182"/>
    </row>
    <row r="24" spans="1:48" ht="20.5" customHeight="1">
      <c r="A24" s="173"/>
      <c r="B24" s="200" t="s">
        <v>11</v>
      </c>
      <c r="C24" s="97">
        <v>60</v>
      </c>
      <c r="D24" s="962" t="e">
        <f>VLOOKUP(J13,RAMMM,13,FALSE)</f>
        <v>#REF!</v>
      </c>
      <c r="E24" s="963"/>
      <c r="F24" s="962">
        <v>100</v>
      </c>
      <c r="G24" s="963"/>
      <c r="H24" s="97" t="e">
        <f>VLOOKUP(J13,RAMMM,23,FALSE)</f>
        <v>#REF!</v>
      </c>
      <c r="I24" s="97" t="e">
        <f>VLOOKUP(J13,RAMMM,24,FALSE)</f>
        <v>#REF!</v>
      </c>
      <c r="J24" s="201" t="e">
        <f t="shared" si="0"/>
        <v>#REF!</v>
      </c>
      <c r="K24" s="182"/>
    </row>
    <row r="25" spans="1:48" ht="20.5" customHeight="1">
      <c r="A25" s="173"/>
      <c r="B25" s="200" t="s">
        <v>12</v>
      </c>
      <c r="C25" s="97">
        <v>60</v>
      </c>
      <c r="D25" s="962" t="e">
        <f>VLOOKUP(J13,RAMMM,15,FALSE)</f>
        <v>#REF!</v>
      </c>
      <c r="E25" s="963"/>
      <c r="F25" s="962">
        <v>100</v>
      </c>
      <c r="G25" s="963"/>
      <c r="H25" s="97" t="e">
        <f>VLOOKUP(J13,RAMMM,25,FALSE)</f>
        <v>#REF!</v>
      </c>
      <c r="I25" s="97" t="e">
        <f>VLOOKUP(J13,RAMMM,26,FALSE)</f>
        <v>#REF!</v>
      </c>
      <c r="J25" s="201" t="e">
        <f t="shared" si="0"/>
        <v>#REF!</v>
      </c>
      <c r="K25" s="182"/>
    </row>
    <row r="26" spans="1:48" ht="20.5" customHeight="1">
      <c r="A26" s="173"/>
      <c r="B26" s="200" t="s">
        <v>13</v>
      </c>
      <c r="C26" s="97">
        <v>60</v>
      </c>
      <c r="D26" s="962" t="e">
        <f>VLOOKUP(J13,RAMMM,15,FALSE)</f>
        <v>#REF!</v>
      </c>
      <c r="E26" s="963"/>
      <c r="F26" s="962">
        <v>100</v>
      </c>
      <c r="G26" s="963"/>
      <c r="H26" s="97" t="e">
        <f>VLOOKUP(J13,RAMMM,27,FALSE)</f>
        <v>#REF!</v>
      </c>
      <c r="I26" s="97" t="e">
        <f>VLOOKUP(J13,RAMMM,28,FALSE)</f>
        <v>#REF!</v>
      </c>
      <c r="J26" s="201" t="e">
        <f t="shared" si="0"/>
        <v>#REF!</v>
      </c>
      <c r="K26" s="182"/>
    </row>
    <row r="27" spans="1:48" s="140" customFormat="1" ht="20.5" customHeight="1" thickBot="1">
      <c r="A27" s="176"/>
      <c r="B27" s="202" t="s">
        <v>523</v>
      </c>
      <c r="C27" s="138">
        <v>360</v>
      </c>
      <c r="D27" s="960" t="e">
        <f>SUM(D21:D26)</f>
        <v>#REF!</v>
      </c>
      <c r="E27" s="961"/>
      <c r="F27" s="960">
        <v>600</v>
      </c>
      <c r="G27" s="961"/>
      <c r="H27" s="139" t="e">
        <f t="shared" ref="H27:I27" si="1">SUM(H21:H26)</f>
        <v>#REF!</v>
      </c>
      <c r="I27" s="139" t="e">
        <f t="shared" si="1"/>
        <v>#REF!</v>
      </c>
      <c r="J27" s="201" t="e">
        <f>SUM(J21:J26)</f>
        <v>#REF!</v>
      </c>
      <c r="K27" s="185"/>
      <c r="L27" s="158"/>
    </row>
    <row r="28" spans="1:48" ht="20.5" customHeight="1" thickTop="1" thickBot="1">
      <c r="A28" s="173"/>
      <c r="B28" s="211" t="s">
        <v>580</v>
      </c>
      <c r="C28" s="993" t="e">
        <f>D27/3.6</f>
        <v>#REF!</v>
      </c>
      <c r="D28" s="994"/>
      <c r="E28" s="212" t="s">
        <v>526</v>
      </c>
      <c r="F28" s="213"/>
      <c r="G28" s="214"/>
      <c r="H28" s="215" t="e">
        <f>J27/6</f>
        <v>#REF!</v>
      </c>
      <c r="I28" s="216" t="s">
        <v>526</v>
      </c>
      <c r="J28" s="217"/>
      <c r="K28" s="182"/>
      <c r="AM28" s="955"/>
      <c r="AN28" s="956"/>
      <c r="AO28" s="98" t="s">
        <v>534</v>
      </c>
      <c r="AP28" s="99" t="s">
        <v>538</v>
      </c>
      <c r="AQ28" s="99" t="s">
        <v>534</v>
      </c>
      <c r="AR28" s="99" t="s">
        <v>538</v>
      </c>
      <c r="AS28" s="99" t="s">
        <v>534</v>
      </c>
      <c r="AT28" s="99" t="s">
        <v>538</v>
      </c>
      <c r="AU28" s="100" t="s">
        <v>516</v>
      </c>
      <c r="AV28" s="101" t="s">
        <v>513</v>
      </c>
    </row>
    <row r="29" spans="1:48" s="142" customFormat="1" ht="18.5" thickTop="1" thickBot="1">
      <c r="A29" s="173"/>
      <c r="B29" s="948" t="s">
        <v>539</v>
      </c>
      <c r="C29" s="949"/>
      <c r="D29" s="949"/>
      <c r="E29" s="949"/>
      <c r="F29" s="949"/>
      <c r="G29" s="949"/>
      <c r="H29" s="949"/>
      <c r="I29" s="949"/>
      <c r="J29" s="950"/>
      <c r="K29" s="182"/>
      <c r="L29" s="81"/>
      <c r="AM29" s="145" t="s">
        <v>519</v>
      </c>
      <c r="AN29" s="146"/>
      <c r="AO29" s="147">
        <v>60</v>
      </c>
      <c r="AP29" s="148"/>
      <c r="AQ29" s="149">
        <v>60</v>
      </c>
      <c r="AR29" s="148" t="e">
        <f>VLOOKUP(#REF!,k,19,FALSE)</f>
        <v>#REF!</v>
      </c>
      <c r="AS29" s="149">
        <v>100</v>
      </c>
      <c r="AT29" s="148" t="e">
        <f>VLOOKUP(#REF!,k,27,FALSE)</f>
        <v>#REF!</v>
      </c>
      <c r="AU29" s="150"/>
      <c r="AV29" s="151" t="e">
        <f t="shared" ref="AV29:AV34" si="2">IF(AT29&gt;=75,"DISTN",IF(AT29&lt;=74,"-"))</f>
        <v>#REF!</v>
      </c>
    </row>
    <row r="30" spans="1:48" ht="22" thickTop="1" thickBot="1">
      <c r="A30" s="173"/>
      <c r="B30" s="222" t="s">
        <v>540</v>
      </c>
      <c r="C30" s="223" t="s">
        <v>550</v>
      </c>
      <c r="D30" s="953" t="s">
        <v>576</v>
      </c>
      <c r="E30" s="954"/>
      <c r="F30" s="953" t="s">
        <v>550</v>
      </c>
      <c r="G30" s="954"/>
      <c r="H30" s="995" t="s">
        <v>541</v>
      </c>
      <c r="I30" s="995"/>
      <c r="J30" s="224" t="s">
        <v>550</v>
      </c>
      <c r="K30" s="182"/>
      <c r="AJ30" s="109"/>
      <c r="AM30" s="102" t="s">
        <v>76</v>
      </c>
      <c r="AN30" s="103"/>
      <c r="AO30" s="104">
        <v>60</v>
      </c>
      <c r="AP30" s="105"/>
      <c r="AQ30" s="106">
        <v>60</v>
      </c>
      <c r="AR30" s="105" t="e">
        <f>VLOOKUP(#REF!,k,20,FALSE)</f>
        <v>#REF!</v>
      </c>
      <c r="AS30" s="106">
        <v>100</v>
      </c>
      <c r="AT30" s="105" t="e">
        <f>VLOOKUP(#REF!,k,28,FALSE)</f>
        <v>#REF!</v>
      </c>
      <c r="AU30" s="107"/>
      <c r="AV30" s="108" t="e">
        <f t="shared" si="2"/>
        <v>#REF!</v>
      </c>
    </row>
    <row r="31" spans="1:48" ht="18.5" thickTop="1" thickBot="1">
      <c r="A31" s="173"/>
      <c r="B31" s="203" t="s">
        <v>542</v>
      </c>
      <c r="C31" s="110" t="s">
        <v>550</v>
      </c>
      <c r="D31" s="988" t="s">
        <v>545</v>
      </c>
      <c r="E31" s="989"/>
      <c r="F31" s="990"/>
      <c r="G31" s="110" t="s">
        <v>551</v>
      </c>
      <c r="H31" s="996" t="s">
        <v>544</v>
      </c>
      <c r="I31" s="996"/>
      <c r="J31" s="204" t="s">
        <v>550</v>
      </c>
      <c r="K31" s="182"/>
      <c r="AM31" s="102" t="s">
        <v>520</v>
      </c>
      <c r="AN31" s="103"/>
      <c r="AO31" s="104">
        <v>60</v>
      </c>
      <c r="AP31" s="105"/>
      <c r="AQ31" s="106">
        <v>60</v>
      </c>
      <c r="AR31" s="105" t="e">
        <f>VLOOKUP(#REF!,k,21,FALSE)</f>
        <v>#REF!</v>
      </c>
      <c r="AS31" s="106">
        <v>100</v>
      </c>
      <c r="AT31" s="105" t="e">
        <f>VLOOKUP(#REF!,k,29,FALSE)</f>
        <v>#REF!</v>
      </c>
      <c r="AU31" s="107"/>
      <c r="AV31" s="108" t="e">
        <f t="shared" si="2"/>
        <v>#REF!</v>
      </c>
    </row>
    <row r="32" spans="1:48" ht="15.75" customHeight="1" thickTop="1" thickBot="1">
      <c r="A32" s="173"/>
      <c r="B32" s="218" t="s">
        <v>543</v>
      </c>
      <c r="C32" s="219" t="s">
        <v>551</v>
      </c>
      <c r="D32" s="219"/>
      <c r="E32" s="220" t="s">
        <v>546</v>
      </c>
      <c r="F32" s="219"/>
      <c r="G32" s="219" t="s">
        <v>551</v>
      </c>
      <c r="H32" s="991" t="s">
        <v>547</v>
      </c>
      <c r="I32" s="992"/>
      <c r="J32" s="221" t="s">
        <v>551</v>
      </c>
      <c r="K32" s="182"/>
      <c r="AJ32" s="109" t="s">
        <v>548</v>
      </c>
      <c r="AM32" s="102" t="s">
        <v>521</v>
      </c>
      <c r="AN32" s="103"/>
      <c r="AO32" s="104">
        <v>60</v>
      </c>
      <c r="AP32" s="105"/>
      <c r="AQ32" s="106">
        <v>60</v>
      </c>
      <c r="AR32" s="105" t="e">
        <f>VLOOKUP(#REF!,k,22,FALSE)</f>
        <v>#REF!</v>
      </c>
      <c r="AS32" s="106">
        <v>100</v>
      </c>
      <c r="AT32" s="105" t="e">
        <f>VLOOKUP(#REF!,k,30,FALSE)</f>
        <v>#REF!</v>
      </c>
      <c r="AU32" s="107"/>
      <c r="AV32" s="108" t="e">
        <f t="shared" si="2"/>
        <v>#REF!</v>
      </c>
    </row>
    <row r="33" spans="1:48" s="142" customFormat="1" ht="22" thickTop="1" thickBot="1">
      <c r="A33" s="173"/>
      <c r="B33" s="948" t="s">
        <v>549</v>
      </c>
      <c r="C33" s="949"/>
      <c r="D33" s="949"/>
      <c r="E33" s="949"/>
      <c r="F33" s="949"/>
      <c r="G33" s="949"/>
      <c r="H33" s="949"/>
      <c r="I33" s="949"/>
      <c r="J33" s="950"/>
      <c r="K33" s="182"/>
      <c r="L33" s="81"/>
      <c r="AJ33" s="144"/>
      <c r="AM33" s="145" t="s">
        <v>12</v>
      </c>
      <c r="AN33" s="146"/>
      <c r="AO33" s="147">
        <v>60</v>
      </c>
      <c r="AP33" s="148"/>
      <c r="AQ33" s="149">
        <v>60</v>
      </c>
      <c r="AR33" s="148" t="e">
        <f>VLOOKUP(#REF!,k,23,FALSE)</f>
        <v>#REF!</v>
      </c>
      <c r="AS33" s="149">
        <v>100</v>
      </c>
      <c r="AT33" s="148" t="e">
        <f>VLOOKUP(#REF!,k,31,FALSE)</f>
        <v>#REF!</v>
      </c>
      <c r="AU33" s="150"/>
      <c r="AV33" s="151" t="e">
        <f t="shared" si="2"/>
        <v>#REF!</v>
      </c>
    </row>
    <row r="34" spans="1:48" s="96" customFormat="1" ht="22" thickTop="1" thickBot="1">
      <c r="A34" s="175"/>
      <c r="B34" s="222" t="s">
        <v>527</v>
      </c>
      <c r="C34" s="225" t="s">
        <v>550</v>
      </c>
      <c r="D34" s="225" t="s">
        <v>551</v>
      </c>
      <c r="E34" s="225" t="s">
        <v>552</v>
      </c>
      <c r="F34" s="225" t="s">
        <v>553</v>
      </c>
      <c r="G34" s="225" t="s">
        <v>554</v>
      </c>
      <c r="H34" s="225" t="s">
        <v>555</v>
      </c>
      <c r="I34" s="225" t="s">
        <v>556</v>
      </c>
      <c r="J34" s="226" t="s">
        <v>557</v>
      </c>
      <c r="K34" s="184"/>
      <c r="L34" s="157"/>
      <c r="AJ34" s="111"/>
      <c r="AM34" s="112" t="s">
        <v>522</v>
      </c>
      <c r="AN34" s="113"/>
      <c r="AO34" s="104">
        <v>60</v>
      </c>
      <c r="AP34" s="105"/>
      <c r="AQ34" s="106">
        <v>60</v>
      </c>
      <c r="AR34" s="105" t="e">
        <f>VLOOKUP(#REF!,k,24,FALSE)</f>
        <v>#REF!</v>
      </c>
      <c r="AS34" s="106">
        <v>100</v>
      </c>
      <c r="AT34" s="105" t="e">
        <f>VLOOKUP(#REF!,k,32,FALSE)</f>
        <v>#REF!</v>
      </c>
      <c r="AU34" s="114"/>
      <c r="AV34" s="108" t="e">
        <f t="shared" si="2"/>
        <v>#REF!</v>
      </c>
    </row>
    <row r="35" spans="1:48" s="96" customFormat="1" ht="22" thickTop="1" thickBot="1">
      <c r="A35" s="175"/>
      <c r="B35" s="205" t="s">
        <v>558</v>
      </c>
      <c r="C35" s="163" t="s">
        <v>582</v>
      </c>
      <c r="D35" s="164" t="s">
        <v>559</v>
      </c>
      <c r="E35" s="164" t="s">
        <v>560</v>
      </c>
      <c r="F35" s="164" t="s">
        <v>561</v>
      </c>
      <c r="G35" s="164" t="s">
        <v>562</v>
      </c>
      <c r="H35" s="164" t="s">
        <v>563</v>
      </c>
      <c r="I35" s="164" t="s">
        <v>564</v>
      </c>
      <c r="J35" s="206" t="s">
        <v>581</v>
      </c>
      <c r="K35" s="184"/>
      <c r="L35" s="157"/>
      <c r="AJ35" s="115"/>
      <c r="AM35" s="116" t="s">
        <v>523</v>
      </c>
      <c r="AN35" s="117"/>
      <c r="AO35" s="118">
        <v>360</v>
      </c>
      <c r="AP35" s="119"/>
      <c r="AQ35" s="118">
        <v>360</v>
      </c>
      <c r="AR35" s="119" t="e">
        <f>SUM(AR29,AR30,AR31,AR32,AR33,AR34)</f>
        <v>#REF!</v>
      </c>
      <c r="AS35" s="120">
        <f>SUM(AS29,AS30,AS31,AS32,AS33,AS34)</f>
        <v>600</v>
      </c>
      <c r="AT35" s="119"/>
      <c r="AU35" s="986" t="e">
        <f>SUM(AT29,AT30,AT31,AT32,AT33,AT34)</f>
        <v>#REF!</v>
      </c>
      <c r="AV35" s="987"/>
    </row>
    <row r="36" spans="1:48" ht="22" thickTop="1" thickBot="1">
      <c r="A36" s="173"/>
      <c r="B36" s="83" t="s">
        <v>566</v>
      </c>
      <c r="C36" s="25"/>
      <c r="D36" s="25" t="e">
        <f>IF(H28&gt;=60,"PASS IN FIRST DIVISION",IF(H28&gt;=45,"PASS IN SECOND DIVISION",IF(H28&gt;=30,"PASS IN THIRD DIVISION")))</f>
        <v>#REF!</v>
      </c>
      <c r="E36" s="25"/>
      <c r="F36" s="25"/>
      <c r="J36" s="198"/>
      <c r="K36" s="182"/>
      <c r="AJ36" s="121" t="s">
        <v>565</v>
      </c>
      <c r="AM36" s="122" t="s">
        <v>14</v>
      </c>
      <c r="AN36" s="123"/>
      <c r="AO36" s="124">
        <v>100</v>
      </c>
      <c r="AP36" s="125"/>
      <c r="AQ36" s="124">
        <v>100</v>
      </c>
      <c r="AR36" s="125" t="e">
        <f>VLOOKUP(#REF!,k,25,FALSE)</f>
        <v>#REF!</v>
      </c>
      <c r="AS36" s="126">
        <v>100</v>
      </c>
      <c r="AT36" s="125"/>
      <c r="AU36" s="125" t="e">
        <f>VLOOKUP(#REF!,k,33,FALSE)</f>
        <v>#REF!</v>
      </c>
      <c r="AV36" s="127" t="e">
        <f t="shared" ref="AV36" si="3">IF(AU36&gt;=75,"DISTN",IF(AU36&lt;=74,"-"))</f>
        <v>#REF!</v>
      </c>
    </row>
    <row r="37" spans="1:48" ht="22" thickTop="1" thickBot="1">
      <c r="A37" s="173"/>
      <c r="B37" s="85"/>
      <c r="G37" s="25"/>
      <c r="H37" s="25"/>
      <c r="I37" s="25"/>
      <c r="J37" s="207"/>
      <c r="K37" s="182"/>
      <c r="AJ37" s="109"/>
      <c r="AM37" s="128" t="s">
        <v>525</v>
      </c>
      <c r="AN37" s="129"/>
      <c r="AO37" s="130"/>
      <c r="AP37" s="131" t="s">
        <v>526</v>
      </c>
      <c r="AQ37" s="130"/>
      <c r="AR37" s="131" t="s">
        <v>526</v>
      </c>
      <c r="AS37" s="130"/>
      <c r="AT37" s="131"/>
      <c r="AU37" s="131" t="s">
        <v>526</v>
      </c>
      <c r="AV37" s="132"/>
    </row>
    <row r="38" spans="1:48" ht="22" thickTop="1" thickBot="1">
      <c r="A38" s="173"/>
      <c r="B38" s="85"/>
      <c r="J38" s="198"/>
      <c r="K38" s="182"/>
      <c r="AJ38" s="109" t="s">
        <v>567</v>
      </c>
      <c r="AM38" s="133" t="s">
        <v>528</v>
      </c>
      <c r="AN38" s="69"/>
      <c r="AO38" s="957" t="b">
        <f>IF(AP35&gt;=360,"PASS IN FIRST DIVISION",IF(AP35&gt;=270,"PASS IN SECOND DIVISION",IF(AP35&gt;=204,"PASS IN THIRD DIVISION")))</f>
        <v>0</v>
      </c>
      <c r="AP38" s="958"/>
      <c r="AQ38" s="957" t="e">
        <f>IF(AR35&gt;=360,"PASS IN FIRST DIVISION",IF(AR35&gt;=270,"PASS IN SECOND DIVISION",IF(AR35&gt;=204,"PASS IN THIRD DIVISION")))</f>
        <v>#REF!</v>
      </c>
      <c r="AR38" s="958"/>
      <c r="AS38" s="958" t="e">
        <f t="shared" ref="AS38" si="4">IF(AU35&gt;=360,"PASS IN FIRST DIVISION",IF(AU35&gt;=270,"PASS IN SECOND DIVISION",IF(AU35&gt;=204,"PASS IN THIRD DIVISION")))</f>
        <v>#REF!</v>
      </c>
      <c r="AT38" s="958"/>
      <c r="AU38" s="958"/>
      <c r="AV38" s="959"/>
    </row>
    <row r="39" spans="1:48" ht="35.5" customHeight="1" thickTop="1">
      <c r="A39" s="173"/>
      <c r="B39" s="85"/>
      <c r="H39" s="947" t="s">
        <v>579</v>
      </c>
      <c r="I39" s="947"/>
      <c r="J39" s="198"/>
      <c r="K39" s="182"/>
      <c r="AJ39" s="109" t="s">
        <v>568</v>
      </c>
    </row>
    <row r="40" spans="1:48" ht="17.5" customHeight="1" thickBot="1">
      <c r="A40" s="173"/>
      <c r="B40" s="208"/>
      <c r="C40" s="209"/>
      <c r="D40" s="209"/>
      <c r="E40" s="209"/>
      <c r="F40" s="209"/>
      <c r="G40" s="209"/>
      <c r="H40" s="209"/>
      <c r="I40" s="209"/>
      <c r="J40" s="210"/>
      <c r="K40" s="182"/>
    </row>
    <row r="41" spans="1:48" s="142" customFormat="1" ht="15" thickTop="1" thickBot="1">
      <c r="A41" s="167"/>
      <c r="B41" s="186"/>
      <c r="C41" s="186"/>
      <c r="D41" s="186"/>
      <c r="E41" s="186"/>
      <c r="F41" s="186"/>
      <c r="G41" s="186"/>
      <c r="H41" s="186"/>
      <c r="I41" s="186"/>
      <c r="J41" s="186"/>
      <c r="K41" s="168"/>
      <c r="L41" s="81"/>
    </row>
    <row r="42" spans="1:48" s="81" customFormat="1" ht="14.5" thickTop="1"/>
    <row r="43" spans="1:48" s="81" customFormat="1"/>
    <row r="44" spans="1:48" s="81" customFormat="1"/>
    <row r="45" spans="1:48" s="81" customFormat="1"/>
    <row r="46" spans="1:48" s="81" customFormat="1"/>
    <row r="47" spans="1:48" s="81" customFormat="1"/>
    <row r="48" spans="1:48" s="81" customFormat="1"/>
    <row r="49" s="81" customFormat="1"/>
    <row r="50" s="81" customFormat="1"/>
    <row r="51" s="81" customFormat="1"/>
    <row r="52" s="81" customFormat="1"/>
    <row r="53" s="81" customFormat="1"/>
  </sheetData>
  <mergeCells count="47">
    <mergeCell ref="AU35:AV35"/>
    <mergeCell ref="D31:F31"/>
    <mergeCell ref="H32:I32"/>
    <mergeCell ref="C28:D28"/>
    <mergeCell ref="B29:J29"/>
    <mergeCell ref="H30:I30"/>
    <mergeCell ref="H31:I31"/>
    <mergeCell ref="B33:J33"/>
    <mergeCell ref="D22:E22"/>
    <mergeCell ref="D21:E21"/>
    <mergeCell ref="F19:J19"/>
    <mergeCell ref="F22:G22"/>
    <mergeCell ref="D23:E23"/>
    <mergeCell ref="F21:G21"/>
    <mergeCell ref="F27:G27"/>
    <mergeCell ref="F26:G26"/>
    <mergeCell ref="F25:G25"/>
    <mergeCell ref="F24:G24"/>
    <mergeCell ref="F23:G23"/>
    <mergeCell ref="A1:K1"/>
    <mergeCell ref="B18:J18"/>
    <mergeCell ref="AN18:AR18"/>
    <mergeCell ref="B19:B20"/>
    <mergeCell ref="F20:G20"/>
    <mergeCell ref="AL8:AM8"/>
    <mergeCell ref="AQ8:AR8"/>
    <mergeCell ref="C19:E19"/>
    <mergeCell ref="D20:E20"/>
    <mergeCell ref="B2:J2"/>
    <mergeCell ref="B3:J3"/>
    <mergeCell ref="B5:J5"/>
    <mergeCell ref="H39:I39"/>
    <mergeCell ref="B11:J11"/>
    <mergeCell ref="AS8:AU8"/>
    <mergeCell ref="AL12:AM12"/>
    <mergeCell ref="AQ12:AR12"/>
    <mergeCell ref="AS12:AU12"/>
    <mergeCell ref="D30:E30"/>
    <mergeCell ref="F30:G30"/>
    <mergeCell ref="AM28:AN28"/>
    <mergeCell ref="AO38:AP38"/>
    <mergeCell ref="AQ38:AR38"/>
    <mergeCell ref="AS38:AV38"/>
    <mergeCell ref="D27:E27"/>
    <mergeCell ref="D26:E26"/>
    <mergeCell ref="D25:E25"/>
    <mergeCell ref="D24:E24"/>
  </mergeCells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U34"/>
  <sheetViews>
    <sheetView workbookViewId="0">
      <selection activeCell="A3" sqref="A3:U3"/>
    </sheetView>
  </sheetViews>
  <sheetFormatPr defaultColWidth="9.1796875" defaultRowHeight="14"/>
  <cols>
    <col min="1" max="1" width="9.1796875" style="80"/>
    <col min="2" max="2" width="8.81640625" style="22" customWidth="1"/>
    <col min="3" max="11" width="6.453125" style="22" customWidth="1"/>
    <col min="12" max="12" width="6.453125" style="73" customWidth="1"/>
    <col min="13" max="16" width="6.453125" style="22" customWidth="1"/>
    <col min="17" max="17" width="6.453125" style="73" customWidth="1"/>
    <col min="18" max="18" width="8.1796875" style="22" customWidth="1"/>
    <col min="19" max="19" width="7.54296875" style="22" customWidth="1"/>
    <col min="20" max="20" width="8.1796875" style="22" customWidth="1"/>
    <col min="21" max="21" width="8.1796875" style="73" customWidth="1"/>
    <col min="22" max="16384" width="9.1796875" style="22"/>
  </cols>
  <sheetData>
    <row r="1" spans="1:21" ht="35" thickTop="1">
      <c r="A1" s="997" t="s">
        <v>491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8"/>
      <c r="T1" s="998"/>
      <c r="U1" s="999"/>
    </row>
    <row r="2" spans="1:21" ht="17.5">
      <c r="A2" s="1000" t="s">
        <v>492</v>
      </c>
      <c r="B2" s="1001"/>
      <c r="C2" s="1001"/>
      <c r="D2" s="1001"/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  <c r="U2" s="1002"/>
    </row>
    <row r="3" spans="1:21" ht="18" customHeight="1">
      <c r="A3" s="1003" t="s">
        <v>493</v>
      </c>
      <c r="B3" s="1004"/>
      <c r="C3" s="1004"/>
      <c r="D3" s="1004"/>
      <c r="E3" s="1004"/>
      <c r="F3" s="1004"/>
      <c r="G3" s="1004"/>
      <c r="H3" s="1004"/>
      <c r="I3" s="1004"/>
      <c r="J3" s="1004"/>
      <c r="K3" s="1004"/>
      <c r="L3" s="1004"/>
      <c r="M3" s="1004"/>
      <c r="N3" s="1004"/>
      <c r="O3" s="1004"/>
      <c r="P3" s="1004"/>
      <c r="Q3" s="1004"/>
      <c r="R3" s="1004"/>
      <c r="S3" s="1004"/>
      <c r="T3" s="1004"/>
      <c r="U3" s="1005"/>
    </row>
    <row r="4" spans="1:21" ht="15.75" customHeight="1">
      <c r="A4" s="1006" t="s">
        <v>494</v>
      </c>
      <c r="B4" s="1007"/>
      <c r="C4" s="1007"/>
      <c r="D4" s="1007"/>
      <c r="E4" s="1007"/>
      <c r="F4" s="1007"/>
      <c r="G4" s="1007"/>
      <c r="H4" s="1007"/>
      <c r="I4" s="1007"/>
      <c r="J4" s="1007"/>
      <c r="K4" s="1007"/>
      <c r="L4" s="1007"/>
      <c r="M4" s="1007"/>
      <c r="N4" s="1007"/>
      <c r="O4" s="1007"/>
      <c r="P4" s="1007"/>
      <c r="Q4" s="1007"/>
      <c r="R4" s="1007"/>
      <c r="S4" s="1007"/>
      <c r="T4" s="1007"/>
      <c r="U4" s="1008"/>
    </row>
    <row r="5" spans="1:21" s="23" customFormat="1" ht="17.25" customHeight="1" thickBot="1">
      <c r="A5" s="1009" t="s">
        <v>8</v>
      </c>
      <c r="B5" s="1010"/>
      <c r="C5" s="1010"/>
      <c r="D5" s="1010"/>
      <c r="E5" s="1010"/>
      <c r="F5" s="1010"/>
      <c r="G5" s="1010"/>
      <c r="H5" s="1010"/>
      <c r="I5" s="1010"/>
      <c r="J5" s="1010"/>
      <c r="K5" s="1011" t="str">
        <f>VLOOKUP(R7,KING,10,FALSE)</f>
        <v xml:space="preserve">9TH </v>
      </c>
      <c r="L5" s="1011"/>
      <c r="M5" s="1011"/>
      <c r="N5" s="1011"/>
      <c r="O5" s="1011"/>
      <c r="P5" s="1011"/>
      <c r="Q5" s="1011"/>
      <c r="R5" s="1011"/>
      <c r="S5" s="1011"/>
      <c r="T5" s="1011"/>
      <c r="U5" s="1012"/>
    </row>
    <row r="6" spans="1:21" s="25" customFormat="1" ht="16.5" customHeight="1" thickTop="1" thickBot="1">
      <c r="A6" s="1018" t="s">
        <v>495</v>
      </c>
      <c r="B6" s="1019"/>
      <c r="C6" s="1020" t="s">
        <v>496</v>
      </c>
      <c r="D6" s="1021"/>
      <c r="E6" s="1021"/>
      <c r="F6" s="1021"/>
      <c r="G6" s="1020" t="s">
        <v>497</v>
      </c>
      <c r="H6" s="1021"/>
      <c r="I6" s="1022"/>
      <c r="J6" s="24" t="s">
        <v>498</v>
      </c>
      <c r="K6" s="24"/>
      <c r="L6" s="24"/>
      <c r="M6" s="1019" t="s">
        <v>499</v>
      </c>
      <c r="N6" s="1019"/>
      <c r="O6" s="1019"/>
      <c r="P6" s="1019"/>
      <c r="Q6" s="1019"/>
      <c r="R6" s="1020" t="s">
        <v>500</v>
      </c>
      <c r="S6" s="1021"/>
      <c r="T6" s="1021"/>
      <c r="U6" s="1023"/>
    </row>
    <row r="7" spans="1:21" ht="16.5" customHeight="1" thickTop="1" thickBot="1">
      <c r="A7" s="1013">
        <v>712384</v>
      </c>
      <c r="B7" s="1014"/>
      <c r="C7" s="1015" t="str">
        <f>VLOOKUP(R7,KING,6,FALSE)</f>
        <v>27/10/2010</v>
      </c>
      <c r="D7" s="1016"/>
      <c r="E7" s="1016"/>
      <c r="F7" s="1016"/>
      <c r="G7" s="1015">
        <f>VLOOKUP(R7,KING,53,FALSE)</f>
        <v>3.15</v>
      </c>
      <c r="H7" s="1016"/>
      <c r="I7" s="1017"/>
      <c r="J7" s="1014">
        <f>VLOOKUP(R7,KING,7,FALSE)</f>
        <v>131615511</v>
      </c>
      <c r="K7" s="1014"/>
      <c r="L7" s="1014"/>
      <c r="M7" s="1014">
        <f>VLOOKUP(R7,KING,8,FALSE)</f>
        <v>629</v>
      </c>
      <c r="N7" s="1014"/>
      <c r="O7" s="1014"/>
      <c r="P7" s="1014"/>
      <c r="Q7" s="1014"/>
      <c r="R7" s="1024">
        <v>9001</v>
      </c>
      <c r="S7" s="1024"/>
      <c r="T7" s="1024"/>
      <c r="U7" s="1025"/>
    </row>
    <row r="8" spans="1:21" ht="18" thickTop="1">
      <c r="A8" s="26"/>
      <c r="C8" s="27" t="s">
        <v>1</v>
      </c>
      <c r="D8" s="27"/>
      <c r="E8" s="27"/>
      <c r="F8" s="28"/>
      <c r="G8" s="28"/>
      <c r="H8" s="29"/>
      <c r="I8" s="1026" t="str">
        <f>VLOOKUP(R7,KING,2,FALSE)</f>
        <v xml:space="preserve">  A25/712384/019</v>
      </c>
      <c r="J8" s="1026"/>
      <c r="K8" s="1026"/>
      <c r="L8" s="1026"/>
      <c r="M8" s="1026"/>
      <c r="N8" s="1026"/>
      <c r="O8" s="1026"/>
      <c r="P8" s="1026"/>
      <c r="Q8" s="1026"/>
      <c r="R8" s="1027"/>
      <c r="S8" s="1027"/>
      <c r="T8" s="1027"/>
      <c r="U8" s="30"/>
    </row>
    <row r="9" spans="1:21" ht="17.5">
      <c r="A9" s="26"/>
      <c r="C9" s="31" t="s">
        <v>501</v>
      </c>
      <c r="D9" s="31"/>
      <c r="E9" s="31"/>
      <c r="F9" s="32"/>
      <c r="G9" s="32"/>
      <c r="H9" s="32"/>
      <c r="I9" s="1029" t="str">
        <f>VLOOKUP(R7,KING,3,FALSE)</f>
        <v>ADITI HALDKAR</v>
      </c>
      <c r="J9" s="1029"/>
      <c r="K9" s="1029"/>
      <c r="L9" s="1029"/>
      <c r="M9" s="1029"/>
      <c r="N9" s="1029"/>
      <c r="O9" s="1029"/>
      <c r="P9" s="1029"/>
      <c r="Q9" s="1029"/>
      <c r="R9" s="1028"/>
      <c r="S9" s="1028"/>
      <c r="T9" s="1028"/>
      <c r="U9" s="30"/>
    </row>
    <row r="10" spans="1:21" ht="17.5">
      <c r="A10" s="26"/>
      <c r="C10" s="31" t="s">
        <v>502</v>
      </c>
      <c r="D10" s="31"/>
      <c r="E10" s="31"/>
      <c r="F10" s="32"/>
      <c r="G10" s="32"/>
      <c r="H10" s="32"/>
      <c r="I10" s="1029" t="str">
        <f>VLOOKUP(R7,KING,4,FALSE)</f>
        <v xml:space="preserve">ANIL KUMAR HALDKAR </v>
      </c>
      <c r="J10" s="1029"/>
      <c r="K10" s="1029"/>
      <c r="L10" s="1029"/>
      <c r="M10" s="1029"/>
      <c r="N10" s="1029"/>
      <c r="O10" s="1029"/>
      <c r="P10" s="1029"/>
      <c r="Q10" s="1029"/>
      <c r="R10" s="1028"/>
      <c r="S10" s="1028"/>
      <c r="T10" s="1028"/>
      <c r="U10" s="30"/>
    </row>
    <row r="11" spans="1:21" ht="17.5">
      <c r="A11" s="26"/>
      <c r="C11" s="31" t="s">
        <v>503</v>
      </c>
      <c r="D11" s="31"/>
      <c r="E11" s="31"/>
      <c r="F11" s="32"/>
      <c r="G11" s="32"/>
      <c r="H11" s="32"/>
      <c r="I11" s="1030" t="str">
        <f>VLOOKUP(R7,KING,5,FALSE)</f>
        <v>INDRAVATI HALDKAR</v>
      </c>
      <c r="J11" s="1030"/>
      <c r="K11" s="1030"/>
      <c r="L11" s="1030"/>
      <c r="M11" s="1030"/>
      <c r="N11" s="1030"/>
      <c r="O11" s="1030"/>
      <c r="P11" s="1030"/>
      <c r="Q11" s="1030"/>
      <c r="R11" s="1028"/>
      <c r="S11" s="1028"/>
      <c r="T11" s="1028"/>
      <c r="U11" s="30"/>
    </row>
    <row r="12" spans="1:21" ht="17.5">
      <c r="A12" s="26"/>
      <c r="C12" s="31" t="s">
        <v>7</v>
      </c>
      <c r="D12" s="31"/>
      <c r="E12" s="31"/>
      <c r="F12" s="32"/>
      <c r="G12" s="32"/>
      <c r="H12" s="32"/>
      <c r="I12" s="1029" t="str">
        <f>VLOOKUP(R7,KING,9,FALSE)</f>
        <v xml:space="preserve">NIMAS </v>
      </c>
      <c r="J12" s="1029"/>
      <c r="K12" s="1029"/>
      <c r="L12" s="1029"/>
      <c r="M12" s="1029"/>
      <c r="N12" s="1029"/>
      <c r="O12" s="1029"/>
      <c r="P12" s="1029"/>
      <c r="Q12" s="1029"/>
      <c r="R12" s="1028"/>
      <c r="S12" s="1028"/>
      <c r="T12" s="1028"/>
      <c r="U12" s="30"/>
    </row>
    <row r="13" spans="1:21" ht="15.75" customHeight="1" thickBot="1">
      <c r="A13" s="1031" t="s">
        <v>504</v>
      </c>
      <c r="B13" s="1032"/>
      <c r="C13" s="1032"/>
      <c r="D13" s="1032"/>
      <c r="E13" s="1032"/>
      <c r="F13" s="1032"/>
      <c r="G13" s="1032"/>
      <c r="H13" s="1032"/>
      <c r="I13" s="1032"/>
      <c r="J13" s="1032"/>
      <c r="K13" s="1032"/>
      <c r="L13" s="1032"/>
      <c r="M13" s="1032"/>
      <c r="N13" s="1032"/>
      <c r="O13" s="1032"/>
      <c r="P13" s="1032"/>
      <c r="Q13" s="1032"/>
      <c r="R13" s="1032"/>
      <c r="S13" s="1032"/>
      <c r="T13" s="1032"/>
      <c r="U13" s="1033"/>
    </row>
    <row r="14" spans="1:21" ht="19.5" customHeight="1" thickTop="1" thickBot="1">
      <c r="A14" s="1034"/>
      <c r="B14" s="1035"/>
      <c r="C14" s="1036" t="s">
        <v>505</v>
      </c>
      <c r="D14" s="1037"/>
      <c r="E14" s="1037"/>
      <c r="F14" s="1037"/>
      <c r="G14" s="1038"/>
      <c r="H14" s="1039" t="s">
        <v>75</v>
      </c>
      <c r="I14" s="1040"/>
      <c r="J14" s="1040"/>
      <c r="K14" s="1040"/>
      <c r="L14" s="1041"/>
      <c r="M14" s="1039" t="s">
        <v>506</v>
      </c>
      <c r="N14" s="1040"/>
      <c r="O14" s="1040"/>
      <c r="P14" s="1040"/>
      <c r="Q14" s="1041"/>
      <c r="R14" s="1039" t="s">
        <v>507</v>
      </c>
      <c r="S14" s="1040"/>
      <c r="T14" s="1040"/>
      <c r="U14" s="1042"/>
    </row>
    <row r="15" spans="1:21" s="35" customFormat="1" ht="19.5" customHeight="1" thickTop="1" thickBot="1">
      <c r="A15" s="1034"/>
      <c r="B15" s="1035"/>
      <c r="C15" s="1043" t="s">
        <v>508</v>
      </c>
      <c r="D15" s="1043"/>
      <c r="E15" s="1043" t="s">
        <v>509</v>
      </c>
      <c r="F15" s="1043"/>
      <c r="G15" s="1043"/>
      <c r="H15" s="1043" t="s">
        <v>508</v>
      </c>
      <c r="I15" s="1043"/>
      <c r="J15" s="1043" t="s">
        <v>509</v>
      </c>
      <c r="K15" s="1043"/>
      <c r="L15" s="1043"/>
      <c r="M15" s="1043" t="s">
        <v>508</v>
      </c>
      <c r="N15" s="1043"/>
      <c r="O15" s="1043" t="s">
        <v>509</v>
      </c>
      <c r="P15" s="1043"/>
      <c r="Q15" s="1043"/>
      <c r="R15" s="33" t="s">
        <v>510</v>
      </c>
      <c r="S15" s="33" t="s">
        <v>511</v>
      </c>
      <c r="T15" s="33" t="s">
        <v>512</v>
      </c>
      <c r="U15" s="34" t="s">
        <v>513</v>
      </c>
    </row>
    <row r="16" spans="1:21" s="41" customFormat="1" ht="19.5" customHeight="1" thickTop="1" thickBot="1">
      <c r="A16" s="1044" t="s">
        <v>514</v>
      </c>
      <c r="B16" s="1045"/>
      <c r="C16" s="36" t="s">
        <v>515</v>
      </c>
      <c r="D16" s="36" t="s">
        <v>516</v>
      </c>
      <c r="E16" s="36" t="s">
        <v>517</v>
      </c>
      <c r="F16" s="37" t="s">
        <v>518</v>
      </c>
      <c r="G16" s="38" t="s">
        <v>513</v>
      </c>
      <c r="H16" s="36" t="s">
        <v>515</v>
      </c>
      <c r="I16" s="36" t="s">
        <v>516</v>
      </c>
      <c r="J16" s="36" t="s">
        <v>517</v>
      </c>
      <c r="K16" s="37" t="s">
        <v>518</v>
      </c>
      <c r="L16" s="38" t="s">
        <v>513</v>
      </c>
      <c r="M16" s="36" t="s">
        <v>515</v>
      </c>
      <c r="N16" s="36" t="s">
        <v>516</v>
      </c>
      <c r="O16" s="36" t="s">
        <v>517</v>
      </c>
      <c r="P16" s="37" t="s">
        <v>518</v>
      </c>
      <c r="Q16" s="38" t="s">
        <v>513</v>
      </c>
      <c r="R16" s="39">
        <v>0.1</v>
      </c>
      <c r="S16" s="39">
        <v>0.1</v>
      </c>
      <c r="T16" s="39">
        <v>0.8</v>
      </c>
      <c r="U16" s="40">
        <v>1</v>
      </c>
    </row>
    <row r="17" spans="1:21" ht="16.5" customHeight="1" thickTop="1" thickBot="1">
      <c r="A17" s="42" t="s">
        <v>519</v>
      </c>
      <c r="B17" s="43"/>
      <c r="C17" s="44">
        <v>80</v>
      </c>
      <c r="D17" s="45">
        <v>20</v>
      </c>
      <c r="E17" s="46" t="str">
        <f>VLOOKUP(R7,KING,11,FALSE)</f>
        <v>2025-26</v>
      </c>
      <c r="F17" s="46">
        <f>VLOOKUP(R7,KING,12,FALSE)</f>
        <v>0</v>
      </c>
      <c r="G17" s="47" t="e">
        <f>E17+F17</f>
        <v>#VALUE!</v>
      </c>
      <c r="H17" s="48">
        <v>80</v>
      </c>
      <c r="I17" s="48">
        <v>20</v>
      </c>
      <c r="J17" s="49">
        <f>VLOOKUP(R7,KING,25,FALSE)</f>
        <v>40</v>
      </c>
      <c r="K17" s="46">
        <f>VLOOKUP(R7,KING,26,FALSE)</f>
        <v>22</v>
      </c>
      <c r="L17" s="47">
        <f>K17+J17</f>
        <v>62</v>
      </c>
      <c r="M17" s="48">
        <v>80</v>
      </c>
      <c r="N17" s="48">
        <v>20</v>
      </c>
      <c r="O17" s="49">
        <f>VLOOKUP(R7,KING,39,FALSE)</f>
        <v>20</v>
      </c>
      <c r="P17" s="46">
        <f>VLOOKUP(R7,KING,40,FALSE)</f>
        <v>65</v>
      </c>
      <c r="Q17" s="47">
        <f>P17+O17</f>
        <v>85</v>
      </c>
      <c r="R17" s="48" t="e">
        <f>G17*10/100</f>
        <v>#VALUE!</v>
      </c>
      <c r="S17" s="48">
        <f>L17*10/100</f>
        <v>6.2</v>
      </c>
      <c r="T17" s="48">
        <f>Q17*80/100</f>
        <v>68</v>
      </c>
      <c r="U17" s="50" t="e">
        <f>T17+S17+R17</f>
        <v>#VALUE!</v>
      </c>
    </row>
    <row r="18" spans="1:21" ht="16.5" customHeight="1" thickTop="1" thickBot="1">
      <c r="A18" s="51" t="s">
        <v>76</v>
      </c>
      <c r="B18" s="52"/>
      <c r="C18" s="44">
        <v>80</v>
      </c>
      <c r="D18" s="45">
        <v>20</v>
      </c>
      <c r="E18" s="46">
        <f>VLOOKUP(R7,KING,13,FALSE)</f>
        <v>43</v>
      </c>
      <c r="F18" s="46">
        <f>VLOOKUP(R7,KING,14,FALSE)</f>
        <v>21</v>
      </c>
      <c r="G18" s="47">
        <f t="shared" ref="G18:G22" si="0">E18+F18</f>
        <v>64</v>
      </c>
      <c r="H18" s="48">
        <v>80</v>
      </c>
      <c r="I18" s="48">
        <v>20</v>
      </c>
      <c r="J18" s="49">
        <f>VLOOKUP(R7,KING,27,FALSE)</f>
        <v>62</v>
      </c>
      <c r="K18" s="46">
        <f>VLOOKUP(R7,KING,28,FALSE)</f>
        <v>3.1</v>
      </c>
      <c r="L18" s="47">
        <f t="shared" ref="L18:L22" si="1">K18+J18</f>
        <v>65.099999999999994</v>
      </c>
      <c r="M18" s="48">
        <v>80</v>
      </c>
      <c r="N18" s="48">
        <v>20</v>
      </c>
      <c r="O18" s="49">
        <f>VLOOKUP(R7,KING,41,FALSE)</f>
        <v>3.25</v>
      </c>
      <c r="P18" s="46">
        <f>VLOOKUP(R7,KING,42,FALSE)</f>
        <v>42</v>
      </c>
      <c r="Q18" s="47">
        <f t="shared" ref="Q18:Q22" si="2">P18+O18</f>
        <v>45.25</v>
      </c>
      <c r="R18" s="48">
        <f t="shared" ref="R18:R22" si="3">G18*10/100</f>
        <v>6.4</v>
      </c>
      <c r="S18" s="48">
        <f t="shared" ref="S18:S22" si="4">L18*10/100</f>
        <v>6.51</v>
      </c>
      <c r="T18" s="48">
        <f t="shared" ref="T18:T22" si="5">Q18*80/100</f>
        <v>36.200000000000003</v>
      </c>
      <c r="U18" s="50">
        <f t="shared" ref="U18:U22" si="6">T18+S18+R18</f>
        <v>49.11</v>
      </c>
    </row>
    <row r="19" spans="1:21" ht="18.5" thickTop="1" thickBot="1">
      <c r="A19" s="51" t="s">
        <v>520</v>
      </c>
      <c r="B19" s="52"/>
      <c r="C19" s="44">
        <v>80</v>
      </c>
      <c r="D19" s="45">
        <v>20</v>
      </c>
      <c r="E19" s="46">
        <f>VLOOKUP(R7,KING,15,FALSE)</f>
        <v>64</v>
      </c>
      <c r="F19" s="46">
        <f>VLOOKUP(R7,KING,16,FALSE)</f>
        <v>3.2</v>
      </c>
      <c r="G19" s="47">
        <f t="shared" si="0"/>
        <v>67.2</v>
      </c>
      <c r="H19" s="48">
        <v>80</v>
      </c>
      <c r="I19" s="48">
        <v>20</v>
      </c>
      <c r="J19" s="49">
        <f>VLOOKUP(R7,KING,29,FALSE)</f>
        <v>43</v>
      </c>
      <c r="K19" s="46">
        <f>VLOOKUP(R7,KING,30,FALSE)</f>
        <v>21</v>
      </c>
      <c r="L19" s="47">
        <f t="shared" si="1"/>
        <v>64</v>
      </c>
      <c r="M19" s="48">
        <v>80</v>
      </c>
      <c r="N19" s="48">
        <v>20</v>
      </c>
      <c r="O19" s="49">
        <f>VLOOKUP(R7,KING,43,FALSE)</f>
        <v>21</v>
      </c>
      <c r="P19" s="46">
        <f>VLOOKUP(R7,KING,44,FALSE)</f>
        <v>63</v>
      </c>
      <c r="Q19" s="47">
        <f t="shared" si="2"/>
        <v>84</v>
      </c>
      <c r="R19" s="48">
        <f t="shared" si="3"/>
        <v>6.72</v>
      </c>
      <c r="S19" s="48">
        <f t="shared" si="4"/>
        <v>6.4</v>
      </c>
      <c r="T19" s="48">
        <f t="shared" si="5"/>
        <v>67.2</v>
      </c>
      <c r="U19" s="50">
        <f t="shared" si="6"/>
        <v>80.320000000000007</v>
      </c>
    </row>
    <row r="20" spans="1:21" ht="18.5" thickTop="1" thickBot="1">
      <c r="A20" s="51" t="s">
        <v>521</v>
      </c>
      <c r="B20" s="52"/>
      <c r="C20" s="44">
        <v>80</v>
      </c>
      <c r="D20" s="45">
        <v>20</v>
      </c>
      <c r="E20" s="46">
        <f>VLOOKUP(R7,KING,17,FALSE)</f>
        <v>41</v>
      </c>
      <c r="F20" s="46">
        <f>VLOOKUP(R7,KING,18,FALSE)</f>
        <v>20</v>
      </c>
      <c r="G20" s="47">
        <f t="shared" si="0"/>
        <v>61</v>
      </c>
      <c r="H20" s="48">
        <v>80</v>
      </c>
      <c r="I20" s="48">
        <v>20</v>
      </c>
      <c r="J20" s="49">
        <f>VLOOKUP(R7,KING,31,FALSE)</f>
        <v>64</v>
      </c>
      <c r="K20" s="46">
        <f>VLOOKUP(R7,KING,32,FALSE)</f>
        <v>3.2</v>
      </c>
      <c r="L20" s="47">
        <f t="shared" si="1"/>
        <v>67.2</v>
      </c>
      <c r="M20" s="48">
        <v>80</v>
      </c>
      <c r="N20" s="48">
        <v>20</v>
      </c>
      <c r="O20" s="49">
        <f>VLOOKUP(R7,KING,45,FALSE)</f>
        <v>3.15</v>
      </c>
      <c r="P20" s="46">
        <f>VLOOKUP(R7,KING,46,FALSE)</f>
        <v>48</v>
      </c>
      <c r="Q20" s="47">
        <f t="shared" si="2"/>
        <v>51.15</v>
      </c>
      <c r="R20" s="48">
        <f t="shared" si="3"/>
        <v>6.1</v>
      </c>
      <c r="S20" s="48">
        <f t="shared" si="4"/>
        <v>6.72</v>
      </c>
      <c r="T20" s="48">
        <f t="shared" si="5"/>
        <v>40.92</v>
      </c>
      <c r="U20" s="50">
        <f t="shared" si="6"/>
        <v>53.74</v>
      </c>
    </row>
    <row r="21" spans="1:21" ht="18.5" thickTop="1" thickBot="1">
      <c r="A21" s="51" t="s">
        <v>12</v>
      </c>
      <c r="B21" s="52"/>
      <c r="C21" s="44">
        <v>75</v>
      </c>
      <c r="D21" s="45">
        <v>25</v>
      </c>
      <c r="E21" s="46">
        <f>VLOOKUP(R7,KING,19,FALSE)</f>
        <v>61</v>
      </c>
      <c r="F21" s="46">
        <f>VLOOKUP(R7,KING,19,FALSE)</f>
        <v>61</v>
      </c>
      <c r="G21" s="47">
        <f t="shared" si="0"/>
        <v>122</v>
      </c>
      <c r="H21" s="48">
        <v>75</v>
      </c>
      <c r="I21" s="48">
        <v>25</v>
      </c>
      <c r="J21" s="49">
        <f>VLOOKUP(R7,KING,33,FALSE)</f>
        <v>42</v>
      </c>
      <c r="K21" s="46">
        <f>VLOOKUP(R7,KING,34,FALSE)</f>
        <v>22</v>
      </c>
      <c r="L21" s="47">
        <f t="shared" si="1"/>
        <v>64</v>
      </c>
      <c r="M21" s="48">
        <v>75</v>
      </c>
      <c r="N21" s="48">
        <v>25</v>
      </c>
      <c r="O21" s="49">
        <f>VLOOKUP(R7,KING,47,FALSE)</f>
        <v>23</v>
      </c>
      <c r="P21" s="46">
        <f>VLOOKUP(R7,KING,48,FALSE)</f>
        <v>71</v>
      </c>
      <c r="Q21" s="47">
        <f t="shared" si="2"/>
        <v>94</v>
      </c>
      <c r="R21" s="48">
        <f t="shared" si="3"/>
        <v>12.2</v>
      </c>
      <c r="S21" s="48">
        <f t="shared" si="4"/>
        <v>6.4</v>
      </c>
      <c r="T21" s="48">
        <f t="shared" si="5"/>
        <v>75.2</v>
      </c>
      <c r="U21" s="50">
        <f t="shared" si="6"/>
        <v>93.800000000000011</v>
      </c>
    </row>
    <row r="22" spans="1:21" ht="18.5" thickTop="1" thickBot="1">
      <c r="A22" s="51" t="s">
        <v>522</v>
      </c>
      <c r="B22" s="52"/>
      <c r="C22" s="44">
        <v>80</v>
      </c>
      <c r="D22" s="45">
        <v>20</v>
      </c>
      <c r="E22" s="46">
        <f>VLOOKUP(R7,KING,21,FALSE)</f>
        <v>47</v>
      </c>
      <c r="F22" s="46">
        <f>VLOOKUP(R7,KING,22,FALSE)</f>
        <v>22</v>
      </c>
      <c r="G22" s="47">
        <f t="shared" si="0"/>
        <v>69</v>
      </c>
      <c r="H22" s="48">
        <v>80</v>
      </c>
      <c r="I22" s="48">
        <v>20</v>
      </c>
      <c r="J22" s="49">
        <f>VLOOKUP(R7,KING,35,FALSE)</f>
        <v>64</v>
      </c>
      <c r="K22" s="46">
        <f>VLOOKUP(R7,KING,36,FALSE)</f>
        <v>3.2</v>
      </c>
      <c r="L22" s="47">
        <f t="shared" si="1"/>
        <v>67.2</v>
      </c>
      <c r="M22" s="48">
        <v>80</v>
      </c>
      <c r="N22" s="48">
        <v>20</v>
      </c>
      <c r="O22" s="49">
        <f>VLOOKUP(R7,KING,49,FALSE)</f>
        <v>3.55</v>
      </c>
      <c r="P22" s="46">
        <f>VLOOKUP(R7,KING,50,FALSE)</f>
        <v>40</v>
      </c>
      <c r="Q22" s="47">
        <f t="shared" si="2"/>
        <v>43.55</v>
      </c>
      <c r="R22" s="48">
        <f t="shared" si="3"/>
        <v>6.9</v>
      </c>
      <c r="S22" s="48">
        <f t="shared" si="4"/>
        <v>6.72</v>
      </c>
      <c r="T22" s="48">
        <f t="shared" si="5"/>
        <v>34.840000000000003</v>
      </c>
      <c r="U22" s="50">
        <f t="shared" si="6"/>
        <v>48.46</v>
      </c>
    </row>
    <row r="23" spans="1:21" s="55" customFormat="1" ht="18.5" thickTop="1" thickBot="1">
      <c r="A23" s="53" t="s">
        <v>523</v>
      </c>
      <c r="B23" s="54"/>
      <c r="C23" s="1046">
        <v>600</v>
      </c>
      <c r="D23" s="1047"/>
      <c r="E23" s="1048" t="e">
        <f>SUM(G17,G18,G19,G20,G21,G22)</f>
        <v>#VALUE!</v>
      </c>
      <c r="F23" s="1049"/>
      <c r="G23" s="1050"/>
      <c r="H23" s="1047">
        <v>600</v>
      </c>
      <c r="I23" s="1047"/>
      <c r="J23" s="1048">
        <f>SUM(L17,L18,L19,L20,L21,L22)</f>
        <v>389.5</v>
      </c>
      <c r="K23" s="1049"/>
      <c r="L23" s="1050"/>
      <c r="M23" s="1047">
        <v>600</v>
      </c>
      <c r="N23" s="1047"/>
      <c r="O23" s="1048">
        <f>Q17+Q18+Q19+Q20+Q21+Q22</f>
        <v>402.95</v>
      </c>
      <c r="P23" s="1049"/>
      <c r="Q23" s="1050"/>
      <c r="R23" s="1047">
        <v>600</v>
      </c>
      <c r="S23" s="1047"/>
      <c r="T23" s="1047" t="e">
        <f>U17+U18+U19+U20+U22+U21</f>
        <v>#VALUE!</v>
      </c>
      <c r="U23" s="1051"/>
    </row>
    <row r="24" spans="1:21" s="58" customFormat="1" ht="18.5" thickTop="1" thickBot="1">
      <c r="A24" s="56" t="s">
        <v>524</v>
      </c>
      <c r="B24" s="57"/>
      <c r="C24" s="1052">
        <f>VLOOKUP(R7,KING,23,FALSE)</f>
        <v>69</v>
      </c>
      <c r="D24" s="1053"/>
      <c r="E24" s="1053"/>
      <c r="F24" s="1053"/>
      <c r="G24" s="1054"/>
      <c r="H24" s="1055">
        <f>VLOOKUP(R7,KING,37,FALSE)</f>
        <v>0</v>
      </c>
      <c r="I24" s="1053"/>
      <c r="J24" s="1053"/>
      <c r="K24" s="1053"/>
      <c r="L24" s="1054"/>
      <c r="M24" s="1055">
        <f>VLOOKUP(R7,KING,51,FALSE)</f>
        <v>23</v>
      </c>
      <c r="N24" s="1053"/>
      <c r="O24" s="1053"/>
      <c r="P24" s="1053"/>
      <c r="Q24" s="1054"/>
      <c r="R24" s="1056">
        <f>VLOOKUP(R7,KING,51,FALSE)</f>
        <v>23</v>
      </c>
      <c r="S24" s="1056"/>
      <c r="T24" s="1056"/>
      <c r="U24" s="1057"/>
    </row>
    <row r="25" spans="1:21" ht="17.5" thickTop="1" thickBot="1">
      <c r="A25" s="59" t="s">
        <v>525</v>
      </c>
      <c r="B25" s="60"/>
      <c r="C25" s="61"/>
      <c r="D25" s="62" t="e">
        <f>E23/6</f>
        <v>#VALUE!</v>
      </c>
      <c r="E25" s="62" t="s">
        <v>526</v>
      </c>
      <c r="F25" s="62"/>
      <c r="G25" s="63"/>
      <c r="H25" s="64"/>
      <c r="I25" s="62">
        <f>J23/6</f>
        <v>64.916666666666671</v>
      </c>
      <c r="J25" s="62" t="s">
        <v>526</v>
      </c>
      <c r="K25" s="62"/>
      <c r="L25" s="65"/>
      <c r="M25" s="64"/>
      <c r="N25" s="62">
        <f>O23/6</f>
        <v>67.158333333333331</v>
      </c>
      <c r="O25" s="62" t="s">
        <v>526</v>
      </c>
      <c r="P25" s="62"/>
      <c r="Q25" s="65"/>
      <c r="R25" s="64"/>
      <c r="S25" s="62" t="e">
        <f>T23/6</f>
        <v>#VALUE!</v>
      </c>
      <c r="T25" s="62" t="s">
        <v>526</v>
      </c>
      <c r="U25" s="66"/>
    </row>
    <row r="26" spans="1:21" ht="17.5" thickTop="1" thickBot="1">
      <c r="A26" s="59" t="s">
        <v>527</v>
      </c>
      <c r="B26" s="67"/>
      <c r="C26" s="1060" t="e">
        <f>IF(E23&gt;=360,"A",IF(E23&gt;=270,"B",IF(E23&gt;=204,"C")))</f>
        <v>#VALUE!</v>
      </c>
      <c r="D26" s="1061"/>
      <c r="E26" s="1061"/>
      <c r="F26" s="1061"/>
      <c r="G26" s="1062"/>
      <c r="H26" s="1063" t="str">
        <f t="shared" ref="H26" si="7">IF(J23&gt;=360,"A",IF(J23&gt;=270,"B",IF(J23&gt;=204,"C")))</f>
        <v>A</v>
      </c>
      <c r="I26" s="1061"/>
      <c r="J26" s="1061"/>
      <c r="K26" s="1061"/>
      <c r="L26" s="1062"/>
      <c r="M26" s="1063" t="str">
        <f t="shared" ref="M26" si="8">IF(O23&gt;=360,"A",IF(O23&gt;=270,"B",IF(O23&gt;=204,"C")))</f>
        <v>A</v>
      </c>
      <c r="N26" s="1061"/>
      <c r="O26" s="1061"/>
      <c r="P26" s="1061"/>
      <c r="Q26" s="1062"/>
      <c r="R26" s="1064" t="e">
        <f t="shared" ref="R26" si="9">IF(T23&gt;=360,"A",IF(T23&gt;=270,"B",IF(T23&gt;=204,"C")))</f>
        <v>#VALUE!</v>
      </c>
      <c r="S26" s="1064"/>
      <c r="T26" s="1064"/>
      <c r="U26" s="1065"/>
    </row>
    <row r="27" spans="1:21" ht="17.5" thickTop="1" thickBot="1">
      <c r="A27" s="68" t="s">
        <v>528</v>
      </c>
      <c r="B27" s="69"/>
      <c r="C27" s="1066" t="e">
        <f>IF(E23&gt;=360,"PASS IN FIRST DIVISION",IF(E23&gt;=270,"PASS IN SECOND DIVISION",IF(E23&gt;=204,"PASS IN THIRD DIVISION")))</f>
        <v>#VALUE!</v>
      </c>
      <c r="D27" s="1067"/>
      <c r="E27" s="1067"/>
      <c r="F27" s="1067"/>
      <c r="G27" s="1068"/>
      <c r="H27" s="1069" t="str">
        <f t="shared" ref="H27" si="10">IF(J23&gt;=360,"PASS IN FIRST DIVISION",IF(J23&gt;=270,"PASS IN SECOND DIVISION",IF(J23&gt;=204,"PASS IN THIRD DIVISION")))</f>
        <v>PASS IN FIRST DIVISION</v>
      </c>
      <c r="I27" s="1067"/>
      <c r="J27" s="1067"/>
      <c r="K27" s="1067"/>
      <c r="L27" s="1068"/>
      <c r="M27" s="1069" t="str">
        <f t="shared" ref="M27" si="11">IF(O23&gt;=360,"PASS IN FIRST DIVISION",IF(O23&gt;=270,"PASS IN SECOND DIVISION",IF(O23&gt;=204,"PASS IN THIRD DIVISION")))</f>
        <v>PASS IN FIRST DIVISION</v>
      </c>
      <c r="N27" s="1067"/>
      <c r="O27" s="1067"/>
      <c r="P27" s="1067"/>
      <c r="Q27" s="1068"/>
      <c r="R27" s="1070" t="e">
        <f t="shared" ref="R27" si="12">IF(T23&gt;=360,"PASS IN FIRST DIVISION",IF(T23&gt;=270,"PASS IN SECOND DIVISION",IF(T23&gt;=204,"PASS IN THIRD DIVISION")))</f>
        <v>#VALUE!</v>
      </c>
      <c r="S27" s="1070"/>
      <c r="T27" s="1070"/>
      <c r="U27" s="1071"/>
    </row>
    <row r="28" spans="1:21" ht="18" thickTop="1">
      <c r="A28" s="1058"/>
      <c r="B28" s="1059"/>
      <c r="C28" s="1059"/>
      <c r="D28" s="1059"/>
      <c r="E28" s="70"/>
      <c r="F28" s="70"/>
      <c r="G28" s="70"/>
      <c r="H28" s="70"/>
      <c r="I28" s="70"/>
      <c r="J28" s="70"/>
      <c r="K28" s="70"/>
      <c r="L28" s="71"/>
      <c r="M28" s="72"/>
      <c r="O28" s="70"/>
      <c r="U28" s="30"/>
    </row>
    <row r="29" spans="1:21" ht="17.5">
      <c r="A29" s="851"/>
      <c r="B29" s="852"/>
      <c r="C29" s="852"/>
      <c r="D29" s="852"/>
      <c r="E29" s="852"/>
      <c r="F29" s="852"/>
      <c r="G29" s="852"/>
      <c r="H29" s="852"/>
      <c r="I29" s="852"/>
      <c r="J29" s="852"/>
      <c r="K29" s="852"/>
      <c r="L29" s="71"/>
      <c r="M29" s="72"/>
      <c r="O29" s="852"/>
      <c r="U29" s="30"/>
    </row>
    <row r="30" spans="1:21" ht="11.25" customHeight="1">
      <c r="A30" s="74"/>
      <c r="U30" s="30"/>
    </row>
    <row r="31" spans="1:21">
      <c r="A31" s="74"/>
      <c r="U31" s="30"/>
    </row>
    <row r="32" spans="1:21">
      <c r="A32" s="74"/>
      <c r="R32" s="867" t="s">
        <v>529</v>
      </c>
      <c r="U32" s="30"/>
    </row>
    <row r="33" spans="1:21" ht="18" thickBot="1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76"/>
      <c r="N33" s="76"/>
      <c r="O33" s="78"/>
      <c r="P33" s="76"/>
      <c r="Q33" s="77"/>
      <c r="R33" s="76" t="s">
        <v>1676</v>
      </c>
      <c r="S33" s="76"/>
      <c r="T33" s="76"/>
      <c r="U33" s="79"/>
    </row>
    <row r="34" spans="1:21" ht="14.5" thickTop="1"/>
  </sheetData>
  <mergeCells count="57">
    <mergeCell ref="A28:D28"/>
    <mergeCell ref="C26:G26"/>
    <mergeCell ref="H26:L26"/>
    <mergeCell ref="M26:Q26"/>
    <mergeCell ref="R26:U26"/>
    <mergeCell ref="C27:G27"/>
    <mergeCell ref="H27:L27"/>
    <mergeCell ref="M27:Q27"/>
    <mergeCell ref="R27:U27"/>
    <mergeCell ref="M23:N23"/>
    <mergeCell ref="O23:Q23"/>
    <mergeCell ref="R23:S23"/>
    <mergeCell ref="T23:U23"/>
    <mergeCell ref="C24:G24"/>
    <mergeCell ref="H24:L24"/>
    <mergeCell ref="M24:Q24"/>
    <mergeCell ref="R24:U24"/>
    <mergeCell ref="A16:B16"/>
    <mergeCell ref="C23:D23"/>
    <mergeCell ref="E23:G23"/>
    <mergeCell ref="H23:I23"/>
    <mergeCell ref="J23:L23"/>
    <mergeCell ref="A13:U13"/>
    <mergeCell ref="A14:B15"/>
    <mergeCell ref="C14:G14"/>
    <mergeCell ref="H14:L14"/>
    <mergeCell ref="M14:Q14"/>
    <mergeCell ref="R14:U14"/>
    <mergeCell ref="C15:D15"/>
    <mergeCell ref="E15:G15"/>
    <mergeCell ref="H15:I15"/>
    <mergeCell ref="J15:L15"/>
    <mergeCell ref="M15:N15"/>
    <mergeCell ref="O15:Q15"/>
    <mergeCell ref="R7:U7"/>
    <mergeCell ref="I8:Q8"/>
    <mergeCell ref="R8:T12"/>
    <mergeCell ref="I9:Q9"/>
    <mergeCell ref="I10:Q10"/>
    <mergeCell ref="I11:Q11"/>
    <mergeCell ref="I12:Q12"/>
    <mergeCell ref="A6:B6"/>
    <mergeCell ref="C6:F6"/>
    <mergeCell ref="G6:I6"/>
    <mergeCell ref="M6:Q6"/>
    <mergeCell ref="R6:U6"/>
    <mergeCell ref="A7:B7"/>
    <mergeCell ref="C7:F7"/>
    <mergeCell ref="G7:I7"/>
    <mergeCell ref="J7:L7"/>
    <mergeCell ref="M7:Q7"/>
    <mergeCell ref="A1:U1"/>
    <mergeCell ref="A2:U2"/>
    <mergeCell ref="A3:U3"/>
    <mergeCell ref="A4:U4"/>
    <mergeCell ref="A5:J5"/>
    <mergeCell ref="K5:U5"/>
  </mergeCells>
  <pageMargins left="0" right="0" top="0" bottom="0" header="0" footer="0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N52"/>
  <sheetViews>
    <sheetView topLeftCell="A19" workbookViewId="0">
      <selection activeCell="R10" sqref="R10"/>
    </sheetView>
  </sheetViews>
  <sheetFormatPr defaultRowHeight="14.5"/>
  <cols>
    <col min="1" max="1" width="2.81640625" customWidth="1"/>
    <col min="2" max="2" width="14.81640625" customWidth="1"/>
    <col min="3" max="3" width="11.453125" customWidth="1"/>
    <col min="5" max="5" width="12.453125" customWidth="1"/>
    <col min="7" max="7" width="7.54296875" customWidth="1"/>
    <col min="9" max="9" width="9.81640625" customWidth="1"/>
    <col min="10" max="10" width="14.54296875" customWidth="1"/>
    <col min="11" max="11" width="3.453125" customWidth="1"/>
  </cols>
  <sheetData>
    <row r="1" spans="1:14" ht="33.5" thickTop="1" thickBot="1">
      <c r="A1" s="1085" t="s">
        <v>577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7"/>
    </row>
    <row r="2" spans="1:14" ht="18.5" thickTop="1">
      <c r="A2" s="259"/>
      <c r="B2" s="1088" t="s">
        <v>572</v>
      </c>
      <c r="C2" s="1089"/>
      <c r="D2" s="1089"/>
      <c r="E2" s="1089"/>
      <c r="F2" s="1089"/>
      <c r="G2" s="1089"/>
      <c r="H2" s="1089"/>
      <c r="I2" s="1089"/>
      <c r="J2" s="1090"/>
      <c r="K2" s="267"/>
    </row>
    <row r="3" spans="1:14" ht="18">
      <c r="A3" s="259"/>
      <c r="B3" s="1091" t="s">
        <v>493</v>
      </c>
      <c r="C3" s="980"/>
      <c r="D3" s="980"/>
      <c r="E3" s="980"/>
      <c r="F3" s="980"/>
      <c r="G3" s="980"/>
      <c r="H3" s="980"/>
      <c r="I3" s="980"/>
      <c r="J3" s="1092"/>
      <c r="K3" s="267"/>
    </row>
    <row r="4" spans="1:14" ht="18.5" thickBot="1">
      <c r="A4" s="259"/>
      <c r="B4" s="275"/>
      <c r="C4" s="276"/>
      <c r="D4" s="276"/>
      <c r="E4" s="276"/>
      <c r="F4" s="276"/>
      <c r="G4" s="276"/>
      <c r="H4" s="276"/>
      <c r="I4" s="276"/>
      <c r="J4" s="277"/>
      <c r="K4" s="268"/>
    </row>
    <row r="5" spans="1:14" ht="19" thickTop="1" thickBot="1">
      <c r="A5" s="260"/>
      <c r="B5" s="1093" t="s">
        <v>584</v>
      </c>
      <c r="C5" s="1093"/>
      <c r="D5" s="1093"/>
      <c r="E5" s="1093"/>
      <c r="F5" s="1093"/>
      <c r="G5" s="1093"/>
      <c r="H5" s="1093"/>
      <c r="I5" s="1093"/>
      <c r="J5" s="1093"/>
      <c r="K5" s="268"/>
    </row>
    <row r="6" spans="1:14" ht="18.5" thickTop="1">
      <c r="A6" s="260"/>
      <c r="B6" s="278"/>
      <c r="C6" s="279"/>
      <c r="D6" s="279"/>
      <c r="E6" s="279"/>
      <c r="F6" s="279"/>
      <c r="G6" s="279"/>
      <c r="H6" s="279"/>
      <c r="I6" s="279"/>
      <c r="J6" s="280"/>
      <c r="K6" s="268"/>
    </row>
    <row r="7" spans="1:14" ht="18.649999999999999" customHeight="1">
      <c r="A7" s="261"/>
      <c r="B7" s="281" t="s">
        <v>623</v>
      </c>
      <c r="C7" s="236">
        <v>13295</v>
      </c>
      <c r="D7" s="135"/>
      <c r="E7" s="135"/>
      <c r="F7" s="141"/>
      <c r="G7" s="136"/>
      <c r="H7" s="141"/>
      <c r="I7" s="137" t="s">
        <v>570</v>
      </c>
      <c r="J7" s="282"/>
      <c r="K7" s="269"/>
    </row>
    <row r="8" spans="1:14" ht="17.5">
      <c r="A8" s="262"/>
      <c r="B8" s="283" t="s">
        <v>571</v>
      </c>
      <c r="C8" s="159" t="e">
        <f>VLOOKUP(J13,HH,8,FALSE)</f>
        <v>#REF!</v>
      </c>
      <c r="D8" s="160"/>
      <c r="E8" s="160"/>
      <c r="F8" s="160"/>
      <c r="G8" s="160"/>
      <c r="H8" s="160"/>
      <c r="I8" s="159" t="s">
        <v>585</v>
      </c>
      <c r="J8" s="284" t="e">
        <f>VLOOKUP(J13,HH,9,FALSE)</f>
        <v>#REF!</v>
      </c>
      <c r="K8" s="270"/>
    </row>
    <row r="9" spans="1:14" ht="17.5">
      <c r="A9" s="262"/>
      <c r="B9" s="285" t="s">
        <v>531</v>
      </c>
      <c r="C9" s="165" t="e">
        <f>VLOOKUP(J13,HH,7,FALSE)</f>
        <v>#REF!</v>
      </c>
      <c r="D9" s="160"/>
      <c r="E9" s="160"/>
      <c r="F9" s="160"/>
      <c r="G9" s="160"/>
      <c r="H9" s="160"/>
      <c r="I9" s="159" t="s">
        <v>5</v>
      </c>
      <c r="J9" s="284" t="e">
        <f>VLOOKUP(J13,HH,6,FALSE)</f>
        <v>#REF!</v>
      </c>
      <c r="K9" s="270"/>
    </row>
    <row r="10" spans="1:14" ht="18" thickBot="1">
      <c r="A10" s="262"/>
      <c r="B10" s="286"/>
      <c r="C10" s="287"/>
      <c r="D10" s="288"/>
      <c r="E10" s="288"/>
      <c r="F10" s="288"/>
      <c r="G10" s="288"/>
      <c r="H10" s="289"/>
      <c r="I10" s="287"/>
      <c r="J10" s="290"/>
      <c r="K10" s="270"/>
    </row>
    <row r="11" spans="1:14" ht="18.5" thickTop="1" thickBot="1">
      <c r="A11" s="262"/>
      <c r="B11" s="1074" t="s">
        <v>578</v>
      </c>
      <c r="C11" s="1074"/>
      <c r="D11" s="1074"/>
      <c r="E11" s="1074"/>
      <c r="F11" s="1074"/>
      <c r="G11" s="1074"/>
      <c r="H11" s="1074"/>
      <c r="I11" s="1074"/>
      <c r="J11" s="1074"/>
      <c r="K11" s="270"/>
      <c r="N11" t="s">
        <v>1676</v>
      </c>
    </row>
    <row r="12" spans="1:14" ht="15" thickTop="1">
      <c r="A12" s="263"/>
      <c r="B12" s="291"/>
      <c r="C12" s="292"/>
      <c r="D12" s="292"/>
      <c r="E12" s="293"/>
      <c r="F12" s="292"/>
      <c r="G12" s="292"/>
      <c r="H12" s="293"/>
      <c r="I12" s="293"/>
      <c r="J12" s="294"/>
      <c r="K12" s="271"/>
    </row>
    <row r="13" spans="1:14">
      <c r="A13" s="263"/>
      <c r="B13" s="295" t="s">
        <v>1</v>
      </c>
      <c r="C13" s="87"/>
      <c r="D13" s="22"/>
      <c r="E13" s="87" t="e">
        <f>VLOOKUP(J13,HH,2,FALSE)</f>
        <v>#REF!</v>
      </c>
      <c r="F13" s="22"/>
      <c r="G13" s="87"/>
      <c r="H13" s="87"/>
      <c r="I13" s="87" t="s">
        <v>0</v>
      </c>
      <c r="J13" s="296">
        <v>250</v>
      </c>
      <c r="K13" s="271"/>
    </row>
    <row r="14" spans="1:14">
      <c r="A14" s="263"/>
      <c r="B14" s="295" t="s">
        <v>45</v>
      </c>
      <c r="C14" s="87"/>
      <c r="D14" s="22"/>
      <c r="E14" s="87" t="e">
        <f>VLOOKUP(J13,HH,3,FALSE)</f>
        <v>#REF!</v>
      </c>
      <c r="F14" s="22"/>
      <c r="G14" s="87"/>
      <c r="H14" s="87"/>
      <c r="I14" s="87"/>
      <c r="J14" s="297"/>
      <c r="K14" s="271"/>
    </row>
    <row r="15" spans="1:14">
      <c r="A15" s="263"/>
      <c r="B15" s="295" t="s">
        <v>533</v>
      </c>
      <c r="C15" s="87"/>
      <c r="D15" s="22"/>
      <c r="E15" s="87" t="e">
        <f>VLOOKUP(J13,HH,4,FALSE)</f>
        <v>#REF!</v>
      </c>
      <c r="F15" s="22"/>
      <c r="G15" s="87"/>
      <c r="H15" s="87"/>
      <c r="I15" s="87"/>
      <c r="J15" s="297"/>
      <c r="K15" s="271"/>
    </row>
    <row r="16" spans="1:14">
      <c r="A16" s="263"/>
      <c r="B16" s="295" t="s">
        <v>503</v>
      </c>
      <c r="C16" s="87"/>
      <c r="D16" s="22"/>
      <c r="E16" s="90" t="e">
        <f>VLOOKUP(J13,HH,5,FALSE)</f>
        <v>#REF!</v>
      </c>
      <c r="F16" s="22"/>
      <c r="G16" s="87"/>
      <c r="H16" s="87"/>
      <c r="I16" s="87"/>
      <c r="J16" s="297"/>
      <c r="K16" s="271"/>
    </row>
    <row r="17" spans="1:11">
      <c r="A17" s="263"/>
      <c r="B17" s="295" t="s">
        <v>583</v>
      </c>
      <c r="C17" s="87"/>
      <c r="D17" s="22"/>
      <c r="E17" s="87" t="s">
        <v>76</v>
      </c>
      <c r="F17" s="22"/>
      <c r="G17" s="87"/>
      <c r="H17" s="87"/>
      <c r="I17" s="87"/>
      <c r="J17" s="297"/>
      <c r="K17" s="271"/>
    </row>
    <row r="18" spans="1:11" ht="15" thickBot="1">
      <c r="A18" s="263"/>
      <c r="B18" s="298"/>
      <c r="C18" s="299"/>
      <c r="D18" s="299"/>
      <c r="E18" s="299"/>
      <c r="F18" s="299"/>
      <c r="G18" s="299"/>
      <c r="H18" s="299"/>
      <c r="I18" s="299"/>
      <c r="J18" s="300"/>
      <c r="K18" s="271"/>
    </row>
    <row r="19" spans="1:11" ht="16" thickTop="1" thickBot="1">
      <c r="A19" s="263"/>
      <c r="B19" s="1084" t="s">
        <v>504</v>
      </c>
      <c r="C19" s="1084"/>
      <c r="D19" s="1084"/>
      <c r="E19" s="1084"/>
      <c r="F19" s="1084"/>
      <c r="G19" s="1084"/>
      <c r="H19" s="1084"/>
      <c r="I19" s="1084"/>
      <c r="J19" s="1084"/>
      <c r="K19" s="271"/>
    </row>
    <row r="20" spans="1:11" ht="18" thickTop="1">
      <c r="A20" s="264"/>
      <c r="B20" s="1080" t="s">
        <v>514</v>
      </c>
      <c r="C20" s="1082" t="s">
        <v>569</v>
      </c>
      <c r="D20" s="1082"/>
      <c r="E20" s="1082"/>
      <c r="F20" s="1082" t="s">
        <v>506</v>
      </c>
      <c r="G20" s="1082"/>
      <c r="H20" s="1082"/>
      <c r="I20" s="1082"/>
      <c r="J20" s="1083"/>
      <c r="K20" s="272"/>
    </row>
    <row r="21" spans="1:11">
      <c r="A21" s="265"/>
      <c r="B21" s="1081"/>
      <c r="C21" s="95" t="s">
        <v>534</v>
      </c>
      <c r="D21" s="973" t="s">
        <v>509</v>
      </c>
      <c r="E21" s="974"/>
      <c r="F21" s="973" t="s">
        <v>535</v>
      </c>
      <c r="G21" s="974"/>
      <c r="H21" s="95" t="s">
        <v>536</v>
      </c>
      <c r="I21" s="95" t="s">
        <v>537</v>
      </c>
      <c r="J21" s="301" t="s">
        <v>513</v>
      </c>
      <c r="K21" s="273"/>
    </row>
    <row r="22" spans="1:11">
      <c r="A22" s="263"/>
      <c r="B22" s="302" t="s">
        <v>10</v>
      </c>
      <c r="C22" s="97">
        <v>60</v>
      </c>
      <c r="D22" s="962" t="e">
        <f>VLOOKUP(J13,HH,11,FALSE)</f>
        <v>#REF!</v>
      </c>
      <c r="E22" s="963"/>
      <c r="F22" s="962">
        <v>100</v>
      </c>
      <c r="G22" s="963"/>
      <c r="H22" s="97" t="e">
        <f>VLOOKUP(J13,HH,19,FALSE)</f>
        <v>#REF!</v>
      </c>
      <c r="I22" s="134" t="e">
        <f>VLOOKUP(J13,HH,20,FALSE)</f>
        <v>#REF!</v>
      </c>
      <c r="J22" s="303" t="e">
        <f>H22+I22</f>
        <v>#REF!</v>
      </c>
      <c r="K22" s="271"/>
    </row>
    <row r="23" spans="1:11">
      <c r="A23" s="263"/>
      <c r="B23" s="302" t="s">
        <v>9</v>
      </c>
      <c r="C23" s="97">
        <v>60</v>
      </c>
      <c r="D23" s="962" t="e">
        <f>VLOOKUP(J13,HH,10,FALSE)</f>
        <v>#REF!</v>
      </c>
      <c r="E23" s="963"/>
      <c r="F23" s="962">
        <v>100</v>
      </c>
      <c r="G23" s="963"/>
      <c r="H23" s="97" t="e">
        <f>VLOOKUP(J13,HH,17,FALSE)</f>
        <v>#REF!</v>
      </c>
      <c r="I23" s="97" t="e">
        <f>VLOOKUP(J13,HH,18,FALSE)</f>
        <v>#REF!</v>
      </c>
      <c r="J23" s="303" t="e">
        <f t="shared" ref="J23:J27" si="0">H23+I23</f>
        <v>#REF!</v>
      </c>
      <c r="K23" s="271"/>
    </row>
    <row r="24" spans="1:11">
      <c r="A24" s="263"/>
      <c r="B24" s="302" t="s">
        <v>11</v>
      </c>
      <c r="C24" s="97">
        <v>60</v>
      </c>
      <c r="D24" s="962" t="e">
        <f>VLOOKUP(J13,HH,13,FALSE)</f>
        <v>#REF!</v>
      </c>
      <c r="E24" s="963"/>
      <c r="F24" s="962">
        <v>100</v>
      </c>
      <c r="G24" s="963"/>
      <c r="H24" s="97" t="e">
        <f>VLOOKUP(J13,HH,23,FALSE)</f>
        <v>#REF!</v>
      </c>
      <c r="I24" s="97" t="e">
        <f>VLOOKUP(J13,HH,24,FALSE)</f>
        <v>#REF!</v>
      </c>
      <c r="J24" s="303" t="e">
        <f t="shared" si="0"/>
        <v>#REF!</v>
      </c>
      <c r="K24" s="271"/>
    </row>
    <row r="25" spans="1:11">
      <c r="A25" s="263"/>
      <c r="B25" s="302" t="s">
        <v>624</v>
      </c>
      <c r="C25" s="97">
        <v>60</v>
      </c>
      <c r="D25" s="962" t="e">
        <f>VLOOKUP(J13,HH,15,FALSE)</f>
        <v>#REF!</v>
      </c>
      <c r="E25" s="963"/>
      <c r="F25" s="962">
        <v>100</v>
      </c>
      <c r="G25" s="963"/>
      <c r="H25" s="97" t="e">
        <f>VLOOKUP(J13,HH,25,FALSE)</f>
        <v>#REF!</v>
      </c>
      <c r="I25" s="97" t="e">
        <f>VLOOKUP(J13,HH,26,FALSE)</f>
        <v>#REF!</v>
      </c>
      <c r="J25" s="303" t="e">
        <f t="shared" si="0"/>
        <v>#REF!</v>
      </c>
      <c r="K25" s="271"/>
    </row>
    <row r="26" spans="1:11">
      <c r="A26" s="266"/>
      <c r="B26" s="304" t="s">
        <v>523</v>
      </c>
      <c r="C26" s="138">
        <v>240</v>
      </c>
      <c r="D26" s="960" t="e">
        <f>SUM(D22:E25)</f>
        <v>#REF!</v>
      </c>
      <c r="E26" s="961"/>
      <c r="F26" s="960">
        <f>SUM(F22:G25)</f>
        <v>400</v>
      </c>
      <c r="G26" s="961"/>
      <c r="H26" s="139" t="e">
        <f>SUM(H22:H25)</f>
        <v>#REF!</v>
      </c>
      <c r="I26" s="139" t="e">
        <f>SUM(I22:I25)</f>
        <v>#REF!</v>
      </c>
      <c r="J26" s="305" t="e">
        <f>SUM(J22:J25)</f>
        <v>#REF!</v>
      </c>
      <c r="K26" s="274"/>
    </row>
    <row r="27" spans="1:11">
      <c r="A27" s="263"/>
      <c r="B27" s="302" t="s">
        <v>622</v>
      </c>
      <c r="C27" s="97">
        <v>60</v>
      </c>
      <c r="D27" s="962" t="e">
        <f>VLOOKUP(J13,HH,15,FALSE)</f>
        <v>#REF!</v>
      </c>
      <c r="E27" s="963"/>
      <c r="F27" s="962">
        <v>100</v>
      </c>
      <c r="G27" s="963"/>
      <c r="H27" s="97" t="e">
        <f>VLOOKUP(J13,HH,27,FALSE)</f>
        <v>#REF!</v>
      </c>
      <c r="I27" s="97" t="e">
        <f>VLOOKUP(J13,HH,28,FALSE)</f>
        <v>#REF!</v>
      </c>
      <c r="J27" s="303" t="e">
        <f t="shared" si="0"/>
        <v>#REF!</v>
      </c>
      <c r="K27" s="271"/>
    </row>
    <row r="28" spans="1:11">
      <c r="A28" s="263"/>
      <c r="B28" s="306" t="s">
        <v>580</v>
      </c>
      <c r="C28" s="1075" t="e">
        <f>D26/2.4</f>
        <v>#REF!</v>
      </c>
      <c r="D28" s="1076"/>
      <c r="E28" s="237" t="s">
        <v>526</v>
      </c>
      <c r="F28" s="238"/>
      <c r="G28" s="239"/>
      <c r="H28" s="240" t="e">
        <f>J26/4</f>
        <v>#REF!</v>
      </c>
      <c r="I28" s="239" t="s">
        <v>526</v>
      </c>
      <c r="J28" s="307"/>
      <c r="K28" s="271"/>
    </row>
    <row r="29" spans="1:11" ht="15" thickBot="1">
      <c r="A29" s="263"/>
      <c r="B29" s="308"/>
      <c r="C29" s="309"/>
      <c r="D29" s="309"/>
      <c r="E29" s="310"/>
      <c r="F29" s="310"/>
      <c r="G29" s="311"/>
      <c r="H29" s="312"/>
      <c r="I29" s="311"/>
      <c r="J29" s="313"/>
      <c r="K29" s="271"/>
    </row>
    <row r="30" spans="1:11" ht="18.5" thickTop="1" thickBot="1">
      <c r="A30" s="263"/>
      <c r="B30" s="1074" t="s">
        <v>539</v>
      </c>
      <c r="C30" s="1074"/>
      <c r="D30" s="1074"/>
      <c r="E30" s="1074"/>
      <c r="F30" s="1074"/>
      <c r="G30" s="1074"/>
      <c r="H30" s="1074"/>
      <c r="I30" s="1074"/>
      <c r="J30" s="1074"/>
      <c r="K30" s="271"/>
    </row>
    <row r="31" spans="1:11" ht="15" thickTop="1">
      <c r="A31" s="263"/>
      <c r="B31" s="314" t="s">
        <v>540</v>
      </c>
      <c r="C31" s="315" t="s">
        <v>550</v>
      </c>
      <c r="D31" s="1077" t="s">
        <v>576</v>
      </c>
      <c r="E31" s="1078"/>
      <c r="F31" s="1077" t="s">
        <v>550</v>
      </c>
      <c r="G31" s="1078"/>
      <c r="H31" s="1079" t="s">
        <v>541</v>
      </c>
      <c r="I31" s="1079"/>
      <c r="J31" s="316" t="s">
        <v>550</v>
      </c>
      <c r="K31" s="271"/>
    </row>
    <row r="32" spans="1:11">
      <c r="A32" s="263"/>
      <c r="B32" s="317" t="s">
        <v>542</v>
      </c>
      <c r="C32" s="110" t="s">
        <v>550</v>
      </c>
      <c r="D32" s="988" t="s">
        <v>545</v>
      </c>
      <c r="E32" s="989"/>
      <c r="F32" s="990"/>
      <c r="G32" s="110" t="s">
        <v>551</v>
      </c>
      <c r="H32" s="996" t="s">
        <v>544</v>
      </c>
      <c r="I32" s="996"/>
      <c r="J32" s="318" t="s">
        <v>550</v>
      </c>
      <c r="K32" s="271"/>
    </row>
    <row r="33" spans="1:11" ht="15" thickBot="1">
      <c r="A33" s="263"/>
      <c r="B33" s="319" t="s">
        <v>543</v>
      </c>
      <c r="C33" s="320" t="s">
        <v>551</v>
      </c>
      <c r="D33" s="320"/>
      <c r="E33" s="320" t="s">
        <v>546</v>
      </c>
      <c r="F33" s="320"/>
      <c r="G33" s="320" t="s">
        <v>551</v>
      </c>
      <c r="H33" s="1072" t="s">
        <v>547</v>
      </c>
      <c r="I33" s="1073"/>
      <c r="J33" s="321" t="s">
        <v>551</v>
      </c>
      <c r="K33" s="271"/>
    </row>
    <row r="34" spans="1:11" ht="18.5" thickTop="1" thickBot="1">
      <c r="A34" s="263"/>
      <c r="B34" s="1074" t="s">
        <v>549</v>
      </c>
      <c r="C34" s="1074"/>
      <c r="D34" s="1074"/>
      <c r="E34" s="1074"/>
      <c r="F34" s="1074"/>
      <c r="G34" s="1074"/>
      <c r="H34" s="1074"/>
      <c r="I34" s="1074"/>
      <c r="J34" s="1074"/>
      <c r="K34" s="271"/>
    </row>
    <row r="35" spans="1:11" ht="15" thickTop="1">
      <c r="A35" s="265"/>
      <c r="B35" s="314" t="s">
        <v>527</v>
      </c>
      <c r="C35" s="322" t="s">
        <v>550</v>
      </c>
      <c r="D35" s="322" t="s">
        <v>551</v>
      </c>
      <c r="E35" s="322" t="s">
        <v>552</v>
      </c>
      <c r="F35" s="322" t="s">
        <v>553</v>
      </c>
      <c r="G35" s="322" t="s">
        <v>554</v>
      </c>
      <c r="H35" s="322" t="s">
        <v>555</v>
      </c>
      <c r="I35" s="322" t="s">
        <v>556</v>
      </c>
      <c r="J35" s="323" t="s">
        <v>557</v>
      </c>
      <c r="K35" s="273"/>
    </row>
    <row r="36" spans="1:11" ht="15" thickBot="1">
      <c r="A36" s="265"/>
      <c r="B36" s="324" t="s">
        <v>558</v>
      </c>
      <c r="C36" s="163" t="s">
        <v>582</v>
      </c>
      <c r="D36" s="164" t="s">
        <v>559</v>
      </c>
      <c r="E36" s="164" t="s">
        <v>560</v>
      </c>
      <c r="F36" s="164" t="s">
        <v>561</v>
      </c>
      <c r="G36" s="164" t="s">
        <v>562</v>
      </c>
      <c r="H36" s="164" t="s">
        <v>563</v>
      </c>
      <c r="I36" s="164" t="s">
        <v>564</v>
      </c>
      <c r="J36" s="325" t="s">
        <v>581</v>
      </c>
      <c r="K36" s="273"/>
    </row>
    <row r="37" spans="1:11" ht="15" thickTop="1">
      <c r="A37" s="263"/>
      <c r="B37" s="326" t="s">
        <v>566</v>
      </c>
      <c r="C37" s="25"/>
      <c r="D37" s="25" t="e">
        <f>IF(H28&gt;=60,"PASS IN FIRST DIVISION",IF(H28&gt;=45,"PASS IN SECOND DIVISION",IF(H28&gt;=30,"PASS IN THIRD DIVISION")))</f>
        <v>#REF!</v>
      </c>
      <c r="E37" s="25"/>
      <c r="F37" s="25"/>
      <c r="G37" s="22"/>
      <c r="H37" s="22"/>
      <c r="I37" s="22"/>
      <c r="J37" s="297"/>
      <c r="K37" s="271"/>
    </row>
    <row r="38" spans="1:11">
      <c r="A38" s="263"/>
      <c r="B38" s="326" t="s">
        <v>527</v>
      </c>
      <c r="C38" s="73"/>
      <c r="D38" s="25" t="e">
        <f>IF(H28&gt;=85,"A+",IF(H28&gt;=76,"A",IF(H28&gt;=66,"B+",IF(H28&gt;=56,"B",IF(H28&gt;=51,"C+")))))</f>
        <v>#REF!</v>
      </c>
      <c r="E38" s="73"/>
      <c r="F38" s="22"/>
      <c r="G38" s="25"/>
      <c r="H38" s="25"/>
      <c r="I38" s="25"/>
      <c r="J38" s="327"/>
      <c r="K38" s="271"/>
    </row>
    <row r="39" spans="1:11">
      <c r="A39" s="263"/>
      <c r="B39" s="328"/>
      <c r="C39" s="22"/>
      <c r="D39" s="22"/>
      <c r="E39" s="22"/>
      <c r="F39" s="22"/>
      <c r="G39" s="25"/>
      <c r="H39" s="25"/>
      <c r="I39" s="25"/>
      <c r="J39" s="327"/>
      <c r="K39" s="271"/>
    </row>
    <row r="40" spans="1:11">
      <c r="A40" s="263"/>
      <c r="B40" s="328"/>
      <c r="C40" s="22"/>
      <c r="D40" s="22"/>
      <c r="E40" s="22"/>
      <c r="F40" s="22"/>
      <c r="G40" s="25"/>
      <c r="H40" s="25"/>
      <c r="I40" s="25"/>
      <c r="J40" s="327"/>
      <c r="K40" s="271"/>
    </row>
    <row r="41" spans="1:11">
      <c r="A41" s="263"/>
      <c r="B41" s="328"/>
      <c r="C41" s="22"/>
      <c r="D41" s="22"/>
      <c r="E41" s="22"/>
      <c r="F41" s="22"/>
      <c r="G41" s="25"/>
      <c r="H41" s="25"/>
      <c r="I41" s="25"/>
      <c r="J41" s="327"/>
      <c r="K41" s="271"/>
    </row>
    <row r="42" spans="1:11">
      <c r="A42" s="263"/>
      <c r="B42" s="328"/>
      <c r="C42" s="22"/>
      <c r="D42" s="22"/>
      <c r="E42" s="22"/>
      <c r="F42" s="22"/>
      <c r="G42" s="25"/>
      <c r="H42" s="25"/>
      <c r="I42" s="25"/>
      <c r="J42" s="327"/>
      <c r="K42" s="271"/>
    </row>
    <row r="43" spans="1:11">
      <c r="A43" s="263"/>
      <c r="B43" s="328"/>
      <c r="C43" s="22"/>
      <c r="D43" s="22"/>
      <c r="E43" s="22"/>
      <c r="F43" s="22"/>
      <c r="G43" s="25"/>
      <c r="H43" s="25"/>
      <c r="I43" s="25"/>
      <c r="J43" s="327"/>
      <c r="K43" s="271"/>
    </row>
    <row r="44" spans="1:11">
      <c r="A44" s="263"/>
      <c r="B44" s="328"/>
      <c r="C44" s="22"/>
      <c r="D44" s="22"/>
      <c r="E44" s="22"/>
      <c r="F44" s="22"/>
      <c r="G44" s="25"/>
      <c r="H44" s="25"/>
      <c r="I44" s="25"/>
      <c r="J44" s="327"/>
      <c r="K44" s="271"/>
    </row>
    <row r="45" spans="1:11">
      <c r="A45" s="263"/>
      <c r="B45" s="328"/>
      <c r="C45" s="22"/>
      <c r="D45" s="22"/>
      <c r="E45" s="22"/>
      <c r="F45" s="22"/>
      <c r="G45" s="25"/>
      <c r="H45" s="25"/>
      <c r="I45" s="25"/>
      <c r="J45" s="327"/>
      <c r="K45" s="271"/>
    </row>
    <row r="46" spans="1:11" ht="11.15" customHeight="1">
      <c r="A46" s="263"/>
      <c r="B46" s="328"/>
      <c r="C46" s="22"/>
      <c r="D46" s="22"/>
      <c r="E46" s="22"/>
      <c r="F46" s="22"/>
      <c r="G46" s="25"/>
      <c r="H46" s="25"/>
      <c r="I46" s="25"/>
      <c r="J46" s="327"/>
      <c r="K46" s="271"/>
    </row>
    <row r="47" spans="1:11" ht="18.649999999999999" customHeight="1">
      <c r="A47" s="263"/>
      <c r="B47" s="328"/>
      <c r="C47" s="22"/>
      <c r="D47" s="22"/>
      <c r="E47" s="22"/>
      <c r="F47" s="22"/>
      <c r="G47" s="25"/>
      <c r="H47" s="25"/>
      <c r="I47" s="25"/>
      <c r="J47" s="327"/>
      <c r="K47" s="271"/>
    </row>
    <row r="48" spans="1:11">
      <c r="A48" s="263"/>
      <c r="B48" s="328"/>
      <c r="C48" s="22"/>
      <c r="D48" s="22"/>
      <c r="E48" s="22"/>
      <c r="F48" s="22"/>
      <c r="G48" s="22"/>
      <c r="H48" s="947" t="s">
        <v>579</v>
      </c>
      <c r="I48" s="947"/>
      <c r="J48" s="297"/>
      <c r="K48" s="271"/>
    </row>
    <row r="49" spans="1:11" ht="14.5" customHeight="1">
      <c r="A49" s="263"/>
      <c r="B49" s="328"/>
      <c r="C49" s="22"/>
      <c r="D49" s="22"/>
      <c r="E49" s="22"/>
      <c r="F49" s="22"/>
      <c r="G49" s="22"/>
      <c r="H49" s="947"/>
      <c r="I49" s="947"/>
      <c r="J49" s="297"/>
      <c r="K49" s="271"/>
    </row>
    <row r="50" spans="1:11" ht="15" thickBot="1">
      <c r="A50" s="263"/>
      <c r="B50" s="329"/>
      <c r="C50" s="330"/>
      <c r="D50" s="330"/>
      <c r="E50" s="330"/>
      <c r="F50" s="330"/>
      <c r="G50" s="330"/>
      <c r="H50" s="330"/>
      <c r="I50" s="330"/>
      <c r="J50" s="331"/>
      <c r="K50" s="271"/>
    </row>
    <row r="51" spans="1:11" ht="15.5" thickTop="1" thickBot="1">
      <c r="A51" s="256"/>
      <c r="B51" s="257"/>
      <c r="C51" s="257"/>
      <c r="D51" s="257"/>
      <c r="E51" s="257"/>
      <c r="F51" s="257"/>
      <c r="G51" s="257"/>
      <c r="H51" s="257"/>
      <c r="I51" s="257"/>
      <c r="J51" s="257"/>
      <c r="K51" s="258"/>
    </row>
    <row r="52" spans="1:11" ht="15" thickTop="1"/>
  </sheetData>
  <mergeCells count="33">
    <mergeCell ref="B19:J19"/>
    <mergeCell ref="A1:K1"/>
    <mergeCell ref="B2:J2"/>
    <mergeCell ref="B3:J3"/>
    <mergeCell ref="B5:J5"/>
    <mergeCell ref="B11:J11"/>
    <mergeCell ref="D23:E23"/>
    <mergeCell ref="F23:G23"/>
    <mergeCell ref="D24:E24"/>
    <mergeCell ref="F24:G24"/>
    <mergeCell ref="B20:B21"/>
    <mergeCell ref="C20:E20"/>
    <mergeCell ref="F20:J20"/>
    <mergeCell ref="D21:E21"/>
    <mergeCell ref="F21:G21"/>
    <mergeCell ref="D22:E22"/>
    <mergeCell ref="F22:G22"/>
    <mergeCell ref="D25:E25"/>
    <mergeCell ref="F25:G25"/>
    <mergeCell ref="D27:E27"/>
    <mergeCell ref="F27:G27"/>
    <mergeCell ref="D26:E26"/>
    <mergeCell ref="F26:G26"/>
    <mergeCell ref="H33:I33"/>
    <mergeCell ref="B34:J34"/>
    <mergeCell ref="H48:I49"/>
    <mergeCell ref="C28:D28"/>
    <mergeCell ref="B30:J30"/>
    <mergeCell ref="D31:E31"/>
    <mergeCell ref="F31:G31"/>
    <mergeCell ref="H31:I31"/>
    <mergeCell ref="D32:F32"/>
    <mergeCell ref="H32:I32"/>
  </mergeCells>
  <pageMargins left="0" right="0" top="0" bottom="0" header="0" footer="0"/>
  <pageSetup paperSize="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rgb="FFFFFF00"/>
  </sheetPr>
  <dimension ref="A1:N52"/>
  <sheetViews>
    <sheetView workbookViewId="0">
      <selection activeCell="M12" sqref="M12"/>
    </sheetView>
  </sheetViews>
  <sheetFormatPr defaultRowHeight="14.5"/>
  <cols>
    <col min="1" max="1" width="2.81640625" customWidth="1"/>
    <col min="2" max="2" width="14.81640625" customWidth="1"/>
    <col min="3" max="3" width="11.453125" customWidth="1"/>
    <col min="5" max="5" width="12.453125" customWidth="1"/>
    <col min="7" max="7" width="7.54296875" customWidth="1"/>
    <col min="9" max="9" width="9.81640625" customWidth="1"/>
    <col min="10" max="10" width="13.54296875" customWidth="1"/>
    <col min="11" max="11" width="3.453125" customWidth="1"/>
  </cols>
  <sheetData>
    <row r="1" spans="1:14" ht="33.5" thickTop="1" thickBot="1">
      <c r="A1" s="1096" t="s">
        <v>577</v>
      </c>
      <c r="B1" s="1097"/>
      <c r="C1" s="1097"/>
      <c r="D1" s="1097"/>
      <c r="E1" s="1097"/>
      <c r="F1" s="1097"/>
      <c r="G1" s="1097"/>
      <c r="H1" s="1097"/>
      <c r="I1" s="1097"/>
      <c r="J1" s="1097"/>
      <c r="K1" s="1098"/>
    </row>
    <row r="2" spans="1:14" ht="18.5" thickTop="1">
      <c r="A2" s="652"/>
      <c r="B2" s="1099" t="s">
        <v>572</v>
      </c>
      <c r="C2" s="1100"/>
      <c r="D2" s="1100"/>
      <c r="E2" s="1100"/>
      <c r="F2" s="1100"/>
      <c r="G2" s="1100"/>
      <c r="H2" s="1100"/>
      <c r="I2" s="1100"/>
      <c r="J2" s="1101"/>
      <c r="K2" s="653"/>
    </row>
    <row r="3" spans="1:14" ht="18">
      <c r="A3" s="654"/>
      <c r="B3" s="1102" t="s">
        <v>493</v>
      </c>
      <c r="C3" s="1103"/>
      <c r="D3" s="1103"/>
      <c r="E3" s="1103"/>
      <c r="F3" s="1103"/>
      <c r="G3" s="1103"/>
      <c r="H3" s="1103"/>
      <c r="I3" s="1103"/>
      <c r="J3" s="1104"/>
      <c r="K3" s="653"/>
    </row>
    <row r="4" spans="1:14" ht="18.5" thickBot="1">
      <c r="A4" s="654"/>
      <c r="B4" s="655"/>
      <c r="C4" s="656"/>
      <c r="D4" s="656"/>
      <c r="E4" s="656"/>
      <c r="F4" s="656"/>
      <c r="G4" s="656"/>
      <c r="H4" s="656"/>
      <c r="I4" s="656"/>
      <c r="J4" s="657"/>
      <c r="K4" s="658"/>
    </row>
    <row r="5" spans="1:14" ht="19" thickTop="1" thickBot="1">
      <c r="A5" s="659"/>
      <c r="B5" s="1105" t="s">
        <v>584</v>
      </c>
      <c r="C5" s="1105"/>
      <c r="D5" s="1105"/>
      <c r="E5" s="1105"/>
      <c r="F5" s="1105"/>
      <c r="G5" s="1105"/>
      <c r="H5" s="1105"/>
      <c r="I5" s="1105"/>
      <c r="J5" s="1105"/>
      <c r="K5" s="658"/>
    </row>
    <row r="6" spans="1:14" ht="18.5" thickTop="1">
      <c r="A6" s="659"/>
      <c r="B6" s="654"/>
      <c r="C6" s="660"/>
      <c r="D6" s="660"/>
      <c r="E6" s="660"/>
      <c r="F6" s="660"/>
      <c r="G6" s="660"/>
      <c r="H6" s="660"/>
      <c r="I6" s="660"/>
      <c r="J6" s="661"/>
      <c r="K6" s="658"/>
    </row>
    <row r="7" spans="1:14" ht="18.649999999999999" customHeight="1">
      <c r="A7" s="662"/>
      <c r="B7" s="663" t="s">
        <v>623</v>
      </c>
      <c r="C7" s="664">
        <v>13295</v>
      </c>
      <c r="D7" s="665"/>
      <c r="E7" s="665"/>
      <c r="F7" s="666"/>
      <c r="G7" s="666"/>
      <c r="H7" s="666"/>
      <c r="I7" s="667" t="s">
        <v>570</v>
      </c>
      <c r="J7" s="668"/>
      <c r="K7" s="669"/>
    </row>
    <row r="8" spans="1:14" ht="17.5">
      <c r="A8" s="670"/>
      <c r="B8" s="671" t="s">
        <v>571</v>
      </c>
      <c r="C8" s="672" t="e">
        <f>VLOOKUP(J13,ggg,8,FALSE)</f>
        <v>#REF!</v>
      </c>
      <c r="D8" s="673"/>
      <c r="E8" s="673"/>
      <c r="F8" s="673"/>
      <c r="G8" s="673"/>
      <c r="H8" s="673"/>
      <c r="I8" s="672" t="s">
        <v>585</v>
      </c>
      <c r="J8" s="674" t="e">
        <f>VLOOKUP(J13,ggg,9,FALSE)</f>
        <v>#REF!</v>
      </c>
      <c r="K8" s="675"/>
    </row>
    <row r="9" spans="1:14" ht="17.5">
      <c r="A9" s="670"/>
      <c r="B9" s="676" t="s">
        <v>531</v>
      </c>
      <c r="C9" s="677" t="e">
        <f>VLOOKUP(J13,ggg,7,FALSE)</f>
        <v>#REF!</v>
      </c>
      <c r="D9" s="673"/>
      <c r="E9" s="673"/>
      <c r="F9" s="673"/>
      <c r="G9" s="673"/>
      <c r="H9" s="673"/>
      <c r="I9" s="672" t="s">
        <v>5</v>
      </c>
      <c r="J9" s="674" t="e">
        <f>VLOOKUP(J13,ggg,6,FALSE)</f>
        <v>#REF!</v>
      </c>
      <c r="K9" s="675"/>
    </row>
    <row r="10" spans="1:14" ht="18" thickBot="1">
      <c r="A10" s="670"/>
      <c r="B10" s="671"/>
      <c r="C10" s="672"/>
      <c r="D10" s="673"/>
      <c r="E10" s="673"/>
      <c r="F10" s="673"/>
      <c r="G10" s="673"/>
      <c r="H10" s="678"/>
      <c r="I10" s="672"/>
      <c r="J10" s="674"/>
      <c r="K10" s="675"/>
    </row>
    <row r="11" spans="1:14" ht="18.5" thickTop="1" thickBot="1">
      <c r="A11" s="670"/>
      <c r="B11" s="1106" t="s">
        <v>578</v>
      </c>
      <c r="C11" s="1106"/>
      <c r="D11" s="1106"/>
      <c r="E11" s="1106"/>
      <c r="F11" s="1106"/>
      <c r="G11" s="1106"/>
      <c r="H11" s="1106"/>
      <c r="I11" s="1106"/>
      <c r="J11" s="1106"/>
      <c r="K11" s="675"/>
      <c r="N11" t="s">
        <v>1676</v>
      </c>
    </row>
    <row r="12" spans="1:14" ht="15" thickTop="1">
      <c r="A12" s="679"/>
      <c r="B12" s="679"/>
      <c r="C12" s="680"/>
      <c r="D12" s="680"/>
      <c r="E12" s="681"/>
      <c r="F12" s="680"/>
      <c r="G12" s="680"/>
      <c r="H12" s="681"/>
      <c r="I12" s="681"/>
      <c r="J12" s="682"/>
      <c r="K12" s="682"/>
    </row>
    <row r="13" spans="1:14">
      <c r="A13" s="679"/>
      <c r="B13" s="683" t="s">
        <v>1</v>
      </c>
      <c r="C13" s="684"/>
      <c r="D13" s="685"/>
      <c r="E13" s="684" t="e">
        <f>VLOOKUP(J13,ggg,2,FALSE)</f>
        <v>#REF!</v>
      </c>
      <c r="F13" s="685"/>
      <c r="G13" s="684"/>
      <c r="H13" s="684"/>
      <c r="I13" s="684" t="s">
        <v>0</v>
      </c>
      <c r="J13" s="686">
        <v>65</v>
      </c>
      <c r="K13" s="682"/>
    </row>
    <row r="14" spans="1:14">
      <c r="A14" s="679"/>
      <c r="B14" s="683" t="s">
        <v>45</v>
      </c>
      <c r="C14" s="684"/>
      <c r="D14" s="685"/>
      <c r="E14" s="684" t="e">
        <f>VLOOKUP(J13,ggg,3,FALSE)</f>
        <v>#REF!</v>
      </c>
      <c r="F14" s="685"/>
      <c r="G14" s="684"/>
      <c r="H14" s="684"/>
      <c r="I14" s="684"/>
      <c r="J14" s="687"/>
      <c r="K14" s="682"/>
    </row>
    <row r="15" spans="1:14">
      <c r="A15" s="679"/>
      <c r="B15" s="683" t="s">
        <v>533</v>
      </c>
      <c r="C15" s="684"/>
      <c r="D15" s="685"/>
      <c r="E15" s="684" t="e">
        <f>VLOOKUP(J13,ggg,4,FALSE)</f>
        <v>#REF!</v>
      </c>
      <c r="F15" s="685"/>
      <c r="G15" s="684"/>
      <c r="H15" s="684"/>
      <c r="I15" s="684"/>
      <c r="J15" s="687"/>
      <c r="K15" s="682"/>
    </row>
    <row r="16" spans="1:14">
      <c r="A16" s="679"/>
      <c r="B16" s="683" t="s">
        <v>503</v>
      </c>
      <c r="C16" s="684"/>
      <c r="D16" s="685"/>
      <c r="E16" s="688" t="e">
        <f>VLOOKUP(J13,ggg,5,FALSE)</f>
        <v>#REF!</v>
      </c>
      <c r="F16" s="685"/>
      <c r="G16" s="684"/>
      <c r="H16" s="684"/>
      <c r="I16" s="684"/>
      <c r="J16" s="687"/>
      <c r="K16" s="682"/>
    </row>
    <row r="17" spans="1:11">
      <c r="A17" s="679"/>
      <c r="B17" s="683" t="s">
        <v>583</v>
      </c>
      <c r="C17" s="684"/>
      <c r="D17" s="685"/>
      <c r="E17" s="684" t="s">
        <v>76</v>
      </c>
      <c r="F17" s="685"/>
      <c r="G17" s="684"/>
      <c r="H17" s="684"/>
      <c r="I17" s="684"/>
      <c r="J17" s="687"/>
      <c r="K17" s="682"/>
    </row>
    <row r="18" spans="1:11" ht="15" thickBot="1">
      <c r="A18" s="679"/>
      <c r="B18" s="689"/>
      <c r="C18" s="690"/>
      <c r="D18" s="690"/>
      <c r="E18" s="690"/>
      <c r="F18" s="690"/>
      <c r="G18" s="690"/>
      <c r="H18" s="690"/>
      <c r="I18" s="690"/>
      <c r="J18" s="691"/>
      <c r="K18" s="682"/>
    </row>
    <row r="19" spans="1:11" ht="16" thickTop="1" thickBot="1">
      <c r="A19" s="679"/>
      <c r="B19" s="1107" t="s">
        <v>504</v>
      </c>
      <c r="C19" s="1107"/>
      <c r="D19" s="1107"/>
      <c r="E19" s="1107"/>
      <c r="F19" s="1107"/>
      <c r="G19" s="1107"/>
      <c r="H19" s="1107"/>
      <c r="I19" s="1107"/>
      <c r="J19" s="1107"/>
      <c r="K19" s="682"/>
    </row>
    <row r="20" spans="1:11" ht="18" thickTop="1">
      <c r="A20" s="692"/>
      <c r="B20" s="1108" t="s">
        <v>514</v>
      </c>
      <c r="C20" s="1110" t="s">
        <v>569</v>
      </c>
      <c r="D20" s="1110"/>
      <c r="E20" s="1110"/>
      <c r="F20" s="1110" t="s">
        <v>506</v>
      </c>
      <c r="G20" s="1110"/>
      <c r="H20" s="1110"/>
      <c r="I20" s="1110"/>
      <c r="J20" s="1111"/>
      <c r="K20" s="693"/>
    </row>
    <row r="21" spans="1:11">
      <c r="A21" s="694"/>
      <c r="B21" s="1109"/>
      <c r="C21" s="695" t="s">
        <v>534</v>
      </c>
      <c r="D21" s="1112" t="s">
        <v>509</v>
      </c>
      <c r="E21" s="1113"/>
      <c r="F21" s="1112" t="s">
        <v>535</v>
      </c>
      <c r="G21" s="1113"/>
      <c r="H21" s="695" t="s">
        <v>536</v>
      </c>
      <c r="I21" s="695" t="s">
        <v>537</v>
      </c>
      <c r="J21" s="696" t="s">
        <v>513</v>
      </c>
      <c r="K21" s="697"/>
    </row>
    <row r="22" spans="1:11">
      <c r="A22" s="679"/>
      <c r="B22" s="698" t="s">
        <v>10</v>
      </c>
      <c r="C22" s="699">
        <v>60</v>
      </c>
      <c r="D22" s="1094" t="e">
        <f>VLOOKUP(J13,ggg,11,FALSE)</f>
        <v>#REF!</v>
      </c>
      <c r="E22" s="1095"/>
      <c r="F22" s="1094">
        <v>100</v>
      </c>
      <c r="G22" s="1095"/>
      <c r="H22" s="699" t="e">
        <f>VLOOKUP(J13,ggg,17,FALSE)</f>
        <v>#REF!</v>
      </c>
      <c r="I22" s="700" t="e">
        <f>VLOOKUP(J13,ggg,18,FALSE)</f>
        <v>#REF!</v>
      </c>
      <c r="J22" s="696" t="e">
        <f>H22+I22</f>
        <v>#REF!</v>
      </c>
      <c r="K22" s="682"/>
    </row>
    <row r="23" spans="1:11">
      <c r="A23" s="679"/>
      <c r="B23" s="698" t="s">
        <v>9</v>
      </c>
      <c r="C23" s="699">
        <v>60</v>
      </c>
      <c r="D23" s="1094" t="e">
        <f>VLOOKUP(J13,ggg,10,FALSE)</f>
        <v>#REF!</v>
      </c>
      <c r="E23" s="1095"/>
      <c r="F23" s="1094">
        <v>100</v>
      </c>
      <c r="G23" s="1095"/>
      <c r="H23" s="699" t="e">
        <f>VLOOKUP(J13,ggg,15,FALSE)</f>
        <v>#REF!</v>
      </c>
      <c r="I23" s="699" t="e">
        <f>VLOOKUP(J13,ggg,16,FALSE)</f>
        <v>#REF!</v>
      </c>
      <c r="J23" s="696" t="e">
        <f t="shared" ref="J23:J24" si="0">H23+I23</f>
        <v>#REF!</v>
      </c>
      <c r="K23" s="682"/>
    </row>
    <row r="24" spans="1:11">
      <c r="A24" s="679"/>
      <c r="B24" s="698" t="s">
        <v>11</v>
      </c>
      <c r="C24" s="699">
        <v>60</v>
      </c>
      <c r="D24" s="1094" t="e">
        <f>VLOOKUP(J13,ggg,12,FALSE)</f>
        <v>#REF!</v>
      </c>
      <c r="E24" s="1095"/>
      <c r="F24" s="1094">
        <v>100</v>
      </c>
      <c r="G24" s="1095"/>
      <c r="H24" s="699" t="e">
        <f>VLOOKUP(J13,ggg,19,FALSE)</f>
        <v>#REF!</v>
      </c>
      <c r="I24" s="699" t="e">
        <f>VLOOKUP(J13,ggg,20,FALSE)</f>
        <v>#REF!</v>
      </c>
      <c r="J24" s="696" t="e">
        <f t="shared" si="0"/>
        <v>#REF!</v>
      </c>
      <c r="K24" s="682"/>
    </row>
    <row r="25" spans="1:11">
      <c r="A25" s="679"/>
      <c r="B25" s="698" t="s">
        <v>622</v>
      </c>
      <c r="C25" s="699">
        <v>60</v>
      </c>
      <c r="D25" s="1094" t="e">
        <f>VLOOKUP(J13,ggg,13,FALSE)</f>
        <v>#REF!</v>
      </c>
      <c r="E25" s="1095"/>
      <c r="F25" s="1094">
        <v>100</v>
      </c>
      <c r="G25" s="1095"/>
      <c r="H25" s="699" t="e">
        <f>VLOOKUP(J13,ggg,21,FALSE)</f>
        <v>#REF!</v>
      </c>
      <c r="I25" s="699" t="e">
        <f>VLOOKUP(J13,ggg,22,FALSE)</f>
        <v>#REF!</v>
      </c>
      <c r="J25" s="696" t="e">
        <f>H25+I25</f>
        <v>#REF!</v>
      </c>
      <c r="K25" s="682"/>
    </row>
    <row r="26" spans="1:11">
      <c r="A26" s="701"/>
      <c r="B26" s="702" t="s">
        <v>523</v>
      </c>
      <c r="C26" s="695">
        <v>240</v>
      </c>
      <c r="D26" s="1112" t="e">
        <f>D22+D23+D24+D25</f>
        <v>#REF!</v>
      </c>
      <c r="E26" s="1113"/>
      <c r="F26" s="1112">
        <f>SUM(F22:G24)</f>
        <v>300</v>
      </c>
      <c r="G26" s="1113"/>
      <c r="H26" s="703" t="e">
        <f>SUM(H22:H25)</f>
        <v>#REF!</v>
      </c>
      <c r="I26" s="703" t="e">
        <f>SUM(I22:I25)</f>
        <v>#REF!</v>
      </c>
      <c r="J26" s="696" t="e">
        <f>SUM(J22:J25)</f>
        <v>#REF!</v>
      </c>
      <c r="K26" s="704"/>
    </row>
    <row r="27" spans="1:11">
      <c r="A27" s="679"/>
      <c r="B27" s="705" t="s">
        <v>580</v>
      </c>
      <c r="C27" s="1114" t="e">
        <f>D26/2.4</f>
        <v>#REF!</v>
      </c>
      <c r="D27" s="1115"/>
      <c r="E27" s="706" t="s">
        <v>526</v>
      </c>
      <c r="F27" s="707"/>
      <c r="G27" s="708"/>
      <c r="H27" s="709" t="e">
        <f>J26/4</f>
        <v>#REF!</v>
      </c>
      <c r="I27" s="708" t="s">
        <v>526</v>
      </c>
      <c r="J27" s="710"/>
      <c r="K27" s="682"/>
    </row>
    <row r="28" spans="1:11" ht="15" thickBot="1">
      <c r="A28" s="679"/>
      <c r="B28" s="711"/>
      <c r="C28" s="712"/>
      <c r="D28" s="712"/>
      <c r="E28" s="713"/>
      <c r="F28" s="713"/>
      <c r="G28" s="678"/>
      <c r="H28" s="714"/>
      <c r="I28" s="678"/>
      <c r="J28" s="675"/>
      <c r="K28" s="682"/>
    </row>
    <row r="29" spans="1:11" ht="18.5" thickTop="1" thickBot="1">
      <c r="A29" s="679"/>
      <c r="B29" s="1106" t="s">
        <v>539</v>
      </c>
      <c r="C29" s="1106"/>
      <c r="D29" s="1106"/>
      <c r="E29" s="1106"/>
      <c r="F29" s="1106"/>
      <c r="G29" s="1106"/>
      <c r="H29" s="1106"/>
      <c r="I29" s="1106"/>
      <c r="J29" s="1106"/>
      <c r="K29" s="682"/>
    </row>
    <row r="30" spans="1:11" ht="15" thickTop="1">
      <c r="A30" s="679"/>
      <c r="B30" s="715" t="s">
        <v>540</v>
      </c>
      <c r="C30" s="716" t="s">
        <v>550</v>
      </c>
      <c r="D30" s="1117" t="s">
        <v>576</v>
      </c>
      <c r="E30" s="1118"/>
      <c r="F30" s="1117" t="s">
        <v>550</v>
      </c>
      <c r="G30" s="1118"/>
      <c r="H30" s="1119" t="s">
        <v>541</v>
      </c>
      <c r="I30" s="1119"/>
      <c r="J30" s="717" t="s">
        <v>550</v>
      </c>
      <c r="K30" s="682"/>
    </row>
    <row r="31" spans="1:11">
      <c r="A31" s="679"/>
      <c r="B31" s="718" t="s">
        <v>542</v>
      </c>
      <c r="C31" s="699" t="s">
        <v>550</v>
      </c>
      <c r="D31" s="1094" t="s">
        <v>545</v>
      </c>
      <c r="E31" s="1120"/>
      <c r="F31" s="1095"/>
      <c r="G31" s="699" t="s">
        <v>551</v>
      </c>
      <c r="H31" s="1121" t="s">
        <v>544</v>
      </c>
      <c r="I31" s="1121"/>
      <c r="J31" s="719" t="s">
        <v>550</v>
      </c>
      <c r="K31" s="682"/>
    </row>
    <row r="32" spans="1:11" ht="15" thickBot="1">
      <c r="A32" s="679"/>
      <c r="B32" s="720" t="s">
        <v>543</v>
      </c>
      <c r="C32" s="721" t="s">
        <v>551</v>
      </c>
      <c r="D32" s="721"/>
      <c r="E32" s="721" t="s">
        <v>546</v>
      </c>
      <c r="F32" s="721"/>
      <c r="G32" s="721" t="s">
        <v>551</v>
      </c>
      <c r="H32" s="1122" t="s">
        <v>547</v>
      </c>
      <c r="I32" s="1123"/>
      <c r="J32" s="722" t="s">
        <v>551</v>
      </c>
      <c r="K32" s="682"/>
    </row>
    <row r="33" spans="1:11" ht="18.5" thickTop="1" thickBot="1">
      <c r="A33" s="679"/>
      <c r="B33" s="1106" t="s">
        <v>549</v>
      </c>
      <c r="C33" s="1106"/>
      <c r="D33" s="1106"/>
      <c r="E33" s="1106"/>
      <c r="F33" s="1106"/>
      <c r="G33" s="1106"/>
      <c r="H33" s="1106"/>
      <c r="I33" s="1106"/>
      <c r="J33" s="1106"/>
      <c r="K33" s="682"/>
    </row>
    <row r="34" spans="1:11" ht="15" thickTop="1">
      <c r="A34" s="694"/>
      <c r="B34" s="715" t="s">
        <v>527</v>
      </c>
      <c r="C34" s="716" t="s">
        <v>550</v>
      </c>
      <c r="D34" s="716" t="s">
        <v>551</v>
      </c>
      <c r="E34" s="716" t="s">
        <v>552</v>
      </c>
      <c r="F34" s="716" t="s">
        <v>553</v>
      </c>
      <c r="G34" s="716" t="s">
        <v>554</v>
      </c>
      <c r="H34" s="716" t="s">
        <v>555</v>
      </c>
      <c r="I34" s="716" t="s">
        <v>556</v>
      </c>
      <c r="J34" s="717" t="s">
        <v>557</v>
      </c>
      <c r="K34" s="697"/>
    </row>
    <row r="35" spans="1:11" ht="15" thickBot="1">
      <c r="A35" s="694"/>
      <c r="B35" s="723" t="s">
        <v>558</v>
      </c>
      <c r="C35" s="724" t="s">
        <v>582</v>
      </c>
      <c r="D35" s="724" t="s">
        <v>559</v>
      </c>
      <c r="E35" s="724" t="s">
        <v>560</v>
      </c>
      <c r="F35" s="724" t="s">
        <v>561</v>
      </c>
      <c r="G35" s="724" t="s">
        <v>562</v>
      </c>
      <c r="H35" s="724" t="s">
        <v>563</v>
      </c>
      <c r="I35" s="724" t="s">
        <v>564</v>
      </c>
      <c r="J35" s="725" t="s">
        <v>581</v>
      </c>
      <c r="K35" s="697"/>
    </row>
    <row r="36" spans="1:11" ht="15" thickTop="1">
      <c r="A36" s="679"/>
      <c r="B36" s="670" t="s">
        <v>566</v>
      </c>
      <c r="C36" s="678"/>
      <c r="D36" s="678"/>
      <c r="E36" s="678"/>
      <c r="F36" s="678"/>
      <c r="G36" s="681"/>
      <c r="H36" s="681"/>
      <c r="I36" s="681"/>
      <c r="J36" s="682"/>
      <c r="K36" s="682"/>
    </row>
    <row r="37" spans="1:11">
      <c r="A37" s="679"/>
      <c r="B37" s="670" t="s">
        <v>527</v>
      </c>
      <c r="C37" s="681"/>
      <c r="D37" s="678" t="e">
        <f>IF(H27&gt;=85,"A+",IF(H27&gt;=76,"A",IF(H27&gt;=66,"B+",IF(H27&gt;=56,"B",IF(H27&gt;=51,"C+")))))</f>
        <v>#REF!</v>
      </c>
      <c r="E37" s="681"/>
      <c r="F37" s="681"/>
      <c r="G37" s="678"/>
      <c r="H37" s="678"/>
      <c r="I37" s="678"/>
      <c r="J37" s="675"/>
      <c r="K37" s="682"/>
    </row>
    <row r="38" spans="1:11">
      <c r="A38" s="679"/>
      <c r="B38" s="679"/>
      <c r="C38" s="681"/>
      <c r="D38" s="681"/>
      <c r="E38" s="681"/>
      <c r="F38" s="681"/>
      <c r="G38" s="678"/>
      <c r="H38" s="678"/>
      <c r="I38" s="678"/>
      <c r="J38" s="675"/>
      <c r="K38" s="682"/>
    </row>
    <row r="39" spans="1:11">
      <c r="A39" s="679"/>
      <c r="B39" s="679"/>
      <c r="C39" s="681"/>
      <c r="D39" s="681"/>
      <c r="E39" s="681"/>
      <c r="F39" s="681"/>
      <c r="G39" s="678"/>
      <c r="H39" s="678"/>
      <c r="I39" s="678"/>
      <c r="J39" s="675"/>
      <c r="K39" s="682"/>
    </row>
    <row r="40" spans="1:11">
      <c r="A40" s="679"/>
      <c r="B40" s="679"/>
      <c r="C40" s="681"/>
      <c r="D40" s="681"/>
      <c r="E40" s="681"/>
      <c r="F40" s="681"/>
      <c r="G40" s="678"/>
      <c r="H40" s="678"/>
      <c r="I40" s="678"/>
      <c r="J40" s="675"/>
      <c r="K40" s="682"/>
    </row>
    <row r="41" spans="1:11">
      <c r="A41" s="679"/>
      <c r="B41" s="679"/>
      <c r="C41" s="681"/>
      <c r="D41" s="681"/>
      <c r="E41" s="681"/>
      <c r="F41" s="681"/>
      <c r="G41" s="678"/>
      <c r="H41" s="678"/>
      <c r="I41" s="678"/>
      <c r="J41" s="675"/>
      <c r="K41" s="682"/>
    </row>
    <row r="42" spans="1:11">
      <c r="A42" s="679"/>
      <c r="B42" s="679"/>
      <c r="C42" s="681"/>
      <c r="D42" s="681"/>
      <c r="E42" s="681"/>
      <c r="F42" s="681"/>
      <c r="G42" s="678"/>
      <c r="H42" s="678"/>
      <c r="I42" s="678"/>
      <c r="J42" s="675"/>
      <c r="K42" s="682"/>
    </row>
    <row r="43" spans="1:11">
      <c r="A43" s="679"/>
      <c r="B43" s="679"/>
      <c r="C43" s="681"/>
      <c r="D43" s="681"/>
      <c r="E43" s="681"/>
      <c r="F43" s="681"/>
      <c r="G43" s="678"/>
      <c r="H43" s="678"/>
      <c r="I43" s="678"/>
      <c r="J43" s="675"/>
      <c r="K43" s="682"/>
    </row>
    <row r="44" spans="1:11">
      <c r="A44" s="679"/>
      <c r="B44" s="679"/>
      <c r="C44" s="681"/>
      <c r="D44" s="681"/>
      <c r="E44" s="681"/>
      <c r="F44" s="681"/>
      <c r="G44" s="678"/>
      <c r="H44" s="678"/>
      <c r="I44" s="678"/>
      <c r="J44" s="675"/>
      <c r="K44" s="682"/>
    </row>
    <row r="45" spans="1:11" ht="18" customHeight="1">
      <c r="A45" s="679"/>
      <c r="B45" s="679"/>
      <c r="C45" s="681"/>
      <c r="D45" s="681"/>
      <c r="E45" s="681"/>
      <c r="F45" s="681"/>
      <c r="G45" s="678"/>
      <c r="H45" s="678"/>
      <c r="I45" s="678"/>
      <c r="J45" s="675"/>
      <c r="K45" s="682"/>
    </row>
    <row r="46" spans="1:11">
      <c r="A46" s="679"/>
      <c r="B46" s="679"/>
      <c r="C46" s="681"/>
      <c r="D46" s="681"/>
      <c r="E46" s="681"/>
      <c r="F46" s="681"/>
      <c r="G46" s="678"/>
      <c r="H46" s="678"/>
      <c r="I46" s="678"/>
      <c r="J46" s="675"/>
      <c r="K46" s="682"/>
    </row>
    <row r="47" spans="1:11">
      <c r="A47" s="679"/>
      <c r="B47" s="679"/>
      <c r="C47" s="681"/>
      <c r="D47" s="681"/>
      <c r="E47" s="681"/>
      <c r="F47" s="681"/>
      <c r="G47" s="678"/>
      <c r="H47" s="678"/>
      <c r="I47" s="678"/>
      <c r="J47" s="675"/>
      <c r="K47" s="682"/>
    </row>
    <row r="48" spans="1:11">
      <c r="A48" s="679"/>
      <c r="B48" s="679"/>
      <c r="C48" s="681"/>
      <c r="D48" s="681"/>
      <c r="E48" s="681"/>
      <c r="F48" s="681"/>
      <c r="G48" s="681"/>
      <c r="H48" s="1116" t="s">
        <v>579</v>
      </c>
      <c r="I48" s="1116"/>
      <c r="J48" s="682"/>
      <c r="K48" s="682"/>
    </row>
    <row r="49" spans="1:11">
      <c r="A49" s="679"/>
      <c r="B49" s="679"/>
      <c r="C49" s="681"/>
      <c r="D49" s="681"/>
      <c r="E49" s="681"/>
      <c r="F49" s="681"/>
      <c r="G49" s="681"/>
      <c r="H49" s="1116"/>
      <c r="I49" s="1116"/>
      <c r="J49" s="682"/>
      <c r="K49" s="682"/>
    </row>
    <row r="50" spans="1:11" ht="15" thickBot="1">
      <c r="A50" s="726"/>
      <c r="B50" s="727"/>
      <c r="C50" s="728"/>
      <c r="D50" s="728"/>
      <c r="E50" s="728"/>
      <c r="F50" s="728"/>
      <c r="G50" s="728"/>
      <c r="H50" s="728"/>
      <c r="I50" s="728"/>
      <c r="J50" s="729"/>
      <c r="K50" s="682"/>
    </row>
    <row r="51" spans="1:11" ht="15.5" thickTop="1" thickBot="1">
      <c r="A51" s="727"/>
      <c r="B51" s="728"/>
      <c r="C51" s="728"/>
      <c r="D51" s="728"/>
      <c r="E51" s="728"/>
      <c r="F51" s="728"/>
      <c r="G51" s="728"/>
      <c r="H51" s="728"/>
      <c r="I51" s="728"/>
      <c r="J51" s="728"/>
      <c r="K51" s="729"/>
    </row>
    <row r="52" spans="1:11" ht="15" thickTop="1"/>
  </sheetData>
  <mergeCells count="31">
    <mergeCell ref="B33:J33"/>
    <mergeCell ref="H48:I49"/>
    <mergeCell ref="D30:E30"/>
    <mergeCell ref="F30:G30"/>
    <mergeCell ref="H30:I30"/>
    <mergeCell ref="D31:F31"/>
    <mergeCell ref="H31:I31"/>
    <mergeCell ref="H32:I32"/>
    <mergeCell ref="B29:J29"/>
    <mergeCell ref="D23:E23"/>
    <mergeCell ref="F23:G23"/>
    <mergeCell ref="D24:E24"/>
    <mergeCell ref="F24:G24"/>
    <mergeCell ref="D26:E26"/>
    <mergeCell ref="F26:G26"/>
    <mergeCell ref="D25:E25"/>
    <mergeCell ref="F25:G25"/>
    <mergeCell ref="C27:D27"/>
    <mergeCell ref="D22:E22"/>
    <mergeCell ref="F22:G22"/>
    <mergeCell ref="A1:K1"/>
    <mergeCell ref="B2:J2"/>
    <mergeCell ref="B3:J3"/>
    <mergeCell ref="B5:J5"/>
    <mergeCell ref="B11:J11"/>
    <mergeCell ref="B19:J19"/>
    <mergeCell ref="B20:B21"/>
    <mergeCell ref="C20:E20"/>
    <mergeCell ref="F20:J20"/>
    <mergeCell ref="D21:E21"/>
    <mergeCell ref="F21:G21"/>
  </mergeCells>
  <pageMargins left="0" right="0" top="0" bottom="0" header="0" footer="0"/>
  <pageSetup paperSize="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C00000"/>
  </sheetPr>
  <dimension ref="A1:R49"/>
  <sheetViews>
    <sheetView topLeftCell="A10" workbookViewId="0">
      <selection activeCell="R23" sqref="R23"/>
    </sheetView>
  </sheetViews>
  <sheetFormatPr defaultRowHeight="14.5"/>
  <cols>
    <col min="1" max="1" width="1.26953125" style="829" customWidth="1"/>
    <col min="3" max="3" width="12.7265625" customWidth="1"/>
    <col min="4" max="4" width="11.7265625" customWidth="1"/>
    <col min="6" max="6" width="8" customWidth="1"/>
    <col min="7" max="7" width="6.26953125" customWidth="1"/>
    <col min="8" max="8" width="8.7265625" customWidth="1"/>
    <col min="9" max="9" width="10.26953125" customWidth="1"/>
    <col min="10" max="10" width="10" customWidth="1"/>
    <col min="11" max="11" width="8.81640625" customWidth="1"/>
    <col min="12" max="12" width="5.26953125" customWidth="1"/>
    <col min="13" max="13" width="1.26953125" style="829" customWidth="1"/>
  </cols>
  <sheetData>
    <row r="1" spans="1:17" s="829" customFormat="1" ht="6.75" customHeight="1" thickTop="1" thickBot="1">
      <c r="A1" s="830"/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22"/>
    </row>
    <row r="2" spans="1:17" ht="15" thickTop="1">
      <c r="A2" s="831"/>
      <c r="B2" s="767"/>
      <c r="C2" s="768"/>
      <c r="D2" s="768"/>
      <c r="E2" s="768"/>
      <c r="F2" s="768"/>
      <c r="G2" s="768"/>
      <c r="H2" s="768"/>
      <c r="I2" s="768"/>
      <c r="J2" s="768"/>
      <c r="K2" s="768"/>
      <c r="L2" s="769"/>
      <c r="M2" s="823"/>
    </row>
    <row r="3" spans="1:17">
      <c r="A3" s="831"/>
      <c r="B3" s="770"/>
      <c r="C3" s="646"/>
      <c r="D3" s="646"/>
      <c r="E3" s="646"/>
      <c r="F3" s="646"/>
      <c r="G3" s="646"/>
      <c r="H3" s="646"/>
      <c r="I3" s="646"/>
      <c r="J3" s="646"/>
      <c r="K3" s="646"/>
      <c r="L3" s="771"/>
      <c r="M3" s="823"/>
    </row>
    <row r="4" spans="1:17">
      <c r="A4" s="831"/>
      <c r="B4" s="770"/>
      <c r="C4" s="646"/>
      <c r="D4" s="646"/>
      <c r="E4" s="646"/>
      <c r="F4" s="646"/>
      <c r="G4" s="646"/>
      <c r="H4" s="646"/>
      <c r="I4" s="646"/>
      <c r="J4" s="646"/>
      <c r="K4" s="646"/>
      <c r="L4" s="771"/>
      <c r="M4" s="823"/>
    </row>
    <row r="5" spans="1:17">
      <c r="A5" s="831"/>
      <c r="B5" s="770"/>
      <c r="C5" s="646"/>
      <c r="D5" s="646"/>
      <c r="E5" s="646"/>
      <c r="F5" s="646"/>
      <c r="G5" s="646"/>
      <c r="H5" s="646"/>
      <c r="I5" s="646"/>
      <c r="J5" s="646"/>
      <c r="K5" s="646"/>
      <c r="L5" s="771"/>
      <c r="M5" s="823"/>
    </row>
    <row r="6" spans="1:17">
      <c r="A6" s="831"/>
      <c r="B6" s="770"/>
      <c r="C6" s="646"/>
      <c r="D6" s="646"/>
      <c r="E6" s="646"/>
      <c r="F6" s="646"/>
      <c r="G6" s="646"/>
      <c r="H6" s="646"/>
      <c r="I6" s="646"/>
      <c r="J6" s="646"/>
      <c r="K6" s="646"/>
      <c r="L6" s="771"/>
      <c r="M6" s="823"/>
    </row>
    <row r="7" spans="1:17">
      <c r="A7" s="831"/>
      <c r="B7" s="770"/>
      <c r="C7" s="646"/>
      <c r="D7" s="646"/>
      <c r="E7" s="646"/>
      <c r="F7" s="646"/>
      <c r="G7" s="646"/>
      <c r="H7" s="646"/>
      <c r="I7" s="646"/>
      <c r="J7" s="646"/>
      <c r="K7" s="646"/>
      <c r="L7" s="771"/>
      <c r="M7" s="823"/>
    </row>
    <row r="8" spans="1:17" ht="15" thickBot="1">
      <c r="A8" s="831"/>
      <c r="B8" s="770"/>
      <c r="C8" s="646"/>
      <c r="D8" s="646"/>
      <c r="E8" s="646"/>
      <c r="F8" s="646"/>
      <c r="G8" s="646"/>
      <c r="H8" s="646"/>
      <c r="I8" s="646"/>
      <c r="J8" s="646"/>
      <c r="K8" s="646"/>
      <c r="L8" s="771"/>
      <c r="M8" s="823"/>
    </row>
    <row r="9" spans="1:17" s="3" customFormat="1" ht="16" thickTop="1" thickBot="1">
      <c r="A9" s="832"/>
      <c r="B9" s="772" t="s">
        <v>3472</v>
      </c>
      <c r="C9" s="738"/>
      <c r="D9" s="738"/>
      <c r="E9" s="739"/>
      <c r="F9" s="739" t="s">
        <v>3456</v>
      </c>
      <c r="G9" s="739"/>
      <c r="H9" s="739"/>
      <c r="I9" s="1177" t="s">
        <v>3457</v>
      </c>
      <c r="J9" s="1177"/>
      <c r="K9" s="1177"/>
      <c r="L9" s="1178"/>
      <c r="M9" s="824"/>
    </row>
    <row r="10" spans="1:17" ht="23" thickTop="1">
      <c r="A10" s="831"/>
      <c r="B10" s="1179" t="s">
        <v>3458</v>
      </c>
      <c r="C10" s="1180"/>
      <c r="D10" s="1180"/>
      <c r="E10" s="1180"/>
      <c r="F10" s="1180"/>
      <c r="G10" s="1180"/>
      <c r="H10" s="1180"/>
      <c r="I10" s="1180"/>
      <c r="J10" s="1180"/>
      <c r="K10" s="1180"/>
      <c r="L10" s="1181"/>
      <c r="M10" s="823"/>
    </row>
    <row r="11" spans="1:17" ht="20">
      <c r="A11" s="831"/>
      <c r="B11" s="1141" t="s">
        <v>578</v>
      </c>
      <c r="C11" s="1142"/>
      <c r="D11" s="1142"/>
      <c r="E11" s="1142"/>
      <c r="F11" s="1142"/>
      <c r="G11" s="1142"/>
      <c r="H11" s="1142"/>
      <c r="I11" s="1142"/>
      <c r="J11" s="1142"/>
      <c r="K11" s="1142"/>
      <c r="L11" s="1143"/>
      <c r="M11" s="823"/>
    </row>
    <row r="12" spans="1:17" s="642" customFormat="1" ht="18" customHeight="1">
      <c r="A12" s="833"/>
      <c r="B12" s="773" t="s">
        <v>3470</v>
      </c>
      <c r="C12" s="651"/>
      <c r="D12" s="1182">
        <f>VLOOKUP(K12,ASHOK,7,FALSE)</f>
        <v>1833</v>
      </c>
      <c r="E12" s="1182"/>
      <c r="F12" s="651" t="s">
        <v>3459</v>
      </c>
      <c r="G12" s="1182">
        <f>VLOOKUP(K12,ASHOK,6,FALSE)</f>
        <v>321378237</v>
      </c>
      <c r="H12" s="1182"/>
      <c r="I12" s="1182"/>
      <c r="J12" s="651" t="s">
        <v>3460</v>
      </c>
      <c r="K12" s="1182" t="s">
        <v>3195</v>
      </c>
      <c r="L12" s="1183"/>
      <c r="M12" s="825"/>
    </row>
    <row r="13" spans="1:17" s="642" customFormat="1" ht="18" customHeight="1">
      <c r="A13" s="833"/>
      <c r="B13" s="774" t="s">
        <v>3471</v>
      </c>
      <c r="C13" s="647"/>
      <c r="D13" s="648" t="s">
        <v>3461</v>
      </c>
      <c r="E13" s="1175" t="str">
        <f>VLOOKUP(K12,ASHOK,2,FALSE)</f>
        <v>ALSHIFA KHAN</v>
      </c>
      <c r="F13" s="1175"/>
      <c r="G13" s="1175"/>
      <c r="H13" s="647" t="s">
        <v>3462</v>
      </c>
      <c r="I13" s="647"/>
      <c r="J13" s="1175" t="str">
        <f>VLOOKUP(K12,ASHOK,3,FALSE)</f>
        <v>SHAHEED KHAN</v>
      </c>
      <c r="K13" s="1175"/>
      <c r="L13" s="1176"/>
      <c r="M13" s="825"/>
    </row>
    <row r="14" spans="1:17" s="642" customFormat="1" ht="18" customHeight="1">
      <c r="A14" s="833"/>
      <c r="B14" s="774" t="s">
        <v>3463</v>
      </c>
      <c r="C14" s="647"/>
      <c r="D14" s="648" t="s">
        <v>3461</v>
      </c>
      <c r="E14" s="1175" t="str">
        <f>VLOOKUP(K12,ASHOK,4,FALSE)</f>
        <v>SHAMA BEGAM MUSALMAN</v>
      </c>
      <c r="F14" s="1175"/>
      <c r="G14" s="1175"/>
      <c r="H14" s="1175" t="s">
        <v>3464</v>
      </c>
      <c r="I14" s="1175"/>
      <c r="J14" s="1175" t="str">
        <f>VLOOKUP(K12,ASHOK,5,FALSE)</f>
        <v>09-09-2021</v>
      </c>
      <c r="K14" s="1175"/>
      <c r="L14" s="1176"/>
      <c r="M14" s="825"/>
      <c r="Q14" s="642" t="s">
        <v>1676</v>
      </c>
    </row>
    <row r="15" spans="1:17" s="642" customFormat="1" ht="18" customHeight="1">
      <c r="A15" s="833"/>
      <c r="B15" s="775" t="s">
        <v>3465</v>
      </c>
      <c r="C15" s="804"/>
      <c r="D15" s="648" t="s">
        <v>3461</v>
      </c>
      <c r="E15" s="1175" t="s">
        <v>10</v>
      </c>
      <c r="F15" s="1175"/>
      <c r="G15" s="1175"/>
      <c r="H15" s="1175" t="s">
        <v>3473</v>
      </c>
      <c r="I15" s="1175"/>
      <c r="J15" s="1175" t="str">
        <f>VLOOKUP(K12,ASHOK,8,FALSE)</f>
        <v>LKG</v>
      </c>
      <c r="K15" s="1175"/>
      <c r="L15" s="1176"/>
      <c r="M15" s="825"/>
    </row>
    <row r="16" spans="1:17" ht="20.5" thickBot="1">
      <c r="A16" s="831"/>
      <c r="B16" s="1159" t="s">
        <v>504</v>
      </c>
      <c r="C16" s="1160"/>
      <c r="D16" s="1160"/>
      <c r="E16" s="1160"/>
      <c r="F16" s="1160"/>
      <c r="G16" s="1160"/>
      <c r="H16" s="1160"/>
      <c r="I16" s="1160"/>
      <c r="J16" s="1160"/>
      <c r="K16" s="1160"/>
      <c r="L16" s="1161"/>
      <c r="M16" s="823"/>
    </row>
    <row r="17" spans="1:18" ht="18.75" customHeight="1" thickBot="1">
      <c r="A17" s="831"/>
      <c r="B17" s="1170" t="s">
        <v>514</v>
      </c>
      <c r="C17" s="1171"/>
      <c r="D17" s="1172" t="s">
        <v>569</v>
      </c>
      <c r="E17" s="1172"/>
      <c r="F17" s="1172"/>
      <c r="G17" s="1172" t="s">
        <v>506</v>
      </c>
      <c r="H17" s="1172"/>
      <c r="I17" s="1172"/>
      <c r="J17" s="1172"/>
      <c r="K17" s="1172"/>
      <c r="L17" s="1173"/>
      <c r="M17" s="823"/>
    </row>
    <row r="18" spans="1:18" ht="18.75" customHeight="1" thickBot="1">
      <c r="A18" s="831"/>
      <c r="B18" s="1170"/>
      <c r="C18" s="1171"/>
      <c r="D18" s="1174" t="s">
        <v>3474</v>
      </c>
      <c r="E18" s="1174" t="s">
        <v>3475</v>
      </c>
      <c r="F18" s="1171"/>
      <c r="G18" s="1174" t="s">
        <v>3476</v>
      </c>
      <c r="H18" s="1171"/>
      <c r="I18" s="1129" t="s">
        <v>3481</v>
      </c>
      <c r="J18" s="1130"/>
      <c r="K18" s="1130"/>
      <c r="L18" s="1131"/>
      <c r="M18" s="823"/>
      <c r="R18" s="345"/>
    </row>
    <row r="19" spans="1:18" ht="18.75" customHeight="1" thickBot="1">
      <c r="A19" s="831"/>
      <c r="B19" s="1170"/>
      <c r="C19" s="1171"/>
      <c r="D19" s="1171"/>
      <c r="E19" s="1171"/>
      <c r="F19" s="1171"/>
      <c r="G19" s="1171"/>
      <c r="H19" s="1171"/>
      <c r="I19" s="1132"/>
      <c r="J19" s="1133"/>
      <c r="K19" s="1133"/>
      <c r="L19" s="1134"/>
      <c r="M19" s="823"/>
    </row>
    <row r="20" spans="1:18" ht="26.25" customHeight="1" thickBot="1">
      <c r="A20" s="831"/>
      <c r="B20" s="1168" t="s">
        <v>9</v>
      </c>
      <c r="C20" s="1169"/>
      <c r="D20" s="805">
        <v>60</v>
      </c>
      <c r="E20" s="1169">
        <f>VLOOKUP(K12,ASHOK,10,FALSE)</f>
        <v>54</v>
      </c>
      <c r="F20" s="1169"/>
      <c r="G20" s="1169">
        <v>100</v>
      </c>
      <c r="H20" s="1169"/>
      <c r="I20" s="1135">
        <f>VLOOKUP(K12,ASHOK,15,FALSE)</f>
        <v>81</v>
      </c>
      <c r="J20" s="1136"/>
      <c r="K20" s="1136"/>
      <c r="L20" s="1137"/>
      <c r="M20" s="823"/>
    </row>
    <row r="21" spans="1:18" ht="26.25" customHeight="1" thickBot="1">
      <c r="A21" s="831"/>
      <c r="B21" s="1168" t="s">
        <v>10</v>
      </c>
      <c r="C21" s="1169"/>
      <c r="D21" s="805">
        <v>60</v>
      </c>
      <c r="E21" s="1169">
        <f>VLOOKUP(K12,ASHOK,11,FALSE)</f>
        <v>60</v>
      </c>
      <c r="F21" s="1169"/>
      <c r="G21" s="1169">
        <v>100</v>
      </c>
      <c r="H21" s="1169"/>
      <c r="I21" s="1135">
        <f>VLOOKUP(K12,ASHOK,16,FALSE)</f>
        <v>84</v>
      </c>
      <c r="J21" s="1136"/>
      <c r="K21" s="1136"/>
      <c r="L21" s="1137"/>
      <c r="M21" s="823"/>
    </row>
    <row r="22" spans="1:18" ht="26.25" customHeight="1" thickBot="1">
      <c r="A22" s="831"/>
      <c r="B22" s="1168" t="s">
        <v>3251</v>
      </c>
      <c r="C22" s="1169"/>
      <c r="D22" s="805">
        <v>60</v>
      </c>
      <c r="E22" s="1169">
        <f>VLOOKUP(K12,ASHOK,12,FALSE)</f>
        <v>57</v>
      </c>
      <c r="F22" s="1169"/>
      <c r="G22" s="1169">
        <v>100</v>
      </c>
      <c r="H22" s="1169"/>
      <c r="I22" s="1135">
        <f>VLOOKUP(K12,ASHOK,17,FALSE)</f>
        <v>79</v>
      </c>
      <c r="J22" s="1136"/>
      <c r="K22" s="1136"/>
      <c r="L22" s="1137"/>
      <c r="M22" s="823"/>
    </row>
    <row r="23" spans="1:18" ht="26.25" customHeight="1" thickBot="1">
      <c r="A23" s="831"/>
      <c r="B23" s="1168" t="s">
        <v>3252</v>
      </c>
      <c r="C23" s="1169"/>
      <c r="D23" s="805">
        <v>60</v>
      </c>
      <c r="E23" s="1169">
        <f>VLOOKUP(K12,ASHOK,13,FALSE)</f>
        <v>50</v>
      </c>
      <c r="F23" s="1169"/>
      <c r="G23" s="1169">
        <v>100</v>
      </c>
      <c r="H23" s="1169"/>
      <c r="I23" s="1135">
        <f>VLOOKUP(K12,ASHOK,18,FALSE)</f>
        <v>82</v>
      </c>
      <c r="J23" s="1136"/>
      <c r="K23" s="1136"/>
      <c r="L23" s="1137"/>
      <c r="M23" s="823"/>
      <c r="R23" t="s">
        <v>1676</v>
      </c>
    </row>
    <row r="24" spans="1:18" s="819" customFormat="1" ht="26.25" customHeight="1" thickBot="1">
      <c r="A24" s="834"/>
      <c r="B24" s="1162" t="s">
        <v>513</v>
      </c>
      <c r="C24" s="1163"/>
      <c r="D24" s="818">
        <v>240</v>
      </c>
      <c r="E24" s="1163">
        <f>E20+E21+E22+E23</f>
        <v>221</v>
      </c>
      <c r="F24" s="1163"/>
      <c r="G24" s="1163">
        <v>400</v>
      </c>
      <c r="H24" s="1163"/>
      <c r="I24" s="1138">
        <f>I20+I21+I22+I23</f>
        <v>326</v>
      </c>
      <c r="J24" s="1139"/>
      <c r="K24" s="1139"/>
      <c r="L24" s="1140"/>
      <c r="M24" s="826"/>
    </row>
    <row r="25" spans="1:18" s="644" customFormat="1" ht="26.25" customHeight="1" thickBot="1">
      <c r="A25" s="835"/>
      <c r="B25" s="1164" t="s">
        <v>3469</v>
      </c>
      <c r="C25" s="1165"/>
      <c r="D25" s="1166">
        <f>E24/2.4</f>
        <v>92.083333333333343</v>
      </c>
      <c r="E25" s="1167"/>
      <c r="F25" s="731" t="s">
        <v>526</v>
      </c>
      <c r="G25" s="732"/>
      <c r="H25" s="733"/>
      <c r="I25" s="839">
        <f>I24/4</f>
        <v>81.5</v>
      </c>
      <c r="J25" s="734" t="s">
        <v>526</v>
      </c>
      <c r="K25" s="735"/>
      <c r="L25" s="776"/>
      <c r="M25" s="827"/>
    </row>
    <row r="26" spans="1:18" ht="7.15" customHeight="1">
      <c r="A26" s="831"/>
      <c r="B26" s="777"/>
      <c r="C26" s="649"/>
      <c r="D26" s="649"/>
      <c r="E26" s="1157"/>
      <c r="F26" s="1157"/>
      <c r="G26" s="649"/>
      <c r="H26" s="649"/>
      <c r="I26" s="649"/>
      <c r="J26" s="649"/>
      <c r="K26" s="1157"/>
      <c r="L26" s="1158"/>
      <c r="M26" s="823"/>
    </row>
    <row r="27" spans="1:18" ht="20.5" thickBot="1">
      <c r="A27" s="831"/>
      <c r="B27" s="1159" t="s">
        <v>539</v>
      </c>
      <c r="C27" s="1160"/>
      <c r="D27" s="1160"/>
      <c r="E27" s="1160"/>
      <c r="F27" s="1160"/>
      <c r="G27" s="1160"/>
      <c r="H27" s="1160"/>
      <c r="I27" s="1160"/>
      <c r="J27" s="1160"/>
      <c r="K27" s="1160"/>
      <c r="L27" s="1161"/>
      <c r="M27" s="823"/>
    </row>
    <row r="28" spans="1:18" s="642" customFormat="1" ht="22.5" customHeight="1" thickTop="1" thickBot="1">
      <c r="A28" s="833"/>
      <c r="B28" s="1152" t="s">
        <v>540</v>
      </c>
      <c r="C28" s="1153"/>
      <c r="D28" s="809" t="s">
        <v>550</v>
      </c>
      <c r="E28" s="1153" t="s">
        <v>576</v>
      </c>
      <c r="F28" s="1153"/>
      <c r="G28" s="1153"/>
      <c r="H28" s="809" t="s">
        <v>551</v>
      </c>
      <c r="I28" s="1153" t="s">
        <v>541</v>
      </c>
      <c r="J28" s="1153"/>
      <c r="K28" s="1154" t="s">
        <v>550</v>
      </c>
      <c r="L28" s="1155"/>
      <c r="M28" s="825"/>
    </row>
    <row r="29" spans="1:18" s="642" customFormat="1" ht="22.5" customHeight="1" thickTop="1" thickBot="1">
      <c r="A29" s="833"/>
      <c r="B29" s="1152" t="s">
        <v>542</v>
      </c>
      <c r="C29" s="1153"/>
      <c r="D29" s="809" t="s">
        <v>550</v>
      </c>
      <c r="E29" s="1153" t="s">
        <v>545</v>
      </c>
      <c r="F29" s="1153"/>
      <c r="G29" s="1153"/>
      <c r="H29" s="809" t="s">
        <v>550</v>
      </c>
      <c r="I29" s="1153" t="s">
        <v>544</v>
      </c>
      <c r="J29" s="1153"/>
      <c r="K29" s="1154" t="s">
        <v>551</v>
      </c>
      <c r="L29" s="1155"/>
      <c r="M29" s="825"/>
    </row>
    <row r="30" spans="1:18" s="642" customFormat="1" ht="22.5" customHeight="1" thickTop="1" thickBot="1">
      <c r="A30" s="833"/>
      <c r="B30" s="1152" t="s">
        <v>543</v>
      </c>
      <c r="C30" s="1153"/>
      <c r="D30" s="809" t="s">
        <v>551</v>
      </c>
      <c r="E30" s="1156" t="s">
        <v>546</v>
      </c>
      <c r="F30" s="1156"/>
      <c r="G30" s="1156"/>
      <c r="H30" s="809" t="s">
        <v>551</v>
      </c>
      <c r="I30" s="1153" t="s">
        <v>547</v>
      </c>
      <c r="J30" s="1153"/>
      <c r="K30" s="1154" t="s">
        <v>550</v>
      </c>
      <c r="L30" s="1155"/>
      <c r="M30" s="825"/>
    </row>
    <row r="31" spans="1:18" ht="7.15" customHeight="1" thickTop="1">
      <c r="A31" s="831"/>
      <c r="B31" s="777"/>
      <c r="C31" s="649"/>
      <c r="D31" s="649"/>
      <c r="E31" s="649"/>
      <c r="F31" s="649"/>
      <c r="G31" s="649"/>
      <c r="H31" s="649"/>
      <c r="I31" s="649"/>
      <c r="J31" s="649"/>
      <c r="K31" s="649"/>
      <c r="L31" s="778"/>
      <c r="M31" s="823"/>
    </row>
    <row r="32" spans="1:18" ht="20.5" thickBot="1">
      <c r="A32" s="831"/>
      <c r="B32" s="1141" t="s">
        <v>549</v>
      </c>
      <c r="C32" s="1142"/>
      <c r="D32" s="1142"/>
      <c r="E32" s="1142"/>
      <c r="F32" s="1142"/>
      <c r="G32" s="1142"/>
      <c r="H32" s="1142"/>
      <c r="I32" s="1142"/>
      <c r="J32" s="1142"/>
      <c r="K32" s="1142"/>
      <c r="L32" s="1143"/>
      <c r="M32" s="823"/>
    </row>
    <row r="33" spans="1:13" ht="24.75" customHeight="1" thickTop="1" thickBot="1">
      <c r="A33" s="831"/>
      <c r="B33" s="1144" t="s">
        <v>527</v>
      </c>
      <c r="C33" s="1145"/>
      <c r="D33" s="807" t="s">
        <v>550</v>
      </c>
      <c r="E33" s="807" t="s">
        <v>551</v>
      </c>
      <c r="F33" s="807" t="s">
        <v>552</v>
      </c>
      <c r="G33" s="807" t="s">
        <v>553</v>
      </c>
      <c r="H33" s="807" t="s">
        <v>554</v>
      </c>
      <c r="I33" s="807" t="s">
        <v>555</v>
      </c>
      <c r="J33" s="807" t="s">
        <v>556</v>
      </c>
      <c r="K33" s="1145" t="s">
        <v>557</v>
      </c>
      <c r="L33" s="1146"/>
      <c r="M33" s="823"/>
    </row>
    <row r="34" spans="1:13" ht="24.75" customHeight="1" thickTop="1" thickBot="1">
      <c r="A34" s="831"/>
      <c r="B34" s="1147" t="s">
        <v>558</v>
      </c>
      <c r="C34" s="1148"/>
      <c r="D34" s="736" t="s">
        <v>582</v>
      </c>
      <c r="E34" s="808" t="s">
        <v>559</v>
      </c>
      <c r="F34" s="808" t="s">
        <v>560</v>
      </c>
      <c r="G34" s="808" t="s">
        <v>561</v>
      </c>
      <c r="H34" s="808" t="s">
        <v>562</v>
      </c>
      <c r="I34" s="808" t="s">
        <v>563</v>
      </c>
      <c r="J34" s="808" t="s">
        <v>564</v>
      </c>
      <c r="K34" s="1148" t="s">
        <v>581</v>
      </c>
      <c r="L34" s="1149"/>
      <c r="M34" s="823"/>
    </row>
    <row r="35" spans="1:13" ht="16" thickTop="1">
      <c r="A35" s="831"/>
      <c r="B35" s="1150" t="s">
        <v>566</v>
      </c>
      <c r="C35" s="1151"/>
      <c r="D35" s="820" t="str">
        <f>IF(I25&gt;=60,"PASS IN FIRST DIVISION",IF(I25&gt;=45,"PASS IN SECOND DIVISION",IF(I25&gt;=30,"PASS IN THIRD DIVISION")))</f>
        <v>PASS IN FIRST DIVISION</v>
      </c>
      <c r="E35" s="737"/>
      <c r="F35" s="737"/>
      <c r="G35" s="650"/>
      <c r="H35" s="650"/>
      <c r="I35" s="650"/>
      <c r="J35" s="650"/>
      <c r="K35" s="650"/>
      <c r="L35" s="779"/>
      <c r="M35" s="823"/>
    </row>
    <row r="36" spans="1:13" ht="15.5">
      <c r="A36" s="831"/>
      <c r="B36" s="1124" t="s">
        <v>1676</v>
      </c>
      <c r="C36" s="1125"/>
      <c r="D36" s="650"/>
      <c r="E36" s="650"/>
      <c r="F36" s="650"/>
      <c r="G36" s="650"/>
      <c r="H36" s="650"/>
      <c r="I36" s="650"/>
      <c r="J36" s="650"/>
      <c r="K36" s="650"/>
      <c r="L36" s="779"/>
      <c r="M36" s="823"/>
    </row>
    <row r="37" spans="1:13" ht="15.5">
      <c r="A37" s="831"/>
      <c r="B37" s="810"/>
      <c r="C37" s="811"/>
      <c r="D37" s="650"/>
      <c r="E37" s="650"/>
      <c r="F37" s="650"/>
      <c r="G37" s="650"/>
      <c r="H37" s="650"/>
      <c r="I37" s="650"/>
      <c r="J37" s="650"/>
      <c r="K37" s="650"/>
      <c r="L37" s="779"/>
      <c r="M37" s="823"/>
    </row>
    <row r="38" spans="1:13" ht="20.25" customHeight="1">
      <c r="A38" s="831"/>
      <c r="B38" s="810"/>
      <c r="C38" s="811"/>
      <c r="D38" s="650"/>
      <c r="E38" s="650"/>
      <c r="F38" s="650"/>
      <c r="G38" s="650"/>
      <c r="H38" s="650"/>
      <c r="I38" s="650"/>
      <c r="J38" s="650"/>
      <c r="K38" s="650"/>
      <c r="L38" s="779"/>
      <c r="M38" s="823"/>
    </row>
    <row r="39" spans="1:13" ht="17.25" customHeight="1">
      <c r="A39" s="831"/>
      <c r="B39" s="810"/>
      <c r="C39" s="811"/>
      <c r="D39" s="650"/>
      <c r="E39" s="650"/>
      <c r="F39" s="650"/>
      <c r="G39" s="650"/>
      <c r="H39" s="650"/>
      <c r="I39" s="650"/>
      <c r="J39" s="650"/>
      <c r="K39" s="650"/>
      <c r="L39" s="779"/>
      <c r="M39" s="823"/>
    </row>
    <row r="40" spans="1:13" ht="15.5">
      <c r="A40" s="831"/>
      <c r="B40" s="810"/>
      <c r="C40" s="811"/>
      <c r="D40" s="650"/>
      <c r="E40" s="650"/>
      <c r="F40" s="650"/>
      <c r="G40" s="650"/>
      <c r="H40" s="650"/>
      <c r="I40" s="650"/>
      <c r="J40" s="650"/>
      <c r="K40" s="650"/>
      <c r="L40" s="779"/>
      <c r="M40" s="823"/>
    </row>
    <row r="41" spans="1:13" ht="10.5" customHeight="1">
      <c r="A41" s="831"/>
      <c r="B41" s="810"/>
      <c r="C41" s="811"/>
      <c r="D41" s="650"/>
      <c r="E41" s="650"/>
      <c r="F41" s="650"/>
      <c r="G41" s="650"/>
      <c r="H41" s="650"/>
      <c r="I41" s="650"/>
      <c r="J41" s="650"/>
      <c r="K41" s="650"/>
      <c r="L41" s="779"/>
      <c r="M41" s="823"/>
    </row>
    <row r="42" spans="1:13">
      <c r="A42" s="831"/>
      <c r="B42" s="777"/>
      <c r="C42" s="649"/>
      <c r="D42" s="649"/>
      <c r="E42" s="649"/>
      <c r="F42" s="649"/>
      <c r="G42" s="649"/>
      <c r="H42" s="649"/>
      <c r="I42" s="649"/>
      <c r="J42" s="649"/>
      <c r="K42" s="649"/>
      <c r="L42" s="778"/>
      <c r="M42" s="823"/>
    </row>
    <row r="43" spans="1:13" ht="3" customHeight="1">
      <c r="A43" s="831"/>
      <c r="B43" s="777"/>
      <c r="C43" s="649"/>
      <c r="D43" s="649"/>
      <c r="E43" s="649"/>
      <c r="F43" s="649"/>
      <c r="G43" s="649"/>
      <c r="H43" s="649"/>
      <c r="I43" s="649"/>
      <c r="J43" s="649"/>
      <c r="K43" s="649"/>
      <c r="L43" s="778"/>
      <c r="M43" s="823"/>
    </row>
    <row r="44" spans="1:13" ht="16.5" customHeight="1">
      <c r="A44" s="831"/>
      <c r="B44" s="777"/>
      <c r="C44" s="649"/>
      <c r="D44" s="649"/>
      <c r="E44" s="649"/>
      <c r="F44" s="649"/>
      <c r="G44" s="649"/>
      <c r="H44" s="649"/>
      <c r="I44" s="649"/>
      <c r="J44" s="649"/>
      <c r="K44" s="649"/>
      <c r="L44" s="778"/>
      <c r="M44" s="823"/>
    </row>
    <row r="45" spans="1:13" ht="15">
      <c r="A45" s="831"/>
      <c r="B45" s="777"/>
      <c r="C45" s="821" t="s">
        <v>2891</v>
      </c>
      <c r="D45" s="1126"/>
      <c r="E45" s="1126"/>
      <c r="F45" s="649"/>
      <c r="G45" s="649"/>
      <c r="H45" s="649"/>
      <c r="I45" s="1127" t="s">
        <v>3467</v>
      </c>
      <c r="J45" s="1127"/>
      <c r="K45" s="1127"/>
      <c r="L45" s="778"/>
      <c r="M45" s="823"/>
    </row>
    <row r="46" spans="1:13" ht="22.15" customHeight="1">
      <c r="A46" s="831"/>
      <c r="B46" s="777"/>
      <c r="C46" s="806">
        <v>46114</v>
      </c>
      <c r="D46" s="649"/>
      <c r="E46" s="649"/>
      <c r="F46" s="649"/>
      <c r="G46" s="649"/>
      <c r="H46" s="649"/>
      <c r="I46" s="1128" t="s">
        <v>3468</v>
      </c>
      <c r="J46" s="1128"/>
      <c r="K46" s="1128"/>
      <c r="L46" s="778"/>
      <c r="M46" s="823"/>
    </row>
    <row r="47" spans="1:13" ht="15" thickBot="1">
      <c r="A47" s="831"/>
      <c r="B47" s="781"/>
      <c r="C47" s="782"/>
      <c r="D47" s="782"/>
      <c r="E47" s="782"/>
      <c r="F47" s="782"/>
      <c r="G47" s="782"/>
      <c r="H47" s="782"/>
      <c r="I47" s="782"/>
      <c r="J47" s="782"/>
      <c r="K47" s="782"/>
      <c r="L47" s="783"/>
      <c r="M47" s="823"/>
    </row>
    <row r="48" spans="1:13" s="829" customFormat="1" ht="6.75" customHeight="1" thickTop="1" thickBot="1">
      <c r="A48" s="836"/>
      <c r="B48" s="837"/>
      <c r="C48" s="837"/>
      <c r="D48" s="837"/>
      <c r="E48" s="837"/>
      <c r="F48" s="837"/>
      <c r="G48" s="837"/>
      <c r="H48" s="837"/>
      <c r="I48" s="837"/>
      <c r="J48" s="837"/>
      <c r="K48" s="837"/>
      <c r="L48" s="837"/>
      <c r="M48" s="828"/>
    </row>
    <row r="49" ht="15" thickTop="1"/>
  </sheetData>
  <mergeCells count="69">
    <mergeCell ref="E15:G15"/>
    <mergeCell ref="H15:I15"/>
    <mergeCell ref="J15:L15"/>
    <mergeCell ref="I9:L9"/>
    <mergeCell ref="B10:L10"/>
    <mergeCell ref="B11:L11"/>
    <mergeCell ref="D12:E12"/>
    <mergeCell ref="G12:I12"/>
    <mergeCell ref="K12:L12"/>
    <mergeCell ref="E13:G13"/>
    <mergeCell ref="J13:L13"/>
    <mergeCell ref="E14:G14"/>
    <mergeCell ref="H14:I14"/>
    <mergeCell ref="J14:L14"/>
    <mergeCell ref="B16:L16"/>
    <mergeCell ref="B17:C19"/>
    <mergeCell ref="D17:F17"/>
    <mergeCell ref="G17:L17"/>
    <mergeCell ref="D18:D19"/>
    <mergeCell ref="E18:F19"/>
    <mergeCell ref="G18:H19"/>
    <mergeCell ref="B20:C20"/>
    <mergeCell ref="E20:F20"/>
    <mergeCell ref="G20:H20"/>
    <mergeCell ref="B21:C21"/>
    <mergeCell ref="E21:F21"/>
    <mergeCell ref="G21:H21"/>
    <mergeCell ref="B22:C22"/>
    <mergeCell ref="E22:F22"/>
    <mergeCell ref="G22:H22"/>
    <mergeCell ref="B23:C23"/>
    <mergeCell ref="E23:F23"/>
    <mergeCell ref="G23:H23"/>
    <mergeCell ref="B24:C24"/>
    <mergeCell ref="E24:F24"/>
    <mergeCell ref="G24:H24"/>
    <mergeCell ref="B25:C25"/>
    <mergeCell ref="D25:E25"/>
    <mergeCell ref="E26:F26"/>
    <mergeCell ref="K26:L26"/>
    <mergeCell ref="B27:L27"/>
    <mergeCell ref="B28:C28"/>
    <mergeCell ref="E28:G28"/>
    <mergeCell ref="I28:J28"/>
    <mergeCell ref="K28:L28"/>
    <mergeCell ref="B29:C29"/>
    <mergeCell ref="E29:G29"/>
    <mergeCell ref="I29:J29"/>
    <mergeCell ref="K29:L29"/>
    <mergeCell ref="B30:C30"/>
    <mergeCell ref="E30:G30"/>
    <mergeCell ref="I30:J30"/>
    <mergeCell ref="K30:L30"/>
    <mergeCell ref="B36:C36"/>
    <mergeCell ref="D45:E45"/>
    <mergeCell ref="I45:K45"/>
    <mergeCell ref="I46:K46"/>
    <mergeCell ref="I18:L19"/>
    <mergeCell ref="I20:L20"/>
    <mergeCell ref="I21:L21"/>
    <mergeCell ref="I22:L22"/>
    <mergeCell ref="I23:L23"/>
    <mergeCell ref="I24:L24"/>
    <mergeCell ref="B32:L32"/>
    <mergeCell ref="B33:C33"/>
    <mergeCell ref="K33:L33"/>
    <mergeCell ref="B34:C34"/>
    <mergeCell ref="K34:L34"/>
    <mergeCell ref="B35:C35"/>
  </mergeCells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70C0"/>
  </sheetPr>
  <dimension ref="A1:R48"/>
  <sheetViews>
    <sheetView topLeftCell="A22" workbookViewId="0">
      <selection activeCell="X41" sqref="X41"/>
    </sheetView>
  </sheetViews>
  <sheetFormatPr defaultRowHeight="14.5"/>
  <cols>
    <col min="1" max="1" width="1.26953125" style="227" customWidth="1"/>
    <col min="3" max="3" width="12.7265625" customWidth="1"/>
    <col min="4" max="4" width="11.7265625" customWidth="1"/>
    <col min="6" max="6" width="8" customWidth="1"/>
    <col min="7" max="7" width="6.26953125" customWidth="1"/>
    <col min="8" max="8" width="8.7265625" customWidth="1"/>
    <col min="9" max="9" width="10.26953125" customWidth="1"/>
    <col min="10" max="10" width="10" customWidth="1"/>
    <col min="11" max="11" width="8.81640625" customWidth="1"/>
    <col min="12" max="12" width="5.26953125" customWidth="1"/>
    <col min="13" max="13" width="1.26953125" style="227" customWidth="1"/>
  </cols>
  <sheetData>
    <row r="1" spans="1:17" s="227" customFormat="1" ht="6.75" customHeight="1" thickTop="1" thickBot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</row>
    <row r="2" spans="1:17" ht="15" thickTop="1">
      <c r="A2" s="752"/>
      <c r="B2" s="767"/>
      <c r="C2" s="768"/>
      <c r="D2" s="768"/>
      <c r="E2" s="768"/>
      <c r="F2" s="768"/>
      <c r="G2" s="768"/>
      <c r="H2" s="768"/>
      <c r="I2" s="768"/>
      <c r="J2" s="768"/>
      <c r="K2" s="768"/>
      <c r="L2" s="769"/>
      <c r="M2" s="753"/>
    </row>
    <row r="3" spans="1:17">
      <c r="A3" s="752"/>
      <c r="B3" s="770"/>
      <c r="C3" s="646"/>
      <c r="D3" s="646"/>
      <c r="E3" s="646"/>
      <c r="F3" s="646"/>
      <c r="G3" s="646"/>
      <c r="H3" s="646"/>
      <c r="I3" s="646"/>
      <c r="J3" s="646"/>
      <c r="K3" s="646"/>
      <c r="L3" s="771"/>
      <c r="M3" s="753"/>
    </row>
    <row r="4" spans="1:17">
      <c r="A4" s="752"/>
      <c r="B4" s="770"/>
      <c r="C4" s="646"/>
      <c r="D4" s="646"/>
      <c r="E4" s="646"/>
      <c r="F4" s="646"/>
      <c r="G4" s="646"/>
      <c r="H4" s="646"/>
      <c r="I4" s="646"/>
      <c r="J4" s="646"/>
      <c r="K4" s="646"/>
      <c r="L4" s="771"/>
      <c r="M4" s="753"/>
    </row>
    <row r="5" spans="1:17">
      <c r="A5" s="752"/>
      <c r="B5" s="770"/>
      <c r="C5" s="646"/>
      <c r="D5" s="646"/>
      <c r="E5" s="646"/>
      <c r="F5" s="646"/>
      <c r="G5" s="646"/>
      <c r="H5" s="646"/>
      <c r="I5" s="646"/>
      <c r="J5" s="646"/>
      <c r="K5" s="646"/>
      <c r="L5" s="771"/>
      <c r="M5" s="753"/>
    </row>
    <row r="6" spans="1:17">
      <c r="A6" s="752"/>
      <c r="B6" s="770"/>
      <c r="C6" s="646"/>
      <c r="D6" s="646"/>
      <c r="E6" s="646"/>
      <c r="F6" s="646"/>
      <c r="G6" s="646"/>
      <c r="H6" s="646"/>
      <c r="I6" s="646"/>
      <c r="J6" s="646"/>
      <c r="K6" s="646"/>
      <c r="L6" s="771"/>
      <c r="M6" s="753"/>
    </row>
    <row r="7" spans="1:17">
      <c r="A7" s="752"/>
      <c r="B7" s="770"/>
      <c r="C7" s="646"/>
      <c r="D7" s="646"/>
      <c r="E7" s="646"/>
      <c r="F7" s="646"/>
      <c r="G7" s="646"/>
      <c r="H7" s="646"/>
      <c r="I7" s="646"/>
      <c r="J7" s="646"/>
      <c r="K7" s="646"/>
      <c r="L7" s="771"/>
      <c r="M7" s="753"/>
    </row>
    <row r="8" spans="1:17" ht="15" thickBot="1">
      <c r="A8" s="752"/>
      <c r="B8" s="770"/>
      <c r="C8" s="646"/>
      <c r="D8" s="646"/>
      <c r="E8" s="646"/>
      <c r="F8" s="646"/>
      <c r="G8" s="646"/>
      <c r="H8" s="646"/>
      <c r="I8" s="646"/>
      <c r="J8" s="646"/>
      <c r="K8" s="646"/>
      <c r="L8" s="771"/>
      <c r="M8" s="753"/>
    </row>
    <row r="9" spans="1:17" s="3" customFormat="1" ht="16" thickTop="1" thickBot="1">
      <c r="A9" s="754"/>
      <c r="B9" s="772" t="s">
        <v>3472</v>
      </c>
      <c r="C9" s="738"/>
      <c r="D9" s="738"/>
      <c r="E9" s="739"/>
      <c r="F9" s="739" t="s">
        <v>3456</v>
      </c>
      <c r="G9" s="739"/>
      <c r="H9" s="739"/>
      <c r="I9" s="1177" t="s">
        <v>3457</v>
      </c>
      <c r="J9" s="1177"/>
      <c r="K9" s="1177"/>
      <c r="L9" s="1178"/>
      <c r="M9" s="755"/>
    </row>
    <row r="10" spans="1:17" ht="23" thickTop="1">
      <c r="A10" s="752"/>
      <c r="B10" s="1179" t="s">
        <v>3458</v>
      </c>
      <c r="C10" s="1180"/>
      <c r="D10" s="1180"/>
      <c r="E10" s="1180"/>
      <c r="F10" s="1180"/>
      <c r="G10" s="1180"/>
      <c r="H10" s="1180"/>
      <c r="I10" s="1180"/>
      <c r="J10" s="1180"/>
      <c r="K10" s="1180"/>
      <c r="L10" s="1181"/>
      <c r="M10" s="753"/>
    </row>
    <row r="11" spans="1:17" ht="20">
      <c r="A11" s="752"/>
      <c r="B11" s="1184" t="s">
        <v>578</v>
      </c>
      <c r="C11" s="1185"/>
      <c r="D11" s="1185"/>
      <c r="E11" s="1185"/>
      <c r="F11" s="1185"/>
      <c r="G11" s="1185"/>
      <c r="H11" s="1185"/>
      <c r="I11" s="1185"/>
      <c r="J11" s="1185"/>
      <c r="K11" s="1185"/>
      <c r="L11" s="1186"/>
      <c r="M11" s="753"/>
    </row>
    <row r="12" spans="1:17" s="642" customFormat="1" ht="18" customHeight="1">
      <c r="A12" s="756"/>
      <c r="B12" s="773" t="s">
        <v>3470</v>
      </c>
      <c r="C12" s="651"/>
      <c r="D12" s="1182" t="e">
        <f>VLOOKUP(K12,ram,7,FALSE)</f>
        <v>#N/A</v>
      </c>
      <c r="E12" s="1182"/>
      <c r="F12" s="651" t="s">
        <v>3459</v>
      </c>
      <c r="G12" s="1182" t="e">
        <f>VLOOKUP(K12,ram,6,FALSE)</f>
        <v>#N/A</v>
      </c>
      <c r="H12" s="1182"/>
      <c r="I12" s="1182"/>
      <c r="J12" s="651" t="s">
        <v>3460</v>
      </c>
      <c r="K12" s="1182">
        <v>460</v>
      </c>
      <c r="L12" s="1183"/>
      <c r="M12" s="757"/>
    </row>
    <row r="13" spans="1:17" s="642" customFormat="1" ht="18" customHeight="1">
      <c r="A13" s="756"/>
      <c r="B13" s="774" t="s">
        <v>3471</v>
      </c>
      <c r="C13" s="647"/>
      <c r="D13" s="648" t="s">
        <v>3461</v>
      </c>
      <c r="E13" s="1175" t="e">
        <f>VLOOKUP(K12,ram,2,FALSE)</f>
        <v>#N/A</v>
      </c>
      <c r="F13" s="1175"/>
      <c r="G13" s="1175"/>
      <c r="H13" s="647" t="s">
        <v>3462</v>
      </c>
      <c r="I13" s="647"/>
      <c r="J13" s="1175" t="e">
        <f>VLOOKUP(K12,ram,3,FALSE)</f>
        <v>#N/A</v>
      </c>
      <c r="K13" s="1175"/>
      <c r="L13" s="1176"/>
      <c r="M13" s="757"/>
    </row>
    <row r="14" spans="1:17" s="642" customFormat="1" ht="18" customHeight="1">
      <c r="A14" s="756"/>
      <c r="B14" s="774" t="s">
        <v>3463</v>
      </c>
      <c r="C14" s="647"/>
      <c r="D14" s="648" t="s">
        <v>3461</v>
      </c>
      <c r="E14" s="1175" t="e">
        <f>VLOOKUP(K12,ram,4,FALSE)</f>
        <v>#N/A</v>
      </c>
      <c r="F14" s="1175"/>
      <c r="G14" s="1175"/>
      <c r="H14" s="1175" t="s">
        <v>3464</v>
      </c>
      <c r="I14" s="1175"/>
      <c r="J14" s="1175" t="e">
        <f>VLOOKUP(K12,ram,5,FALSE)</f>
        <v>#N/A</v>
      </c>
      <c r="K14" s="1175"/>
      <c r="L14" s="1176"/>
      <c r="M14" s="757"/>
      <c r="Q14" s="642" t="s">
        <v>1676</v>
      </c>
    </row>
    <row r="15" spans="1:17" s="642" customFormat="1" ht="18" customHeight="1">
      <c r="A15" s="756"/>
      <c r="B15" s="775" t="s">
        <v>3465</v>
      </c>
      <c r="C15" s="848"/>
      <c r="D15" s="648" t="s">
        <v>3461</v>
      </c>
      <c r="E15" s="1175" t="s">
        <v>10</v>
      </c>
      <c r="F15" s="1175"/>
      <c r="G15" s="1175"/>
      <c r="H15" s="1175" t="s">
        <v>3473</v>
      </c>
      <c r="I15" s="1175"/>
      <c r="J15" s="1175" t="e">
        <f>VLOOKUP(K12,ram,8,FALSE)</f>
        <v>#N/A</v>
      </c>
      <c r="K15" s="1175"/>
      <c r="L15" s="1176"/>
      <c r="M15" s="757"/>
    </row>
    <row r="16" spans="1:17" ht="20.5" thickBot="1">
      <c r="A16" s="752"/>
      <c r="B16" s="1189" t="s">
        <v>504</v>
      </c>
      <c r="C16" s="1190"/>
      <c r="D16" s="1190"/>
      <c r="E16" s="1190"/>
      <c r="F16" s="1190"/>
      <c r="G16" s="1190"/>
      <c r="H16" s="1190"/>
      <c r="I16" s="1190"/>
      <c r="J16" s="1190"/>
      <c r="K16" s="1190"/>
      <c r="L16" s="1191"/>
      <c r="M16" s="753"/>
    </row>
    <row r="17" spans="1:18" ht="18.75" customHeight="1" thickBot="1">
      <c r="A17" s="752"/>
      <c r="B17" s="1170" t="s">
        <v>514</v>
      </c>
      <c r="C17" s="1171"/>
      <c r="D17" s="1202" t="s">
        <v>569</v>
      </c>
      <c r="E17" s="1202"/>
      <c r="F17" s="1202"/>
      <c r="G17" s="1202" t="s">
        <v>506</v>
      </c>
      <c r="H17" s="1202"/>
      <c r="I17" s="1202"/>
      <c r="J17" s="1202"/>
      <c r="K17" s="1202"/>
      <c r="L17" s="1203"/>
      <c r="M17" s="753"/>
    </row>
    <row r="18" spans="1:18" ht="18.75" customHeight="1" thickBot="1">
      <c r="A18" s="752"/>
      <c r="B18" s="1170"/>
      <c r="C18" s="1171"/>
      <c r="D18" s="1174" t="s">
        <v>3474</v>
      </c>
      <c r="E18" s="1174" t="s">
        <v>3475</v>
      </c>
      <c r="F18" s="1171"/>
      <c r="G18" s="1174" t="s">
        <v>3476</v>
      </c>
      <c r="H18" s="1171"/>
      <c r="I18" s="1174" t="s">
        <v>3477</v>
      </c>
      <c r="J18" s="1204" t="s">
        <v>3478</v>
      </c>
      <c r="K18" s="1171" t="s">
        <v>513</v>
      </c>
      <c r="L18" s="1205"/>
      <c r="M18" s="753"/>
    </row>
    <row r="19" spans="1:18" ht="18.75" customHeight="1" thickBot="1">
      <c r="A19" s="752"/>
      <c r="B19" s="1170"/>
      <c r="C19" s="1171"/>
      <c r="D19" s="1171"/>
      <c r="E19" s="1171"/>
      <c r="F19" s="1171"/>
      <c r="G19" s="1171"/>
      <c r="H19" s="1171"/>
      <c r="I19" s="1171"/>
      <c r="J19" s="1171"/>
      <c r="K19" s="1171"/>
      <c r="L19" s="1205"/>
      <c r="M19" s="753"/>
    </row>
    <row r="20" spans="1:18" ht="26.25" customHeight="1" thickBot="1">
      <c r="A20" s="752"/>
      <c r="B20" s="1168" t="s">
        <v>9</v>
      </c>
      <c r="C20" s="1169"/>
      <c r="D20" s="847">
        <v>60</v>
      </c>
      <c r="E20" s="1169" t="e">
        <f>VLOOKUP(K12,ram,10,FALSE)</f>
        <v>#N/A</v>
      </c>
      <c r="F20" s="1169"/>
      <c r="G20" s="1169">
        <v>100</v>
      </c>
      <c r="H20" s="1169"/>
      <c r="I20" s="847" t="e">
        <f>VLOOKUP(K12,ram,16,FALSE)</f>
        <v>#N/A</v>
      </c>
      <c r="J20" s="847" t="e">
        <f>VLOOKUP(K12,ram,17,FALSE)</f>
        <v>#N/A</v>
      </c>
      <c r="K20" s="1200" t="e">
        <f>I20+J20</f>
        <v>#N/A</v>
      </c>
      <c r="L20" s="1201"/>
      <c r="M20" s="753"/>
    </row>
    <row r="21" spans="1:18" ht="26.25" customHeight="1" thickBot="1">
      <c r="A21" s="752"/>
      <c r="B21" s="1168" t="s">
        <v>10</v>
      </c>
      <c r="C21" s="1169"/>
      <c r="D21" s="847">
        <v>60</v>
      </c>
      <c r="E21" s="1169" t="e">
        <f>VLOOKUP(K12,ram,11,FALSE)</f>
        <v>#N/A</v>
      </c>
      <c r="F21" s="1169"/>
      <c r="G21" s="1169">
        <v>100</v>
      </c>
      <c r="H21" s="1169"/>
      <c r="I21" s="847" t="e">
        <f>VLOOKUP(K12,ram,18,FALSE)</f>
        <v>#N/A</v>
      </c>
      <c r="J21" s="847" t="e">
        <f>VLOOKUP(K12,ram,19,FALSE)</f>
        <v>#N/A</v>
      </c>
      <c r="K21" s="1200" t="e">
        <f t="shared" ref="K21:K24" si="0">I21+J21</f>
        <v>#N/A</v>
      </c>
      <c r="L21" s="1201"/>
      <c r="M21" s="753"/>
    </row>
    <row r="22" spans="1:18" ht="26.25" customHeight="1" thickBot="1">
      <c r="A22" s="752"/>
      <c r="B22" s="1168" t="s">
        <v>3251</v>
      </c>
      <c r="C22" s="1169"/>
      <c r="D22" s="847">
        <v>60</v>
      </c>
      <c r="E22" s="1169" t="e">
        <f>VLOOKUP(K12,ram,12,FALSE)</f>
        <v>#N/A</v>
      </c>
      <c r="F22" s="1169"/>
      <c r="G22" s="1169">
        <v>100</v>
      </c>
      <c r="H22" s="1169"/>
      <c r="I22" s="847" t="e">
        <f>VLOOKUP(K12,ram,20,FALSE)</f>
        <v>#N/A</v>
      </c>
      <c r="J22" s="847" t="e">
        <f>VLOOKUP(K12,ram,21,FALSE)</f>
        <v>#N/A</v>
      </c>
      <c r="K22" s="1200" t="e">
        <f t="shared" si="0"/>
        <v>#N/A</v>
      </c>
      <c r="L22" s="1201"/>
      <c r="M22" s="753"/>
    </row>
    <row r="23" spans="1:18" ht="26.25" customHeight="1" thickBot="1">
      <c r="A23" s="752"/>
      <c r="B23" s="1168" t="s">
        <v>624</v>
      </c>
      <c r="C23" s="1169"/>
      <c r="D23" s="847">
        <v>60</v>
      </c>
      <c r="E23" s="1169" t="e">
        <f>VLOOKUP(K12,ram,13,FALSE)</f>
        <v>#N/A</v>
      </c>
      <c r="F23" s="1169"/>
      <c r="G23" s="1169">
        <v>100</v>
      </c>
      <c r="H23" s="1169"/>
      <c r="I23" s="847" t="e">
        <f>VLOOKUP(K12,ram,22,FALSE)</f>
        <v>#N/A</v>
      </c>
      <c r="J23" s="847" t="e">
        <f>VLOOKUP(K12,ram,23,FALSE)</f>
        <v>#N/A</v>
      </c>
      <c r="K23" s="1200" t="e">
        <f t="shared" si="0"/>
        <v>#N/A</v>
      </c>
      <c r="L23" s="1201"/>
      <c r="M23" s="753"/>
      <c r="R23" t="s">
        <v>1676</v>
      </c>
    </row>
    <row r="24" spans="1:18" s="641" customFormat="1" ht="26.25" customHeight="1" thickBot="1">
      <c r="A24" s="758"/>
      <c r="B24" s="1198" t="s">
        <v>3253</v>
      </c>
      <c r="C24" s="1199"/>
      <c r="D24" s="849">
        <v>60</v>
      </c>
      <c r="E24" s="1199" t="e">
        <f>VLOOKUP(K12,ram,14,FALSE)</f>
        <v>#N/A</v>
      </c>
      <c r="F24" s="1199"/>
      <c r="G24" s="1199">
        <v>100</v>
      </c>
      <c r="H24" s="1199"/>
      <c r="I24" s="847" t="e">
        <f>VLOOKUP(K12,ram,24,FALSE)</f>
        <v>#N/A</v>
      </c>
      <c r="J24" s="847" t="e">
        <f>VLOOKUP(K12,ram,25,FALSE)</f>
        <v>#N/A</v>
      </c>
      <c r="K24" s="1200" t="e">
        <f t="shared" si="0"/>
        <v>#N/A</v>
      </c>
      <c r="L24" s="1201"/>
      <c r="M24" s="759"/>
    </row>
    <row r="25" spans="1:18" s="645" customFormat="1" ht="26.25" customHeight="1" thickBot="1">
      <c r="A25" s="760"/>
      <c r="B25" s="1192" t="s">
        <v>513</v>
      </c>
      <c r="C25" s="1193"/>
      <c r="D25" s="850">
        <v>300</v>
      </c>
      <c r="E25" s="1193" t="e">
        <f>SUM(E20:F24)</f>
        <v>#N/A</v>
      </c>
      <c r="F25" s="1193"/>
      <c r="G25" s="1193">
        <v>500</v>
      </c>
      <c r="H25" s="1193"/>
      <c r="I25" s="730" t="e">
        <f>SUM(I20:I24)</f>
        <v>#N/A</v>
      </c>
      <c r="J25" s="730" t="e">
        <f>SUM(J20:J24)</f>
        <v>#N/A</v>
      </c>
      <c r="K25" s="1194" t="e">
        <f>SUM(K20:L24)</f>
        <v>#N/A</v>
      </c>
      <c r="L25" s="1195"/>
      <c r="M25" s="761"/>
    </row>
    <row r="26" spans="1:18" s="644" customFormat="1" ht="26.25" customHeight="1" thickBot="1">
      <c r="A26" s="762"/>
      <c r="B26" s="1196" t="s">
        <v>3469</v>
      </c>
      <c r="C26" s="1197"/>
      <c r="D26" s="1166" t="e">
        <f>E25/3</f>
        <v>#N/A</v>
      </c>
      <c r="E26" s="1167"/>
      <c r="F26" s="731" t="s">
        <v>526</v>
      </c>
      <c r="G26" s="732"/>
      <c r="H26" s="733"/>
      <c r="I26" s="733" t="e">
        <f>K25/5</f>
        <v>#N/A</v>
      </c>
      <c r="J26" s="734" t="s">
        <v>526</v>
      </c>
      <c r="K26" s="735"/>
      <c r="L26" s="776"/>
      <c r="M26" s="763"/>
    </row>
    <row r="27" spans="1:18" ht="7.15" customHeight="1">
      <c r="A27" s="752"/>
      <c r="B27" s="777"/>
      <c r="C27" s="649"/>
      <c r="D27" s="649"/>
      <c r="E27" s="1157"/>
      <c r="F27" s="1157"/>
      <c r="G27" s="649"/>
      <c r="H27" s="649"/>
      <c r="I27" s="649"/>
      <c r="J27" s="649"/>
      <c r="K27" s="1157"/>
      <c r="L27" s="1158"/>
      <c r="M27" s="753"/>
    </row>
    <row r="28" spans="1:18" ht="20.5" thickBot="1">
      <c r="A28" s="752"/>
      <c r="B28" s="1189" t="s">
        <v>539</v>
      </c>
      <c r="C28" s="1190"/>
      <c r="D28" s="1190"/>
      <c r="E28" s="1190"/>
      <c r="F28" s="1190"/>
      <c r="G28" s="1190"/>
      <c r="H28" s="1190"/>
      <c r="I28" s="1190"/>
      <c r="J28" s="1190"/>
      <c r="K28" s="1190"/>
      <c r="L28" s="1191"/>
      <c r="M28" s="753"/>
    </row>
    <row r="29" spans="1:18" s="642" customFormat="1" ht="22.5" customHeight="1" thickTop="1" thickBot="1">
      <c r="A29" s="756"/>
      <c r="B29" s="1152" t="s">
        <v>540</v>
      </c>
      <c r="C29" s="1153"/>
      <c r="D29" s="845" t="s">
        <v>550</v>
      </c>
      <c r="E29" s="1153" t="s">
        <v>576</v>
      </c>
      <c r="F29" s="1153"/>
      <c r="G29" s="1153"/>
      <c r="H29" s="845" t="s">
        <v>551</v>
      </c>
      <c r="I29" s="1153" t="s">
        <v>541</v>
      </c>
      <c r="J29" s="1153"/>
      <c r="K29" s="1154" t="s">
        <v>550</v>
      </c>
      <c r="L29" s="1155"/>
      <c r="M29" s="757"/>
    </row>
    <row r="30" spans="1:18" s="642" customFormat="1" ht="22.5" customHeight="1" thickTop="1" thickBot="1">
      <c r="A30" s="756"/>
      <c r="B30" s="1152" t="s">
        <v>542</v>
      </c>
      <c r="C30" s="1153"/>
      <c r="D30" s="845" t="s">
        <v>550</v>
      </c>
      <c r="E30" s="1153" t="s">
        <v>545</v>
      </c>
      <c r="F30" s="1153"/>
      <c r="G30" s="1153"/>
      <c r="H30" s="845" t="s">
        <v>550</v>
      </c>
      <c r="I30" s="1153" t="s">
        <v>544</v>
      </c>
      <c r="J30" s="1153"/>
      <c r="K30" s="1154" t="s">
        <v>551</v>
      </c>
      <c r="L30" s="1155"/>
      <c r="M30" s="757"/>
    </row>
    <row r="31" spans="1:18" s="642" customFormat="1" ht="22.5" customHeight="1" thickTop="1" thickBot="1">
      <c r="A31" s="756"/>
      <c r="B31" s="1152" t="s">
        <v>543</v>
      </c>
      <c r="C31" s="1153"/>
      <c r="D31" s="845" t="s">
        <v>551</v>
      </c>
      <c r="E31" s="1156" t="s">
        <v>546</v>
      </c>
      <c r="F31" s="1156"/>
      <c r="G31" s="1156"/>
      <c r="H31" s="845" t="s">
        <v>551</v>
      </c>
      <c r="I31" s="1153" t="s">
        <v>547</v>
      </c>
      <c r="J31" s="1153"/>
      <c r="K31" s="1154" t="s">
        <v>550</v>
      </c>
      <c r="L31" s="1155"/>
      <c r="M31" s="757"/>
    </row>
    <row r="32" spans="1:18" ht="7.15" customHeight="1" thickTop="1">
      <c r="A32" s="752"/>
      <c r="B32" s="777"/>
      <c r="C32" s="649"/>
      <c r="D32" s="649"/>
      <c r="E32" s="649"/>
      <c r="F32" s="649"/>
      <c r="G32" s="649"/>
      <c r="H32" s="649"/>
      <c r="I32" s="649"/>
      <c r="J32" s="649"/>
      <c r="K32" s="649"/>
      <c r="L32" s="778"/>
      <c r="M32" s="753"/>
    </row>
    <row r="33" spans="1:13" ht="20.5" thickBot="1">
      <c r="A33" s="752"/>
      <c r="B33" s="1184" t="s">
        <v>549</v>
      </c>
      <c r="C33" s="1185"/>
      <c r="D33" s="1185"/>
      <c r="E33" s="1185"/>
      <c r="F33" s="1185"/>
      <c r="G33" s="1185"/>
      <c r="H33" s="1185"/>
      <c r="I33" s="1185"/>
      <c r="J33" s="1185"/>
      <c r="K33" s="1185"/>
      <c r="L33" s="1186"/>
      <c r="M33" s="753"/>
    </row>
    <row r="34" spans="1:13" ht="24.75" customHeight="1" thickTop="1" thickBot="1">
      <c r="A34" s="752"/>
      <c r="B34" s="1144" t="s">
        <v>527</v>
      </c>
      <c r="C34" s="1145"/>
      <c r="D34" s="843" t="s">
        <v>550</v>
      </c>
      <c r="E34" s="843" t="s">
        <v>551</v>
      </c>
      <c r="F34" s="843" t="s">
        <v>552</v>
      </c>
      <c r="G34" s="843" t="s">
        <v>553</v>
      </c>
      <c r="H34" s="843" t="s">
        <v>554</v>
      </c>
      <c r="I34" s="843" t="s">
        <v>555</v>
      </c>
      <c r="J34" s="843" t="s">
        <v>556</v>
      </c>
      <c r="K34" s="1145" t="s">
        <v>557</v>
      </c>
      <c r="L34" s="1146"/>
      <c r="M34" s="753"/>
    </row>
    <row r="35" spans="1:13" ht="24.75" customHeight="1" thickTop="1" thickBot="1">
      <c r="A35" s="752"/>
      <c r="B35" s="1147" t="s">
        <v>558</v>
      </c>
      <c r="C35" s="1148"/>
      <c r="D35" s="736" t="s">
        <v>582</v>
      </c>
      <c r="E35" s="844" t="s">
        <v>559</v>
      </c>
      <c r="F35" s="844" t="s">
        <v>560</v>
      </c>
      <c r="G35" s="844" t="s">
        <v>561</v>
      </c>
      <c r="H35" s="844" t="s">
        <v>562</v>
      </c>
      <c r="I35" s="844" t="s">
        <v>563</v>
      </c>
      <c r="J35" s="844" t="s">
        <v>564</v>
      </c>
      <c r="K35" s="1148" t="s">
        <v>581</v>
      </c>
      <c r="L35" s="1149"/>
      <c r="M35" s="753"/>
    </row>
    <row r="36" spans="1:13" ht="16" thickTop="1">
      <c r="A36" s="752"/>
      <c r="B36" s="1187" t="s">
        <v>566</v>
      </c>
      <c r="C36" s="1188"/>
      <c r="D36" s="820" t="e">
        <f>IF(I26&gt;=60,"PASS IN FIRST DIVISION",IF(I26&gt;=45,"PASS IN SECOND DIVISION",IF(I26&gt;=30,"PASS IN THIRD DIVISION")))</f>
        <v>#N/A</v>
      </c>
      <c r="E36" s="820"/>
      <c r="F36" s="737"/>
      <c r="G36" s="650"/>
      <c r="H36" s="650"/>
      <c r="I36" s="650"/>
      <c r="J36" s="650"/>
      <c r="K36" s="650"/>
      <c r="L36" s="779"/>
      <c r="M36" s="753"/>
    </row>
    <row r="37" spans="1:13" ht="15.5">
      <c r="A37" s="752"/>
      <c r="B37" s="1124" t="s">
        <v>1676</v>
      </c>
      <c r="C37" s="1125"/>
      <c r="D37" s="650"/>
      <c r="E37" s="650"/>
      <c r="F37" s="650"/>
      <c r="G37" s="650"/>
      <c r="H37" s="650"/>
      <c r="I37" s="650"/>
      <c r="J37" s="650"/>
      <c r="K37" s="650"/>
      <c r="L37" s="779"/>
      <c r="M37" s="753"/>
    </row>
    <row r="38" spans="1:13" ht="15.5">
      <c r="A38" s="752"/>
      <c r="B38" s="840"/>
      <c r="C38" s="841"/>
      <c r="D38" s="650"/>
      <c r="E38" s="650"/>
      <c r="F38" s="650"/>
      <c r="G38" s="650"/>
      <c r="H38" s="650"/>
      <c r="I38" s="650"/>
      <c r="J38" s="650"/>
      <c r="K38" s="650"/>
      <c r="L38" s="779"/>
      <c r="M38" s="753"/>
    </row>
    <row r="39" spans="1:13" ht="15.5">
      <c r="A39" s="752"/>
      <c r="B39" s="840"/>
      <c r="C39" s="841"/>
      <c r="D39" s="650"/>
      <c r="E39" s="650"/>
      <c r="F39" s="650"/>
      <c r="G39" s="650"/>
      <c r="H39" s="650"/>
      <c r="I39" s="650"/>
      <c r="J39" s="650"/>
      <c r="K39" s="650"/>
      <c r="L39" s="779"/>
      <c r="M39" s="753"/>
    </row>
    <row r="40" spans="1:13" ht="10.5" customHeight="1">
      <c r="A40" s="752"/>
      <c r="B40" s="840"/>
      <c r="C40" s="841"/>
      <c r="D40" s="650"/>
      <c r="E40" s="650"/>
      <c r="F40" s="650"/>
      <c r="G40" s="650"/>
      <c r="H40" s="650"/>
      <c r="I40" s="650"/>
      <c r="J40" s="650"/>
      <c r="K40" s="650"/>
      <c r="L40" s="779"/>
      <c r="M40" s="753"/>
    </row>
    <row r="41" spans="1:13">
      <c r="A41" s="752"/>
      <c r="B41" s="777"/>
      <c r="C41" s="649"/>
      <c r="D41" s="649"/>
      <c r="E41" s="649"/>
      <c r="F41" s="649"/>
      <c r="G41" s="649"/>
      <c r="H41" s="649"/>
      <c r="I41" s="649"/>
      <c r="J41" s="649"/>
      <c r="K41" s="649"/>
      <c r="L41" s="778"/>
      <c r="M41" s="753"/>
    </row>
    <row r="42" spans="1:13" ht="3" customHeight="1">
      <c r="A42" s="752"/>
      <c r="B42" s="777"/>
      <c r="C42" s="649"/>
      <c r="D42" s="649"/>
      <c r="E42" s="649"/>
      <c r="F42" s="649"/>
      <c r="G42" s="649"/>
      <c r="H42" s="649"/>
      <c r="I42" s="649"/>
      <c r="J42" s="649"/>
      <c r="K42" s="649"/>
      <c r="L42" s="778"/>
      <c r="M42" s="753"/>
    </row>
    <row r="43" spans="1:13" ht="16.5" customHeight="1">
      <c r="A43" s="752"/>
      <c r="B43" s="777"/>
      <c r="C43" s="649"/>
      <c r="D43" s="649"/>
      <c r="E43" s="649"/>
      <c r="F43" s="649"/>
      <c r="G43" s="649"/>
      <c r="H43" s="649"/>
      <c r="I43" s="649"/>
      <c r="J43" s="649"/>
      <c r="K43" s="649"/>
      <c r="L43" s="778"/>
      <c r="M43" s="753"/>
    </row>
    <row r="44" spans="1:13" ht="15">
      <c r="A44" s="752"/>
      <c r="B44" s="777"/>
      <c r="C44" s="649" t="s">
        <v>3466</v>
      </c>
      <c r="D44" s="1126">
        <v>46114</v>
      </c>
      <c r="E44" s="1126"/>
      <c r="F44" s="649"/>
      <c r="G44" s="649"/>
      <c r="H44" s="649"/>
      <c r="I44" s="1127" t="s">
        <v>3467</v>
      </c>
      <c r="J44" s="1127"/>
      <c r="K44" s="1127"/>
      <c r="L44" s="778"/>
      <c r="M44" s="753"/>
    </row>
    <row r="45" spans="1:13" ht="22.15" customHeight="1">
      <c r="A45" s="752"/>
      <c r="B45" s="777"/>
      <c r="C45" s="649"/>
      <c r="D45" s="649"/>
      <c r="E45" s="649"/>
      <c r="F45" s="649"/>
      <c r="G45" s="649"/>
      <c r="H45" s="649"/>
      <c r="I45" s="1128" t="s">
        <v>3468</v>
      </c>
      <c r="J45" s="1128"/>
      <c r="K45" s="1128"/>
      <c r="L45" s="778"/>
      <c r="M45" s="753"/>
    </row>
    <row r="46" spans="1:13" ht="15" thickBot="1">
      <c r="A46" s="752"/>
      <c r="B46" s="781"/>
      <c r="C46" s="782"/>
      <c r="D46" s="782"/>
      <c r="E46" s="782"/>
      <c r="F46" s="782"/>
      <c r="G46" s="782"/>
      <c r="H46" s="782"/>
      <c r="I46" s="782"/>
      <c r="J46" s="782"/>
      <c r="K46" s="782"/>
      <c r="L46" s="783"/>
      <c r="M46" s="753"/>
    </row>
    <row r="47" spans="1:13" s="227" customFormat="1" ht="6.75" customHeight="1" thickTop="1" thickBot="1">
      <c r="A47" s="764"/>
      <c r="B47" s="765"/>
      <c r="C47" s="765"/>
      <c r="D47" s="765"/>
      <c r="E47" s="765"/>
      <c r="F47" s="765"/>
      <c r="G47" s="765"/>
      <c r="H47" s="765"/>
      <c r="I47" s="765"/>
      <c r="J47" s="765"/>
      <c r="K47" s="765"/>
      <c r="L47" s="765"/>
      <c r="M47" s="766"/>
    </row>
    <row r="48" spans="1:13" ht="15" thickTop="1"/>
  </sheetData>
  <mergeCells count="75">
    <mergeCell ref="E15:G15"/>
    <mergeCell ref="H15:I15"/>
    <mergeCell ref="J15:L15"/>
    <mergeCell ref="I9:L9"/>
    <mergeCell ref="B10:L10"/>
    <mergeCell ref="B11:L11"/>
    <mergeCell ref="D12:E12"/>
    <mergeCell ref="G12:I12"/>
    <mergeCell ref="K12:L12"/>
    <mergeCell ref="E13:G13"/>
    <mergeCell ref="J13:L13"/>
    <mergeCell ref="E14:G14"/>
    <mergeCell ref="H14:I14"/>
    <mergeCell ref="J14:L14"/>
    <mergeCell ref="B16:L16"/>
    <mergeCell ref="B17:C19"/>
    <mergeCell ref="D17:F17"/>
    <mergeCell ref="G17:L17"/>
    <mergeCell ref="D18:D19"/>
    <mergeCell ref="E18:F19"/>
    <mergeCell ref="G18:H19"/>
    <mergeCell ref="I18:I19"/>
    <mergeCell ref="J18:J19"/>
    <mergeCell ref="K18:L19"/>
    <mergeCell ref="B20:C20"/>
    <mergeCell ref="E20:F20"/>
    <mergeCell ref="G20:H20"/>
    <mergeCell ref="K20:L20"/>
    <mergeCell ref="B21:C21"/>
    <mergeCell ref="E21:F21"/>
    <mergeCell ref="G21:H21"/>
    <mergeCell ref="K21:L21"/>
    <mergeCell ref="B24:C24"/>
    <mergeCell ref="E24:F24"/>
    <mergeCell ref="G24:H24"/>
    <mergeCell ref="K24:L24"/>
    <mergeCell ref="B22:C22"/>
    <mergeCell ref="E22:F22"/>
    <mergeCell ref="G22:H22"/>
    <mergeCell ref="K22:L22"/>
    <mergeCell ref="B23:C23"/>
    <mergeCell ref="E23:F23"/>
    <mergeCell ref="G23:H23"/>
    <mergeCell ref="K23:L23"/>
    <mergeCell ref="B25:C25"/>
    <mergeCell ref="E25:F25"/>
    <mergeCell ref="G25:H25"/>
    <mergeCell ref="K25:L25"/>
    <mergeCell ref="B26:C26"/>
    <mergeCell ref="D26:E26"/>
    <mergeCell ref="E27:F27"/>
    <mergeCell ref="K27:L27"/>
    <mergeCell ref="B28:L28"/>
    <mergeCell ref="B29:C29"/>
    <mergeCell ref="E29:G29"/>
    <mergeCell ref="I29:J29"/>
    <mergeCell ref="K29:L29"/>
    <mergeCell ref="B30:C30"/>
    <mergeCell ref="E30:G30"/>
    <mergeCell ref="I30:J30"/>
    <mergeCell ref="K30:L30"/>
    <mergeCell ref="B31:C31"/>
    <mergeCell ref="E31:G31"/>
    <mergeCell ref="I31:J31"/>
    <mergeCell ref="K31:L31"/>
    <mergeCell ref="B37:C37"/>
    <mergeCell ref="D44:E44"/>
    <mergeCell ref="I44:K44"/>
    <mergeCell ref="I45:K45"/>
    <mergeCell ref="B33:L33"/>
    <mergeCell ref="B34:C34"/>
    <mergeCell ref="K34:L34"/>
    <mergeCell ref="B35:C35"/>
    <mergeCell ref="K35:L35"/>
    <mergeCell ref="B36:C36"/>
  </mergeCells>
  <pageMargins left="0" right="0" top="0" bottom="0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70C0"/>
  </sheetPr>
  <dimension ref="A1:S48"/>
  <sheetViews>
    <sheetView topLeftCell="A4" workbookViewId="0">
      <selection activeCell="S19" sqref="S19"/>
    </sheetView>
  </sheetViews>
  <sheetFormatPr defaultRowHeight="14.5"/>
  <cols>
    <col min="1" max="1" width="1.26953125" style="227" customWidth="1"/>
    <col min="3" max="3" width="12.7265625" customWidth="1"/>
    <col min="4" max="4" width="11.7265625" customWidth="1"/>
    <col min="6" max="6" width="8" customWidth="1"/>
    <col min="7" max="7" width="6.26953125" customWidth="1"/>
    <col min="8" max="8" width="8.7265625" customWidth="1"/>
    <col min="9" max="9" width="10.26953125" customWidth="1"/>
    <col min="10" max="10" width="10" customWidth="1"/>
    <col min="11" max="11" width="8.81640625" customWidth="1"/>
    <col min="12" max="12" width="5.26953125" customWidth="1"/>
    <col min="13" max="13" width="1.26953125" style="227" customWidth="1"/>
  </cols>
  <sheetData>
    <row r="1" spans="1:19" s="227" customFormat="1" ht="6.75" customHeight="1" thickTop="1" thickBot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1"/>
    </row>
    <row r="2" spans="1:19" ht="15" thickTop="1">
      <c r="A2" s="752"/>
      <c r="B2" s="767"/>
      <c r="C2" s="768"/>
      <c r="D2" s="768"/>
      <c r="E2" s="768"/>
      <c r="F2" s="768"/>
      <c r="G2" s="768"/>
      <c r="H2" s="768"/>
      <c r="I2" s="768"/>
      <c r="J2" s="768"/>
      <c r="K2" s="768"/>
      <c r="L2" s="769"/>
      <c r="M2" s="753"/>
    </row>
    <row r="3" spans="1:19">
      <c r="A3" s="752"/>
      <c r="B3" s="770"/>
      <c r="C3" s="646"/>
      <c r="D3" s="646"/>
      <c r="E3" s="646"/>
      <c r="F3" s="646"/>
      <c r="G3" s="646"/>
      <c r="H3" s="646"/>
      <c r="I3" s="646"/>
      <c r="J3" s="646"/>
      <c r="K3" s="646"/>
      <c r="L3" s="771"/>
      <c r="M3" s="753"/>
    </row>
    <row r="4" spans="1:19">
      <c r="A4" s="752"/>
      <c r="B4" s="770"/>
      <c r="C4" s="646"/>
      <c r="D4" s="646"/>
      <c r="E4" s="646"/>
      <c r="F4" s="646"/>
      <c r="G4" s="646"/>
      <c r="H4" s="646"/>
      <c r="I4" s="646"/>
      <c r="J4" s="646"/>
      <c r="K4" s="646"/>
      <c r="L4" s="771"/>
      <c r="M4" s="753"/>
    </row>
    <row r="5" spans="1:19">
      <c r="A5" s="752"/>
      <c r="B5" s="770"/>
      <c r="C5" s="646"/>
      <c r="D5" s="646"/>
      <c r="E5" s="646"/>
      <c r="F5" s="646"/>
      <c r="G5" s="646"/>
      <c r="H5" s="646"/>
      <c r="I5" s="646"/>
      <c r="J5" s="646"/>
      <c r="K5" s="646"/>
      <c r="L5" s="771"/>
      <c r="M5" s="753"/>
    </row>
    <row r="6" spans="1:19">
      <c r="A6" s="752"/>
      <c r="B6" s="770"/>
      <c r="C6" s="646"/>
      <c r="D6" s="646"/>
      <c r="E6" s="646"/>
      <c r="F6" s="646"/>
      <c r="G6" s="646"/>
      <c r="H6" s="646"/>
      <c r="I6" s="646"/>
      <c r="J6" s="646"/>
      <c r="K6" s="646"/>
      <c r="L6" s="771"/>
      <c r="M6" s="753"/>
    </row>
    <row r="7" spans="1:19">
      <c r="A7" s="752"/>
      <c r="B7" s="770"/>
      <c r="C7" s="646"/>
      <c r="D7" s="646"/>
      <c r="E7" s="646"/>
      <c r="F7" s="646"/>
      <c r="G7" s="646"/>
      <c r="H7" s="646"/>
      <c r="I7" s="646"/>
      <c r="J7" s="646"/>
      <c r="K7" s="646"/>
      <c r="L7" s="771"/>
      <c r="M7" s="753"/>
    </row>
    <row r="8" spans="1:19" ht="15" thickBot="1">
      <c r="A8" s="752"/>
      <c r="B8" s="770"/>
      <c r="C8" s="646"/>
      <c r="D8" s="646"/>
      <c r="E8" s="646"/>
      <c r="F8" s="646"/>
      <c r="G8" s="646"/>
      <c r="H8" s="646"/>
      <c r="I8" s="646"/>
      <c r="J8" s="646"/>
      <c r="K8" s="646"/>
      <c r="L8" s="771"/>
      <c r="M8" s="753"/>
    </row>
    <row r="9" spans="1:19" s="3" customFormat="1" ht="16" thickTop="1" thickBot="1">
      <c r="A9" s="754"/>
      <c r="B9" s="772" t="s">
        <v>3472</v>
      </c>
      <c r="C9" s="738"/>
      <c r="D9" s="738"/>
      <c r="E9" s="739"/>
      <c r="F9" s="739" t="s">
        <v>3456</v>
      </c>
      <c r="G9" s="739"/>
      <c r="H9" s="739"/>
      <c r="I9" s="1177" t="s">
        <v>3457</v>
      </c>
      <c r="J9" s="1177"/>
      <c r="K9" s="1177"/>
      <c r="L9" s="1178"/>
      <c r="M9" s="755"/>
    </row>
    <row r="10" spans="1:19" ht="23" thickTop="1">
      <c r="A10" s="752"/>
      <c r="B10" s="1179" t="s">
        <v>3458</v>
      </c>
      <c r="C10" s="1180"/>
      <c r="D10" s="1180"/>
      <c r="E10" s="1180"/>
      <c r="F10" s="1180"/>
      <c r="G10" s="1180"/>
      <c r="H10" s="1180"/>
      <c r="I10" s="1180"/>
      <c r="J10" s="1180"/>
      <c r="K10" s="1180"/>
      <c r="L10" s="1181"/>
      <c r="M10" s="753"/>
    </row>
    <row r="11" spans="1:19" ht="20">
      <c r="A11" s="752"/>
      <c r="B11" s="1141" t="s">
        <v>578</v>
      </c>
      <c r="C11" s="1142"/>
      <c r="D11" s="1142"/>
      <c r="E11" s="1142"/>
      <c r="F11" s="1142"/>
      <c r="G11" s="1142"/>
      <c r="H11" s="1142"/>
      <c r="I11" s="1142"/>
      <c r="J11" s="1142"/>
      <c r="K11" s="1142"/>
      <c r="L11" s="1143"/>
      <c r="M11" s="753"/>
    </row>
    <row r="12" spans="1:19" s="642" customFormat="1" ht="18" customHeight="1">
      <c r="A12" s="756"/>
      <c r="B12" s="773" t="s">
        <v>3470</v>
      </c>
      <c r="C12" s="651"/>
      <c r="D12" s="1182">
        <f>VLOOKUP(K12,kull,7,FALSE)</f>
        <v>1006</v>
      </c>
      <c r="E12" s="1182"/>
      <c r="F12" s="651" t="s">
        <v>3459</v>
      </c>
      <c r="G12" s="1182">
        <f>VLOOKUP(K12,kull,6,FALSE)</f>
        <v>187582964</v>
      </c>
      <c r="H12" s="1182"/>
      <c r="I12" s="1182"/>
      <c r="J12" s="651" t="s">
        <v>3460</v>
      </c>
      <c r="K12" s="1182">
        <v>737</v>
      </c>
      <c r="L12" s="1183"/>
      <c r="M12" s="757"/>
    </row>
    <row r="13" spans="1:19" s="642" customFormat="1" ht="18" customHeight="1">
      <c r="A13" s="756"/>
      <c r="B13" s="774" t="s">
        <v>3471</v>
      </c>
      <c r="C13" s="647"/>
      <c r="D13" s="648" t="s">
        <v>3461</v>
      </c>
      <c r="E13" s="1175" t="str">
        <f>VLOOKUP(K12,kull,2,FALSE)</f>
        <v xml:space="preserve">SATYAM YADAV </v>
      </c>
      <c r="F13" s="1175"/>
      <c r="G13" s="1175"/>
      <c r="H13" s="647" t="s">
        <v>3462</v>
      </c>
      <c r="I13" s="647"/>
      <c r="J13" s="1175" t="str">
        <f>VLOOKUP(K12,kull,3,FALSE)</f>
        <v xml:space="preserve">BHAGIRATH YADAV </v>
      </c>
      <c r="K13" s="1175"/>
      <c r="L13" s="1176"/>
      <c r="M13" s="757"/>
    </row>
    <row r="14" spans="1:19" s="642" customFormat="1" ht="18" customHeight="1">
      <c r="A14" s="756"/>
      <c r="B14" s="774" t="s">
        <v>3463</v>
      </c>
      <c r="C14" s="647"/>
      <c r="D14" s="648" t="s">
        <v>3461</v>
      </c>
      <c r="E14" s="1175" t="str">
        <f>VLOOKUP(K12,kull,4,FALSE)</f>
        <v xml:space="preserve">VANDANA YADAV </v>
      </c>
      <c r="F14" s="1175"/>
      <c r="G14" s="1175"/>
      <c r="H14" s="1175" t="s">
        <v>3464</v>
      </c>
      <c r="I14" s="1175"/>
      <c r="J14" s="1206" t="str">
        <f>VLOOKUP(K12,kull,5,FALSE)</f>
        <v>28-02-2013</v>
      </c>
      <c r="K14" s="1206"/>
      <c r="L14" s="1207"/>
      <c r="M14" s="757"/>
      <c r="Q14" s="642" t="s">
        <v>1676</v>
      </c>
      <c r="S14" s="868"/>
    </row>
    <row r="15" spans="1:19" s="642" customFormat="1" ht="18" customHeight="1">
      <c r="A15" s="756"/>
      <c r="B15" s="775" t="s">
        <v>3465</v>
      </c>
      <c r="C15" s="740"/>
      <c r="D15" s="648" t="s">
        <v>3461</v>
      </c>
      <c r="E15" s="1175" t="s">
        <v>10</v>
      </c>
      <c r="F15" s="1175"/>
      <c r="G15" s="1175"/>
      <c r="H15" s="1175" t="s">
        <v>3473</v>
      </c>
      <c r="I15" s="1175"/>
      <c r="J15" s="1175" t="str">
        <f>VLOOKUP(K12,kull,8,FALSE)</f>
        <v xml:space="preserve">7th </v>
      </c>
      <c r="K15" s="1175"/>
      <c r="L15" s="1176"/>
      <c r="M15" s="757"/>
    </row>
    <row r="16" spans="1:19" ht="20.5" thickBot="1">
      <c r="A16" s="752"/>
      <c r="B16" s="1159" t="s">
        <v>504</v>
      </c>
      <c r="C16" s="1160"/>
      <c r="D16" s="1160"/>
      <c r="E16" s="1160"/>
      <c r="F16" s="1160"/>
      <c r="G16" s="1160"/>
      <c r="H16" s="1160"/>
      <c r="I16" s="1160"/>
      <c r="J16" s="1160"/>
      <c r="K16" s="1160"/>
      <c r="L16" s="1161"/>
      <c r="M16" s="753"/>
    </row>
    <row r="17" spans="1:18" ht="18.75" customHeight="1" thickBot="1">
      <c r="A17" s="752"/>
      <c r="B17" s="1170" t="s">
        <v>514</v>
      </c>
      <c r="C17" s="1171"/>
      <c r="D17" s="1202" t="s">
        <v>569</v>
      </c>
      <c r="E17" s="1202"/>
      <c r="F17" s="1202"/>
      <c r="G17" s="1202" t="s">
        <v>506</v>
      </c>
      <c r="H17" s="1202"/>
      <c r="I17" s="1202"/>
      <c r="J17" s="1202"/>
      <c r="K17" s="1202"/>
      <c r="L17" s="1203"/>
      <c r="M17" s="753"/>
    </row>
    <row r="18" spans="1:18" ht="18.75" customHeight="1" thickBot="1">
      <c r="A18" s="752"/>
      <c r="B18" s="1170"/>
      <c r="C18" s="1171"/>
      <c r="D18" s="1174" t="s">
        <v>3474</v>
      </c>
      <c r="E18" s="1174" t="s">
        <v>3475</v>
      </c>
      <c r="F18" s="1171"/>
      <c r="G18" s="1174" t="s">
        <v>3476</v>
      </c>
      <c r="H18" s="1171"/>
      <c r="I18" s="1174" t="s">
        <v>3477</v>
      </c>
      <c r="J18" s="1204" t="s">
        <v>3478</v>
      </c>
      <c r="K18" s="1172" t="s">
        <v>513</v>
      </c>
      <c r="L18" s="1173"/>
      <c r="M18" s="753"/>
    </row>
    <row r="19" spans="1:18" ht="18.75" customHeight="1" thickBot="1">
      <c r="A19" s="752"/>
      <c r="B19" s="1170"/>
      <c r="C19" s="1171"/>
      <c r="D19" s="1171"/>
      <c r="E19" s="1171"/>
      <c r="F19" s="1171"/>
      <c r="G19" s="1171"/>
      <c r="H19" s="1171"/>
      <c r="I19" s="1171"/>
      <c r="J19" s="1171"/>
      <c r="K19" s="1172"/>
      <c r="L19" s="1173"/>
      <c r="M19" s="753"/>
    </row>
    <row r="20" spans="1:18" ht="26.25" customHeight="1" thickBot="1">
      <c r="A20" s="752"/>
      <c r="B20" s="1168" t="s">
        <v>9</v>
      </c>
      <c r="C20" s="1169"/>
      <c r="D20" s="741">
        <v>60</v>
      </c>
      <c r="E20" s="1169">
        <f>VLOOKUP(K12,kull,10,FALSE)</f>
        <v>33</v>
      </c>
      <c r="F20" s="1169"/>
      <c r="G20" s="1169">
        <v>100</v>
      </c>
      <c r="H20" s="1169"/>
      <c r="I20" s="741">
        <f>VLOOKUP(K12,kull,17,FALSE)</f>
        <v>30</v>
      </c>
      <c r="J20" s="741">
        <f>VLOOKUP(K12,kull,18,FALSE)</f>
        <v>24</v>
      </c>
      <c r="K20" s="1208">
        <f>I20+J20</f>
        <v>54</v>
      </c>
      <c r="L20" s="1209"/>
      <c r="M20" s="753"/>
    </row>
    <row r="21" spans="1:18" ht="26.25" customHeight="1" thickBot="1">
      <c r="A21" s="752"/>
      <c r="B21" s="1168" t="s">
        <v>10</v>
      </c>
      <c r="C21" s="1169"/>
      <c r="D21" s="741">
        <v>60</v>
      </c>
      <c r="E21" s="1169">
        <f>VLOOKUP(K12,kull,11,FALSE)</f>
        <v>32</v>
      </c>
      <c r="F21" s="1169"/>
      <c r="G21" s="1169">
        <v>100</v>
      </c>
      <c r="H21" s="1169"/>
      <c r="I21" s="741">
        <f>VLOOKUP(K12,kull,19,FALSE)</f>
        <v>31</v>
      </c>
      <c r="J21" s="741">
        <f>VLOOKUP(K12,kull,20,FALSE)</f>
        <v>24</v>
      </c>
      <c r="K21" s="1208">
        <f t="shared" ref="K21:K24" si="0">I21+J21</f>
        <v>55</v>
      </c>
      <c r="L21" s="1209"/>
      <c r="M21" s="753"/>
    </row>
    <row r="22" spans="1:18" ht="26.25" customHeight="1" thickBot="1">
      <c r="A22" s="752"/>
      <c r="B22" s="1168" t="s">
        <v>520</v>
      </c>
      <c r="C22" s="1169"/>
      <c r="D22" s="741">
        <v>60</v>
      </c>
      <c r="E22" s="1169">
        <f>VLOOKUP(K12,kull,12,FALSE)</f>
        <v>36</v>
      </c>
      <c r="F22" s="1169"/>
      <c r="G22" s="1169">
        <v>100</v>
      </c>
      <c r="H22" s="1169"/>
      <c r="I22" s="741">
        <f>VLOOKUP(K12,kull,21,FALSE)</f>
        <v>30</v>
      </c>
      <c r="J22" s="741">
        <f>VLOOKUP(K12,kull,22,FALSE)</f>
        <v>25</v>
      </c>
      <c r="K22" s="1208">
        <f t="shared" si="0"/>
        <v>55</v>
      </c>
      <c r="L22" s="1209"/>
      <c r="M22" s="753"/>
    </row>
    <row r="23" spans="1:18" ht="26.25" customHeight="1" thickBot="1">
      <c r="A23" s="752"/>
      <c r="B23" s="1168" t="s">
        <v>3251</v>
      </c>
      <c r="C23" s="1169"/>
      <c r="D23" s="741">
        <v>60</v>
      </c>
      <c r="E23" s="1169">
        <f>VLOOKUP(K12,kull,13,FALSE)</f>
        <v>30</v>
      </c>
      <c r="F23" s="1169"/>
      <c r="G23" s="1169">
        <v>100</v>
      </c>
      <c r="H23" s="1169"/>
      <c r="I23" s="741">
        <f>VLOOKUP(K12,kull,23,FALSE)</f>
        <v>30</v>
      </c>
      <c r="J23" s="741">
        <f>VLOOKUP(K12,kull,24,FALSE)</f>
        <v>24</v>
      </c>
      <c r="K23" s="1208">
        <f t="shared" si="0"/>
        <v>54</v>
      </c>
      <c r="L23" s="1209"/>
      <c r="M23" s="753"/>
      <c r="R23" t="s">
        <v>1676</v>
      </c>
    </row>
    <row r="24" spans="1:18" s="641" customFormat="1" ht="26.25" customHeight="1" thickBot="1">
      <c r="A24" s="758"/>
      <c r="B24" s="1198" t="s">
        <v>3255</v>
      </c>
      <c r="C24" s="1199"/>
      <c r="D24" s="742">
        <v>60</v>
      </c>
      <c r="E24" s="1199">
        <f>VLOOKUP(K12,kull,14,FALSE)</f>
        <v>32</v>
      </c>
      <c r="F24" s="1199"/>
      <c r="G24" s="1199">
        <v>100</v>
      </c>
      <c r="H24" s="1199"/>
      <c r="I24" s="741">
        <f>VLOOKUP(K12,kull,25,FALSE)</f>
        <v>32</v>
      </c>
      <c r="J24" s="741">
        <f>VLOOKUP(K12,kull,26,FALSE)</f>
        <v>25</v>
      </c>
      <c r="K24" s="1208">
        <f t="shared" si="0"/>
        <v>57</v>
      </c>
      <c r="L24" s="1209"/>
      <c r="M24" s="759"/>
    </row>
    <row r="25" spans="1:18" s="641" customFormat="1" ht="26.25" customHeight="1" thickBot="1">
      <c r="A25" s="758"/>
      <c r="B25" s="1212" t="s">
        <v>3479</v>
      </c>
      <c r="C25" s="1213"/>
      <c r="D25" s="742">
        <v>60</v>
      </c>
      <c r="E25" s="1199">
        <f>VLOOKUP(K12,kull,15,FALSE)</f>
        <v>24</v>
      </c>
      <c r="F25" s="1199"/>
      <c r="G25" s="1214">
        <v>100</v>
      </c>
      <c r="H25" s="1213"/>
      <c r="I25" s="741">
        <f>VLOOKUP(K12,kull,27,FALSE)</f>
        <v>34</v>
      </c>
      <c r="J25" s="741">
        <f>VLOOKUP(K12,kull,28,FALSE)</f>
        <v>24</v>
      </c>
      <c r="K25" s="1208">
        <f t="shared" ref="K25" si="1">I25+J25</f>
        <v>58</v>
      </c>
      <c r="L25" s="1209"/>
      <c r="M25" s="759"/>
    </row>
    <row r="26" spans="1:18" s="819" customFormat="1" ht="26.25" customHeight="1" thickBot="1">
      <c r="A26" s="864"/>
      <c r="B26" s="1162" t="s">
        <v>513</v>
      </c>
      <c r="C26" s="1163"/>
      <c r="D26" s="846">
        <v>360</v>
      </c>
      <c r="E26" s="1163">
        <f>SUM(E20:F25)</f>
        <v>187</v>
      </c>
      <c r="F26" s="1163"/>
      <c r="G26" s="1163">
        <v>600</v>
      </c>
      <c r="H26" s="1163"/>
      <c r="I26" s="865">
        <f>SUM(I20:I25)</f>
        <v>187</v>
      </c>
      <c r="J26" s="865">
        <f>SUM(J20:J25)</f>
        <v>146</v>
      </c>
      <c r="K26" s="1210">
        <f>SUM(K20:L25)</f>
        <v>333</v>
      </c>
      <c r="L26" s="1211"/>
      <c r="M26" s="866"/>
    </row>
    <row r="27" spans="1:18" s="644" customFormat="1" ht="26.25" customHeight="1" thickBot="1">
      <c r="A27" s="762"/>
      <c r="B27" s="1196" t="s">
        <v>3469</v>
      </c>
      <c r="C27" s="1197"/>
      <c r="D27" s="1166">
        <f>E26/3.6</f>
        <v>51.944444444444443</v>
      </c>
      <c r="E27" s="1167"/>
      <c r="F27" s="731" t="s">
        <v>526</v>
      </c>
      <c r="G27" s="732"/>
      <c r="H27" s="733"/>
      <c r="I27" s="839">
        <f>K26/6</f>
        <v>55.5</v>
      </c>
      <c r="J27" s="734" t="s">
        <v>526</v>
      </c>
      <c r="K27" s="735"/>
      <c r="L27" s="776"/>
      <c r="M27" s="763"/>
    </row>
    <row r="28" spans="1:18" ht="7.15" customHeight="1">
      <c r="A28" s="752"/>
      <c r="B28" s="777"/>
      <c r="C28" s="649"/>
      <c r="D28" s="649"/>
      <c r="E28" s="1157"/>
      <c r="F28" s="1157"/>
      <c r="G28" s="649"/>
      <c r="H28" s="649"/>
      <c r="I28" s="649"/>
      <c r="J28" s="649"/>
      <c r="K28" s="1157"/>
      <c r="L28" s="1158"/>
      <c r="M28" s="753"/>
    </row>
    <row r="29" spans="1:18" ht="20.5" thickBot="1">
      <c r="A29" s="752"/>
      <c r="B29" s="1159" t="s">
        <v>539</v>
      </c>
      <c r="C29" s="1160"/>
      <c r="D29" s="1160"/>
      <c r="E29" s="1160"/>
      <c r="F29" s="1160"/>
      <c r="G29" s="1160"/>
      <c r="H29" s="1160"/>
      <c r="I29" s="1160"/>
      <c r="J29" s="1160"/>
      <c r="K29" s="1160"/>
      <c r="L29" s="1161"/>
      <c r="M29" s="753"/>
    </row>
    <row r="30" spans="1:18" s="642" customFormat="1" ht="22.5" customHeight="1" thickTop="1" thickBot="1">
      <c r="A30" s="756"/>
      <c r="B30" s="1152" t="s">
        <v>540</v>
      </c>
      <c r="C30" s="1153"/>
      <c r="D30" s="745" t="s">
        <v>550</v>
      </c>
      <c r="E30" s="1153" t="s">
        <v>576</v>
      </c>
      <c r="F30" s="1153"/>
      <c r="G30" s="1153"/>
      <c r="H30" s="745" t="s">
        <v>551</v>
      </c>
      <c r="I30" s="1153" t="s">
        <v>541</v>
      </c>
      <c r="J30" s="1153"/>
      <c r="K30" s="1154" t="s">
        <v>550</v>
      </c>
      <c r="L30" s="1155"/>
      <c r="M30" s="757"/>
    </row>
    <row r="31" spans="1:18" s="642" customFormat="1" ht="22.5" customHeight="1" thickTop="1" thickBot="1">
      <c r="A31" s="756"/>
      <c r="B31" s="1152" t="s">
        <v>542</v>
      </c>
      <c r="C31" s="1153"/>
      <c r="D31" s="745" t="s">
        <v>550</v>
      </c>
      <c r="E31" s="1153" t="s">
        <v>545</v>
      </c>
      <c r="F31" s="1153"/>
      <c r="G31" s="1153"/>
      <c r="H31" s="745" t="s">
        <v>550</v>
      </c>
      <c r="I31" s="1153" t="s">
        <v>544</v>
      </c>
      <c r="J31" s="1153"/>
      <c r="K31" s="1154" t="s">
        <v>551</v>
      </c>
      <c r="L31" s="1155"/>
      <c r="M31" s="757"/>
    </row>
    <row r="32" spans="1:18" s="642" customFormat="1" ht="22.5" customHeight="1" thickTop="1" thickBot="1">
      <c r="A32" s="756"/>
      <c r="B32" s="1152" t="s">
        <v>543</v>
      </c>
      <c r="C32" s="1153"/>
      <c r="D32" s="745" t="s">
        <v>551</v>
      </c>
      <c r="E32" s="1156" t="s">
        <v>546</v>
      </c>
      <c r="F32" s="1156"/>
      <c r="G32" s="1156"/>
      <c r="H32" s="745" t="s">
        <v>551</v>
      </c>
      <c r="I32" s="1153" t="s">
        <v>547</v>
      </c>
      <c r="J32" s="1153"/>
      <c r="K32" s="1154" t="s">
        <v>550</v>
      </c>
      <c r="L32" s="1155"/>
      <c r="M32" s="757"/>
    </row>
    <row r="33" spans="1:13" ht="7.15" customHeight="1" thickTop="1">
      <c r="A33" s="752"/>
      <c r="B33" s="777"/>
      <c r="C33" s="649"/>
      <c r="D33" s="649"/>
      <c r="E33" s="649"/>
      <c r="F33" s="649"/>
      <c r="G33" s="649"/>
      <c r="H33" s="649"/>
      <c r="I33" s="649"/>
      <c r="J33" s="649"/>
      <c r="K33" s="649"/>
      <c r="L33" s="778"/>
      <c r="M33" s="753"/>
    </row>
    <row r="34" spans="1:13" ht="20.5" thickBot="1">
      <c r="A34" s="752"/>
      <c r="B34" s="1141" t="s">
        <v>549</v>
      </c>
      <c r="C34" s="1142"/>
      <c r="D34" s="1142"/>
      <c r="E34" s="1142"/>
      <c r="F34" s="1142"/>
      <c r="G34" s="1142"/>
      <c r="H34" s="1142"/>
      <c r="I34" s="1142"/>
      <c r="J34" s="1142"/>
      <c r="K34" s="1142"/>
      <c r="L34" s="1143"/>
      <c r="M34" s="753"/>
    </row>
    <row r="35" spans="1:13" ht="24.75" customHeight="1" thickTop="1" thickBot="1">
      <c r="A35" s="752"/>
      <c r="B35" s="1144" t="s">
        <v>527</v>
      </c>
      <c r="C35" s="1145"/>
      <c r="D35" s="743" t="s">
        <v>550</v>
      </c>
      <c r="E35" s="743" t="s">
        <v>551</v>
      </c>
      <c r="F35" s="743" t="s">
        <v>552</v>
      </c>
      <c r="G35" s="743" t="s">
        <v>553</v>
      </c>
      <c r="H35" s="743" t="s">
        <v>554</v>
      </c>
      <c r="I35" s="743" t="s">
        <v>555</v>
      </c>
      <c r="J35" s="743" t="s">
        <v>556</v>
      </c>
      <c r="K35" s="1145" t="s">
        <v>557</v>
      </c>
      <c r="L35" s="1146"/>
      <c r="M35" s="753"/>
    </row>
    <row r="36" spans="1:13" ht="24.75" customHeight="1" thickTop="1" thickBot="1">
      <c r="A36" s="752"/>
      <c r="B36" s="1147" t="s">
        <v>558</v>
      </c>
      <c r="C36" s="1148"/>
      <c r="D36" s="736" t="s">
        <v>582</v>
      </c>
      <c r="E36" s="744" t="s">
        <v>559</v>
      </c>
      <c r="F36" s="744" t="s">
        <v>560</v>
      </c>
      <c r="G36" s="744" t="s">
        <v>561</v>
      </c>
      <c r="H36" s="744" t="s">
        <v>562</v>
      </c>
      <c r="I36" s="744" t="s">
        <v>563</v>
      </c>
      <c r="J36" s="744" t="s">
        <v>564</v>
      </c>
      <c r="K36" s="1148" t="s">
        <v>581</v>
      </c>
      <c r="L36" s="1149"/>
      <c r="M36" s="753"/>
    </row>
    <row r="37" spans="1:13" ht="16" thickTop="1">
      <c r="A37" s="752"/>
      <c r="B37" s="1187" t="s">
        <v>566</v>
      </c>
      <c r="C37" s="1188"/>
      <c r="D37" s="820" t="str">
        <f>IF(I27&gt;=60,"PASS IN FIRST DIVISION",IF(I27&gt;=45,"PASS IN SECOND DIVISION",IF(I27&gt;=30,"PASS IN THIRD DIVISION")))</f>
        <v>PASS IN SECOND DIVISION</v>
      </c>
      <c r="E37" s="820"/>
      <c r="F37" s="737"/>
      <c r="G37" s="650"/>
      <c r="H37" s="650"/>
      <c r="I37" s="650"/>
      <c r="J37" s="650"/>
      <c r="K37" s="650"/>
      <c r="L37" s="779"/>
      <c r="M37" s="753"/>
    </row>
    <row r="38" spans="1:13" ht="15.5">
      <c r="A38" s="752"/>
      <c r="B38" s="1124" t="s">
        <v>1676</v>
      </c>
      <c r="C38" s="1125"/>
      <c r="D38" s="650"/>
      <c r="E38" s="650"/>
      <c r="F38" s="650"/>
      <c r="G38" s="650"/>
      <c r="H38" s="650"/>
      <c r="I38" s="650"/>
      <c r="J38" s="650"/>
      <c r="K38" s="650"/>
      <c r="L38" s="779"/>
      <c r="M38" s="753"/>
    </row>
    <row r="39" spans="1:13" ht="15.5">
      <c r="A39" s="752"/>
      <c r="B39" s="780"/>
      <c r="C39" s="746"/>
      <c r="D39" s="650"/>
      <c r="E39" s="650"/>
      <c r="F39" s="650"/>
      <c r="G39" s="650"/>
      <c r="H39" s="650"/>
      <c r="I39" s="650"/>
      <c r="J39" s="650"/>
      <c r="K39" s="650"/>
      <c r="L39" s="779"/>
      <c r="M39" s="753"/>
    </row>
    <row r="40" spans="1:13" ht="10.5" customHeight="1">
      <c r="A40" s="752"/>
      <c r="B40" s="780"/>
      <c r="C40" s="746"/>
      <c r="D40" s="650"/>
      <c r="E40" s="650"/>
      <c r="F40" s="650"/>
      <c r="G40" s="650"/>
      <c r="H40" s="650"/>
      <c r="I40" s="650"/>
      <c r="J40" s="650"/>
      <c r="K40" s="650"/>
      <c r="L40" s="779"/>
      <c r="M40" s="753"/>
    </row>
    <row r="41" spans="1:13">
      <c r="A41" s="752"/>
      <c r="B41" s="777"/>
      <c r="C41" s="649"/>
      <c r="D41" s="649"/>
      <c r="E41" s="649"/>
      <c r="F41" s="649"/>
      <c r="G41" s="649"/>
      <c r="H41" s="649"/>
      <c r="I41" s="649"/>
      <c r="J41" s="649"/>
      <c r="K41" s="649"/>
      <c r="L41" s="778"/>
      <c r="M41" s="753"/>
    </row>
    <row r="42" spans="1:13" ht="3" customHeight="1">
      <c r="A42" s="752"/>
      <c r="B42" s="777"/>
      <c r="C42" s="649"/>
      <c r="D42" s="649"/>
      <c r="E42" s="649"/>
      <c r="F42" s="649"/>
      <c r="G42" s="649"/>
      <c r="H42" s="649"/>
      <c r="I42" s="649"/>
      <c r="J42" s="649"/>
      <c r="K42" s="649"/>
      <c r="L42" s="778"/>
      <c r="M42" s="753"/>
    </row>
    <row r="43" spans="1:13" ht="16.5" customHeight="1">
      <c r="A43" s="752"/>
      <c r="B43" s="777"/>
      <c r="C43" s="649"/>
      <c r="D43" s="649"/>
      <c r="E43" s="649"/>
      <c r="F43" s="649"/>
      <c r="G43" s="649"/>
      <c r="H43" s="649"/>
      <c r="I43" s="649"/>
      <c r="J43" s="649"/>
      <c r="K43" s="649"/>
      <c r="L43" s="778"/>
      <c r="M43" s="753"/>
    </row>
    <row r="44" spans="1:13" ht="15">
      <c r="A44" s="752"/>
      <c r="B44" s="777"/>
      <c r="C44" s="821" t="s">
        <v>2891</v>
      </c>
      <c r="D44" s="1126"/>
      <c r="E44" s="1126"/>
      <c r="F44" s="649"/>
      <c r="G44" s="649"/>
      <c r="H44" s="649"/>
      <c r="I44" s="1127" t="s">
        <v>3467</v>
      </c>
      <c r="J44" s="1127"/>
      <c r="K44" s="1127"/>
      <c r="L44" s="778"/>
      <c r="M44" s="753"/>
    </row>
    <row r="45" spans="1:13" ht="22.15" customHeight="1">
      <c r="A45" s="752"/>
      <c r="B45" s="777"/>
      <c r="C45" s="842">
        <v>46114</v>
      </c>
      <c r="D45" s="649"/>
      <c r="E45" s="649"/>
      <c r="F45" s="649"/>
      <c r="G45" s="649"/>
      <c r="H45" s="649"/>
      <c r="I45" s="1128" t="s">
        <v>3468</v>
      </c>
      <c r="J45" s="1128"/>
      <c r="K45" s="1128"/>
      <c r="L45" s="778"/>
      <c r="M45" s="753"/>
    </row>
    <row r="46" spans="1:13" ht="15" thickBot="1">
      <c r="A46" s="752"/>
      <c r="B46" s="781"/>
      <c r="C46" s="782"/>
      <c r="D46" s="782"/>
      <c r="E46" s="782"/>
      <c r="F46" s="782"/>
      <c r="G46" s="782"/>
      <c r="H46" s="782"/>
      <c r="I46" s="782"/>
      <c r="J46" s="782"/>
      <c r="K46" s="782"/>
      <c r="L46" s="783"/>
      <c r="M46" s="753"/>
    </row>
    <row r="47" spans="1:13" s="227" customFormat="1" ht="6.75" customHeight="1" thickTop="1" thickBot="1">
      <c r="A47" s="764"/>
      <c r="B47" s="765"/>
      <c r="C47" s="765"/>
      <c r="D47" s="765"/>
      <c r="E47" s="765"/>
      <c r="F47" s="765"/>
      <c r="G47" s="765"/>
      <c r="H47" s="765"/>
      <c r="I47" s="765"/>
      <c r="J47" s="765"/>
      <c r="K47" s="765"/>
      <c r="L47" s="765"/>
      <c r="M47" s="766"/>
    </row>
    <row r="48" spans="1:13" ht="15" thickTop="1"/>
  </sheetData>
  <mergeCells count="79">
    <mergeCell ref="B38:C38"/>
    <mergeCell ref="E32:G32"/>
    <mergeCell ref="I32:J32"/>
    <mergeCell ref="K32:L32"/>
    <mergeCell ref="E28:F28"/>
    <mergeCell ref="K28:L28"/>
    <mergeCell ref="B29:L29"/>
    <mergeCell ref="B30:C30"/>
    <mergeCell ref="E30:G30"/>
    <mergeCell ref="I30:J30"/>
    <mergeCell ref="K30:L30"/>
    <mergeCell ref="D44:E44"/>
    <mergeCell ref="I44:K44"/>
    <mergeCell ref="I45:K45"/>
    <mergeCell ref="D27:E27"/>
    <mergeCell ref="B27:C27"/>
    <mergeCell ref="B34:L34"/>
    <mergeCell ref="B35:C35"/>
    <mergeCell ref="K35:L35"/>
    <mergeCell ref="B36:C36"/>
    <mergeCell ref="K36:L36"/>
    <mergeCell ref="B37:C37"/>
    <mergeCell ref="B31:C31"/>
    <mergeCell ref="E31:G31"/>
    <mergeCell ref="I31:J31"/>
    <mergeCell ref="K31:L31"/>
    <mergeCell ref="B32:C32"/>
    <mergeCell ref="E24:F24"/>
    <mergeCell ref="G24:H24"/>
    <mergeCell ref="K24:L24"/>
    <mergeCell ref="B26:C26"/>
    <mergeCell ref="E26:F26"/>
    <mergeCell ref="G26:H26"/>
    <mergeCell ref="K26:L26"/>
    <mergeCell ref="B24:C24"/>
    <mergeCell ref="B25:C25"/>
    <mergeCell ref="E25:F25"/>
    <mergeCell ref="G25:H25"/>
    <mergeCell ref="K25:L25"/>
    <mergeCell ref="B22:C22"/>
    <mergeCell ref="E22:F22"/>
    <mergeCell ref="G22:H22"/>
    <mergeCell ref="K22:L22"/>
    <mergeCell ref="B23:C23"/>
    <mergeCell ref="E23:F23"/>
    <mergeCell ref="G23:H23"/>
    <mergeCell ref="K23:L23"/>
    <mergeCell ref="B20:C20"/>
    <mergeCell ref="E20:F20"/>
    <mergeCell ref="G20:H20"/>
    <mergeCell ref="K20:L20"/>
    <mergeCell ref="B21:C21"/>
    <mergeCell ref="E21:F21"/>
    <mergeCell ref="G21:H21"/>
    <mergeCell ref="K21:L21"/>
    <mergeCell ref="B16:L16"/>
    <mergeCell ref="B17:C19"/>
    <mergeCell ref="D17:F17"/>
    <mergeCell ref="G17:L17"/>
    <mergeCell ref="G18:H19"/>
    <mergeCell ref="I18:I19"/>
    <mergeCell ref="J18:J19"/>
    <mergeCell ref="K18:L19"/>
    <mergeCell ref="D18:D19"/>
    <mergeCell ref="E18:F19"/>
    <mergeCell ref="E15:G15"/>
    <mergeCell ref="H15:I15"/>
    <mergeCell ref="J15:L15"/>
    <mergeCell ref="I9:L9"/>
    <mergeCell ref="B10:L10"/>
    <mergeCell ref="B11:L11"/>
    <mergeCell ref="D12:E12"/>
    <mergeCell ref="G12:I12"/>
    <mergeCell ref="K12:L12"/>
    <mergeCell ref="E13:G13"/>
    <mergeCell ref="J13:L13"/>
    <mergeCell ref="E14:G14"/>
    <mergeCell ref="H14:I14"/>
    <mergeCell ref="J14:L14"/>
  </mergeCells>
  <pageMargins left="0" right="0" top="0" bottom="0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FFC000"/>
  </sheetPr>
  <dimension ref="A1:R85"/>
  <sheetViews>
    <sheetView workbookViewId="0">
      <selection activeCell="D47" sqref="D47"/>
    </sheetView>
  </sheetViews>
  <sheetFormatPr defaultRowHeight="16"/>
  <cols>
    <col min="1" max="1" width="8.81640625" style="439"/>
    <col min="2" max="2" width="24.54296875" customWidth="1"/>
    <col min="3" max="3" width="24.453125" customWidth="1"/>
    <col min="4" max="4" width="24.1796875" customWidth="1"/>
    <col min="5" max="5" width="12.54296875" customWidth="1"/>
    <col min="6" max="6" width="15.1796875" customWidth="1"/>
    <col min="10" max="13" width="11.81640625" style="486" customWidth="1"/>
    <col min="14" max="14" width="2.54296875" customWidth="1"/>
  </cols>
  <sheetData>
    <row r="1" spans="1:18" ht="15">
      <c r="A1" s="439">
        <v>1</v>
      </c>
      <c r="B1" s="812">
        <v>2</v>
      </c>
      <c r="C1" s="439">
        <v>3</v>
      </c>
      <c r="D1" s="812">
        <v>4</v>
      </c>
      <c r="E1" s="439">
        <v>5</v>
      </c>
      <c r="F1" s="812">
        <v>6</v>
      </c>
      <c r="G1" s="439">
        <v>7</v>
      </c>
      <c r="H1" s="812">
        <v>8</v>
      </c>
      <c r="I1" s="439">
        <v>9</v>
      </c>
      <c r="J1" s="812">
        <v>10</v>
      </c>
      <c r="K1" s="439">
        <v>11</v>
      </c>
      <c r="L1" s="812">
        <v>12</v>
      </c>
      <c r="M1" s="439">
        <v>13</v>
      </c>
      <c r="N1" s="812">
        <v>14</v>
      </c>
      <c r="O1" s="439">
        <v>15</v>
      </c>
      <c r="P1" s="812">
        <v>16</v>
      </c>
      <c r="Q1" s="439">
        <v>17</v>
      </c>
      <c r="R1" s="812">
        <v>18</v>
      </c>
    </row>
    <row r="2" spans="1:18" ht="16.5" thickBot="1">
      <c r="C2" s="478" t="s">
        <v>3235</v>
      </c>
      <c r="J2" s="1215" t="s">
        <v>75</v>
      </c>
      <c r="K2" s="1215"/>
      <c r="L2" s="1215"/>
      <c r="M2" s="1215"/>
    </row>
    <row r="3" spans="1:18" s="3" customFormat="1" ht="45.65" customHeight="1" thickTop="1">
      <c r="A3" s="1" t="s">
        <v>0</v>
      </c>
      <c r="B3" s="332" t="s">
        <v>1</v>
      </c>
      <c r="C3" s="332" t="s">
        <v>2</v>
      </c>
      <c r="D3" s="332" t="s">
        <v>3</v>
      </c>
      <c r="E3" s="1" t="s">
        <v>4</v>
      </c>
      <c r="F3" s="1" t="s">
        <v>5</v>
      </c>
      <c r="G3" s="4" t="s">
        <v>6</v>
      </c>
      <c r="H3" s="244" t="s">
        <v>7</v>
      </c>
      <c r="I3" s="244" t="s">
        <v>8</v>
      </c>
      <c r="J3" s="487" t="s">
        <v>9</v>
      </c>
      <c r="K3" s="488" t="s">
        <v>10</v>
      </c>
      <c r="L3" s="488" t="s">
        <v>11</v>
      </c>
      <c r="M3" s="488" t="s">
        <v>1688</v>
      </c>
      <c r="N3" s="228"/>
      <c r="O3" s="514" t="s">
        <v>9</v>
      </c>
      <c r="P3" s="514" t="s">
        <v>10</v>
      </c>
      <c r="Q3" s="514" t="s">
        <v>11</v>
      </c>
      <c r="R3" s="514" t="s">
        <v>1687</v>
      </c>
    </row>
    <row r="4" spans="1:18" ht="17.5">
      <c r="A4" s="241" t="s">
        <v>3154</v>
      </c>
      <c r="B4" s="333" t="s">
        <v>1745</v>
      </c>
      <c r="C4" s="333" t="s">
        <v>51</v>
      </c>
      <c r="D4" s="333" t="s">
        <v>688</v>
      </c>
      <c r="E4" s="334" t="s">
        <v>1746</v>
      </c>
      <c r="F4" s="334" t="s">
        <v>1747</v>
      </c>
      <c r="G4" s="334" t="s">
        <v>1748</v>
      </c>
      <c r="H4" s="229" t="s">
        <v>1652</v>
      </c>
      <c r="I4" s="484" t="s">
        <v>2059</v>
      </c>
      <c r="J4" s="489">
        <v>53</v>
      </c>
      <c r="K4" s="489">
        <v>55</v>
      </c>
      <c r="L4" s="489">
        <v>51</v>
      </c>
      <c r="M4" s="489">
        <v>50</v>
      </c>
      <c r="O4" s="631">
        <v>90</v>
      </c>
      <c r="P4" s="631">
        <v>94</v>
      </c>
      <c r="Q4" s="631">
        <v>78</v>
      </c>
      <c r="R4" s="631">
        <v>80</v>
      </c>
    </row>
    <row r="5" spans="1:18" ht="17.5">
      <c r="A5" s="241" t="s">
        <v>3155</v>
      </c>
      <c r="B5" s="333" t="s">
        <v>1807</v>
      </c>
      <c r="C5" s="333" t="s">
        <v>35</v>
      </c>
      <c r="D5" s="333" t="s">
        <v>1808</v>
      </c>
      <c r="E5" s="334" t="s">
        <v>1809</v>
      </c>
      <c r="F5" s="334" t="s">
        <v>1810</v>
      </c>
      <c r="G5" s="334" t="s">
        <v>1811</v>
      </c>
      <c r="H5" s="229" t="s">
        <v>1652</v>
      </c>
      <c r="I5" s="484" t="s">
        <v>2059</v>
      </c>
      <c r="J5" s="489">
        <v>60</v>
      </c>
      <c r="K5" s="489">
        <v>58</v>
      </c>
      <c r="L5" s="489">
        <v>58</v>
      </c>
      <c r="M5" s="489">
        <v>57</v>
      </c>
      <c r="O5" s="631">
        <v>97</v>
      </c>
      <c r="P5" s="631">
        <v>98</v>
      </c>
      <c r="Q5" s="631">
        <v>94</v>
      </c>
      <c r="R5" s="631">
        <v>95</v>
      </c>
    </row>
    <row r="6" spans="1:18" ht="17.5">
      <c r="A6" s="241" t="s">
        <v>3156</v>
      </c>
      <c r="B6" s="333" t="s">
        <v>1715</v>
      </c>
      <c r="C6" s="333" t="s">
        <v>47</v>
      </c>
      <c r="D6" s="333" t="s">
        <v>1717</v>
      </c>
      <c r="E6" s="334" t="s">
        <v>1716</v>
      </c>
      <c r="F6" s="334" t="s">
        <v>1718</v>
      </c>
      <c r="G6" s="334" t="s">
        <v>1719</v>
      </c>
      <c r="H6" s="229" t="s">
        <v>1652</v>
      </c>
      <c r="I6" s="484" t="s">
        <v>2059</v>
      </c>
      <c r="J6" s="489">
        <v>58</v>
      </c>
      <c r="K6" s="489">
        <v>52</v>
      </c>
      <c r="L6" s="489">
        <v>60</v>
      </c>
      <c r="M6" s="489">
        <v>56</v>
      </c>
      <c r="O6" s="631">
        <v>86</v>
      </c>
      <c r="P6" s="631">
        <v>80</v>
      </c>
      <c r="Q6" s="631">
        <v>89</v>
      </c>
      <c r="R6" s="631">
        <v>86</v>
      </c>
    </row>
    <row r="7" spans="1:18" ht="17.5">
      <c r="A7" s="241" t="s">
        <v>3157</v>
      </c>
      <c r="B7" s="333" t="s">
        <v>1725</v>
      </c>
      <c r="C7" s="333" t="s">
        <v>994</v>
      </c>
      <c r="D7" s="333" t="s">
        <v>882</v>
      </c>
      <c r="E7" s="334" t="s">
        <v>1726</v>
      </c>
      <c r="F7" s="334" t="s">
        <v>1727</v>
      </c>
      <c r="G7" s="334" t="s">
        <v>1728</v>
      </c>
      <c r="H7" s="229" t="s">
        <v>1652</v>
      </c>
      <c r="I7" s="484" t="s">
        <v>2059</v>
      </c>
      <c r="J7" s="489">
        <v>54</v>
      </c>
      <c r="K7" s="489">
        <v>55</v>
      </c>
      <c r="L7" s="489">
        <v>56</v>
      </c>
      <c r="M7" s="489">
        <v>53</v>
      </c>
      <c r="O7" s="631">
        <v>91</v>
      </c>
      <c r="P7" s="631">
        <v>86</v>
      </c>
      <c r="Q7" s="631">
        <v>77</v>
      </c>
      <c r="R7" s="631">
        <v>79</v>
      </c>
    </row>
    <row r="8" spans="1:18" ht="17.5">
      <c r="A8" s="241" t="s">
        <v>3158</v>
      </c>
      <c r="B8" s="333" t="s">
        <v>1869</v>
      </c>
      <c r="C8" s="333" t="s">
        <v>632</v>
      </c>
      <c r="D8" s="333" t="s">
        <v>1870</v>
      </c>
      <c r="E8" s="334" t="s">
        <v>1871</v>
      </c>
      <c r="F8" s="334" t="s">
        <v>1872</v>
      </c>
      <c r="G8" s="334" t="s">
        <v>1873</v>
      </c>
      <c r="H8" s="229" t="s">
        <v>1652</v>
      </c>
      <c r="I8" s="484" t="s">
        <v>2059</v>
      </c>
      <c r="J8" s="489">
        <v>60</v>
      </c>
      <c r="K8" s="489">
        <v>60</v>
      </c>
      <c r="L8" s="489">
        <v>58</v>
      </c>
      <c r="M8" s="489">
        <v>58</v>
      </c>
      <c r="O8" s="631">
        <v>93</v>
      </c>
      <c r="P8" s="631">
        <v>97</v>
      </c>
      <c r="Q8" s="631">
        <v>95</v>
      </c>
      <c r="R8" s="631">
        <v>94</v>
      </c>
    </row>
    <row r="9" spans="1:18" ht="17.5">
      <c r="A9" s="241" t="s">
        <v>3159</v>
      </c>
      <c r="B9" s="333" t="s">
        <v>1874</v>
      </c>
      <c r="C9" s="333" t="s">
        <v>1875</v>
      </c>
      <c r="D9" s="333" t="s">
        <v>1876</v>
      </c>
      <c r="E9" s="334" t="s">
        <v>1877</v>
      </c>
      <c r="F9" s="334" t="s">
        <v>1878</v>
      </c>
      <c r="G9" s="334" t="s">
        <v>1879</v>
      </c>
      <c r="H9" s="229" t="s">
        <v>1652</v>
      </c>
      <c r="I9" s="484" t="s">
        <v>2059</v>
      </c>
      <c r="J9" s="489">
        <v>53</v>
      </c>
      <c r="K9" s="489">
        <v>50</v>
      </c>
      <c r="L9" s="489">
        <v>59</v>
      </c>
      <c r="M9" s="489">
        <v>56</v>
      </c>
      <c r="O9" s="631">
        <v>85</v>
      </c>
      <c r="P9" s="631">
        <v>75</v>
      </c>
      <c r="Q9" s="631">
        <v>88</v>
      </c>
      <c r="R9" s="631">
        <v>81</v>
      </c>
    </row>
    <row r="10" spans="1:18" ht="17.5">
      <c r="A10" s="241" t="s">
        <v>3160</v>
      </c>
      <c r="B10" s="333" t="s">
        <v>1780</v>
      </c>
      <c r="C10" s="333" t="s">
        <v>1781</v>
      </c>
      <c r="D10" s="333" t="s">
        <v>1782</v>
      </c>
      <c r="E10" s="334" t="s">
        <v>1783</v>
      </c>
      <c r="F10" s="334" t="s">
        <v>1784</v>
      </c>
      <c r="G10" s="334" t="s">
        <v>1785</v>
      </c>
      <c r="H10" s="229" t="s">
        <v>1652</v>
      </c>
      <c r="I10" s="484" t="s">
        <v>2059</v>
      </c>
      <c r="J10" s="489">
        <v>58</v>
      </c>
      <c r="K10" s="489">
        <v>53</v>
      </c>
      <c r="L10" s="489">
        <v>53</v>
      </c>
      <c r="M10" s="489">
        <v>57</v>
      </c>
      <c r="O10" s="631">
        <v>80</v>
      </c>
      <c r="P10" s="631">
        <v>76</v>
      </c>
      <c r="Q10" s="631">
        <v>83</v>
      </c>
      <c r="R10" s="631">
        <v>80</v>
      </c>
    </row>
    <row r="11" spans="1:18" ht="17.5">
      <c r="A11" s="241" t="s">
        <v>3161</v>
      </c>
      <c r="B11" s="333" t="s">
        <v>1780</v>
      </c>
      <c r="C11" s="333" t="s">
        <v>2005</v>
      </c>
      <c r="D11" s="333" t="s">
        <v>2006</v>
      </c>
      <c r="E11" s="334" t="s">
        <v>2007</v>
      </c>
      <c r="F11" s="334" t="s">
        <v>2008</v>
      </c>
      <c r="G11" s="334" t="s">
        <v>2009</v>
      </c>
      <c r="H11" s="229" t="s">
        <v>1652</v>
      </c>
      <c r="I11" s="484" t="s">
        <v>2059</v>
      </c>
      <c r="J11" s="489">
        <v>56</v>
      </c>
      <c r="K11" s="489">
        <v>53</v>
      </c>
      <c r="L11" s="489">
        <v>57</v>
      </c>
      <c r="M11" s="489">
        <v>56</v>
      </c>
      <c r="O11" s="631">
        <v>81</v>
      </c>
      <c r="P11" s="631">
        <v>78</v>
      </c>
      <c r="Q11" s="631">
        <v>86</v>
      </c>
      <c r="R11" s="631">
        <v>83</v>
      </c>
    </row>
    <row r="12" spans="1:18" ht="17.5">
      <c r="A12" s="241" t="s">
        <v>3162</v>
      </c>
      <c r="B12" s="333" t="s">
        <v>1812</v>
      </c>
      <c r="C12" s="333" t="s">
        <v>1813</v>
      </c>
      <c r="D12" s="333" t="s">
        <v>1814</v>
      </c>
      <c r="E12" s="334" t="s">
        <v>1815</v>
      </c>
      <c r="F12" s="334" t="s">
        <v>1816</v>
      </c>
      <c r="G12" s="334" t="s">
        <v>1817</v>
      </c>
      <c r="H12" s="229" t="s">
        <v>1652</v>
      </c>
      <c r="I12" s="484" t="s">
        <v>2059</v>
      </c>
      <c r="J12" s="489">
        <v>50</v>
      </c>
      <c r="K12" s="489">
        <v>54</v>
      </c>
      <c r="L12" s="489">
        <v>52</v>
      </c>
      <c r="M12" s="489">
        <v>56</v>
      </c>
      <c r="O12" s="631">
        <v>80</v>
      </c>
      <c r="P12" s="631">
        <v>90</v>
      </c>
      <c r="Q12" s="631">
        <v>81</v>
      </c>
      <c r="R12" s="631">
        <v>78</v>
      </c>
    </row>
    <row r="13" spans="1:18" ht="17.5">
      <c r="A13" s="241" t="s">
        <v>3163</v>
      </c>
      <c r="B13" s="333" t="s">
        <v>823</v>
      </c>
      <c r="C13" s="333" t="s">
        <v>1657</v>
      </c>
      <c r="D13" s="333" t="s">
        <v>1767</v>
      </c>
      <c r="E13" s="334" t="s">
        <v>1768</v>
      </c>
      <c r="F13" s="334" t="s">
        <v>1769</v>
      </c>
      <c r="G13" s="334" t="s">
        <v>1770</v>
      </c>
      <c r="H13" s="229" t="s">
        <v>1652</v>
      </c>
      <c r="I13" s="484" t="s">
        <v>2059</v>
      </c>
      <c r="J13" s="489">
        <v>53</v>
      </c>
      <c r="K13" s="489">
        <v>55</v>
      </c>
      <c r="L13" s="489">
        <v>52</v>
      </c>
      <c r="M13" s="489">
        <v>55</v>
      </c>
      <c r="O13" s="631">
        <v>87</v>
      </c>
      <c r="P13" s="631">
        <v>82</v>
      </c>
      <c r="Q13" s="631">
        <v>84</v>
      </c>
      <c r="R13" s="631">
        <v>79</v>
      </c>
    </row>
    <row r="14" spans="1:18" ht="17.5">
      <c r="A14" s="241" t="s">
        <v>3164</v>
      </c>
      <c r="B14" s="333" t="s">
        <v>1863</v>
      </c>
      <c r="C14" s="333" t="s">
        <v>1864</v>
      </c>
      <c r="D14" s="333" t="s">
        <v>1865</v>
      </c>
      <c r="E14" s="334" t="s">
        <v>1866</v>
      </c>
      <c r="F14" s="334" t="s">
        <v>1867</v>
      </c>
      <c r="G14" s="334" t="s">
        <v>1868</v>
      </c>
      <c r="H14" s="229" t="s">
        <v>1652</v>
      </c>
      <c r="I14" s="484" t="s">
        <v>2059</v>
      </c>
      <c r="J14" s="489">
        <v>56</v>
      </c>
      <c r="K14" s="489">
        <v>60</v>
      </c>
      <c r="L14" s="489">
        <v>58</v>
      </c>
      <c r="M14" s="489">
        <v>52</v>
      </c>
      <c r="N14" s="813"/>
      <c r="O14" s="815">
        <v>92</v>
      </c>
      <c r="P14" s="815">
        <v>89</v>
      </c>
      <c r="Q14" s="631">
        <v>93</v>
      </c>
      <c r="R14" s="631">
        <v>94</v>
      </c>
    </row>
    <row r="15" spans="1:18" ht="17.5">
      <c r="A15" s="241" t="s">
        <v>3165</v>
      </c>
      <c r="B15" s="333" t="s">
        <v>1761</v>
      </c>
      <c r="C15" s="333" t="s">
        <v>1762</v>
      </c>
      <c r="D15" s="333" t="s">
        <v>1763</v>
      </c>
      <c r="E15" s="334" t="s">
        <v>1764</v>
      </c>
      <c r="F15" s="334" t="s">
        <v>1765</v>
      </c>
      <c r="G15" s="334" t="s">
        <v>1766</v>
      </c>
      <c r="H15" s="229" t="s">
        <v>1652</v>
      </c>
      <c r="I15" s="484" t="s">
        <v>2059</v>
      </c>
      <c r="J15" s="489">
        <v>60</v>
      </c>
      <c r="K15" s="489">
        <v>60</v>
      </c>
      <c r="L15" s="489">
        <v>60</v>
      </c>
      <c r="M15" s="489">
        <v>57</v>
      </c>
      <c r="O15" s="631">
        <v>96</v>
      </c>
      <c r="P15" s="631">
        <v>96</v>
      </c>
      <c r="Q15" s="631">
        <v>95</v>
      </c>
      <c r="R15" s="631">
        <v>95</v>
      </c>
    </row>
    <row r="16" spans="1:18" ht="17.5">
      <c r="A16" s="241" t="s">
        <v>3166</v>
      </c>
      <c r="B16" s="333" t="s">
        <v>1776</v>
      </c>
      <c r="C16" s="333" t="s">
        <v>109</v>
      </c>
      <c r="D16" s="333" t="s">
        <v>134</v>
      </c>
      <c r="E16" s="334" t="s">
        <v>1777</v>
      </c>
      <c r="F16" s="334" t="s">
        <v>1778</v>
      </c>
      <c r="G16" s="334" t="s">
        <v>1779</v>
      </c>
      <c r="H16" s="229" t="s">
        <v>1652</v>
      </c>
      <c r="I16" s="484" t="s">
        <v>2059</v>
      </c>
      <c r="J16" s="489">
        <v>59</v>
      </c>
      <c r="K16" s="489">
        <v>60</v>
      </c>
      <c r="L16" s="489">
        <v>50</v>
      </c>
      <c r="M16" s="489">
        <v>59</v>
      </c>
      <c r="O16" s="631">
        <v>96</v>
      </c>
      <c r="P16" s="631">
        <v>98</v>
      </c>
      <c r="Q16" s="631">
        <v>94</v>
      </c>
      <c r="R16" s="631">
        <v>96</v>
      </c>
    </row>
    <row r="17" spans="1:18" ht="17.5">
      <c r="A17" s="241" t="s">
        <v>3167</v>
      </c>
      <c r="B17" s="333" t="s">
        <v>1786</v>
      </c>
      <c r="C17" s="333" t="s">
        <v>1787</v>
      </c>
      <c r="D17" s="333" t="s">
        <v>1788</v>
      </c>
      <c r="E17" s="334" t="s">
        <v>1789</v>
      </c>
      <c r="F17" s="334" t="s">
        <v>1790</v>
      </c>
      <c r="G17" s="334" t="s">
        <v>1791</v>
      </c>
      <c r="H17" s="229" t="s">
        <v>1652</v>
      </c>
      <c r="I17" s="484" t="s">
        <v>2059</v>
      </c>
      <c r="J17" s="489">
        <v>60</v>
      </c>
      <c r="K17" s="489">
        <v>60</v>
      </c>
      <c r="L17" s="489">
        <v>58</v>
      </c>
      <c r="M17" s="489">
        <v>57</v>
      </c>
      <c r="O17" s="631">
        <v>90</v>
      </c>
      <c r="P17" s="631">
        <v>97</v>
      </c>
      <c r="Q17" s="631">
        <v>90</v>
      </c>
      <c r="R17" s="631">
        <v>96</v>
      </c>
    </row>
    <row r="18" spans="1:18" ht="17.5">
      <c r="A18" s="241" t="s">
        <v>3168</v>
      </c>
      <c r="B18" s="333" t="s">
        <v>1797</v>
      </c>
      <c r="C18" s="333" t="s">
        <v>1798</v>
      </c>
      <c r="D18" s="333" t="s">
        <v>1799</v>
      </c>
      <c r="E18" s="334" t="s">
        <v>1712</v>
      </c>
      <c r="F18" s="334" t="s">
        <v>1800</v>
      </c>
      <c r="G18" s="334" t="s">
        <v>1801</v>
      </c>
      <c r="H18" s="229" t="s">
        <v>1652</v>
      </c>
      <c r="I18" s="484" t="s">
        <v>2059</v>
      </c>
      <c r="J18" s="489">
        <v>50</v>
      </c>
      <c r="K18" s="489">
        <v>50</v>
      </c>
      <c r="L18" s="489">
        <v>48</v>
      </c>
      <c r="M18" s="489">
        <v>54</v>
      </c>
      <c r="O18" s="631">
        <v>87</v>
      </c>
      <c r="P18" s="631">
        <v>79</v>
      </c>
      <c r="Q18" s="631">
        <v>88</v>
      </c>
      <c r="R18" s="631">
        <v>86</v>
      </c>
    </row>
    <row r="19" spans="1:18" ht="17.5">
      <c r="A19" s="241" t="s">
        <v>3169</v>
      </c>
      <c r="B19" s="333" t="s">
        <v>1802</v>
      </c>
      <c r="C19" s="333" t="s">
        <v>1803</v>
      </c>
      <c r="D19" s="333" t="s">
        <v>1804</v>
      </c>
      <c r="E19" s="334" t="s">
        <v>1060</v>
      </c>
      <c r="F19" s="334" t="s">
        <v>1805</v>
      </c>
      <c r="G19" s="334" t="s">
        <v>1806</v>
      </c>
      <c r="H19" s="229" t="s">
        <v>1652</v>
      </c>
      <c r="I19" s="484" t="s">
        <v>2059</v>
      </c>
      <c r="J19" s="489">
        <v>52</v>
      </c>
      <c r="K19" s="489">
        <v>53</v>
      </c>
      <c r="L19" s="489">
        <v>56</v>
      </c>
      <c r="M19" s="489">
        <v>56</v>
      </c>
      <c r="O19" s="631">
        <v>91</v>
      </c>
      <c r="P19" s="631">
        <v>87</v>
      </c>
      <c r="Q19" s="631">
        <v>84</v>
      </c>
      <c r="R19" s="631">
        <v>84</v>
      </c>
    </row>
    <row r="20" spans="1:18" ht="17.5">
      <c r="A20" s="241" t="s">
        <v>3170</v>
      </c>
      <c r="B20" s="333" t="s">
        <v>1703</v>
      </c>
      <c r="C20" s="333" t="s">
        <v>1704</v>
      </c>
      <c r="D20" s="333" t="s">
        <v>1705</v>
      </c>
      <c r="E20" s="334" t="s">
        <v>1011</v>
      </c>
      <c r="F20" s="334" t="s">
        <v>1706</v>
      </c>
      <c r="G20" s="334" t="s">
        <v>1707</v>
      </c>
      <c r="H20" s="229" t="s">
        <v>1652</v>
      </c>
      <c r="I20" s="484" t="s">
        <v>2059</v>
      </c>
      <c r="J20" s="489">
        <v>60</v>
      </c>
      <c r="K20" s="489">
        <v>60</v>
      </c>
      <c r="L20" s="489">
        <v>59</v>
      </c>
      <c r="M20" s="489">
        <v>60</v>
      </c>
      <c r="O20" s="631">
        <v>96</v>
      </c>
      <c r="P20" s="631">
        <v>97</v>
      </c>
      <c r="Q20" s="631">
        <v>95</v>
      </c>
      <c r="R20" s="631">
        <v>96</v>
      </c>
    </row>
    <row r="21" spans="1:18" ht="17.5">
      <c r="A21" s="241" t="s">
        <v>3171</v>
      </c>
      <c r="B21" s="333" t="s">
        <v>1886</v>
      </c>
      <c r="C21" s="333" t="s">
        <v>1887</v>
      </c>
      <c r="D21" s="333" t="s">
        <v>1888</v>
      </c>
      <c r="E21" s="334" t="s">
        <v>1889</v>
      </c>
      <c r="F21" s="334" t="s">
        <v>1890</v>
      </c>
      <c r="G21" s="334" t="s">
        <v>1891</v>
      </c>
      <c r="H21" s="229" t="s">
        <v>1652</v>
      </c>
      <c r="I21" s="484" t="s">
        <v>2059</v>
      </c>
      <c r="J21" s="489">
        <v>60</v>
      </c>
      <c r="K21" s="489">
        <v>55</v>
      </c>
      <c r="L21" s="489">
        <v>59</v>
      </c>
      <c r="M21" s="489">
        <v>57</v>
      </c>
      <c r="O21" s="631">
        <v>93</v>
      </c>
      <c r="P21" s="631">
        <v>78</v>
      </c>
      <c r="Q21" s="631">
        <v>81</v>
      </c>
      <c r="R21" s="631">
        <v>82</v>
      </c>
    </row>
    <row r="22" spans="1:18" ht="17.5">
      <c r="A22" s="241" t="s">
        <v>3172</v>
      </c>
      <c r="B22" s="333" t="s">
        <v>1829</v>
      </c>
      <c r="C22" s="333" t="s">
        <v>1830</v>
      </c>
      <c r="D22" s="333" t="s">
        <v>1831</v>
      </c>
      <c r="E22" s="334" t="s">
        <v>1832</v>
      </c>
      <c r="F22" s="334" t="s">
        <v>1833</v>
      </c>
      <c r="G22" s="334" t="s">
        <v>1834</v>
      </c>
      <c r="H22" s="229" t="s">
        <v>1652</v>
      </c>
      <c r="I22" s="484" t="s">
        <v>2059</v>
      </c>
      <c r="J22" s="489">
        <v>55</v>
      </c>
      <c r="K22" s="489">
        <v>57</v>
      </c>
      <c r="L22" s="489">
        <v>52</v>
      </c>
      <c r="M22" s="489">
        <v>54</v>
      </c>
      <c r="O22" s="631">
        <v>86</v>
      </c>
      <c r="P22" s="631">
        <v>75</v>
      </c>
      <c r="Q22" s="631">
        <v>79</v>
      </c>
      <c r="R22" s="631">
        <v>77</v>
      </c>
    </row>
    <row r="23" spans="1:18" ht="17.5">
      <c r="A23" s="241" t="s">
        <v>3173</v>
      </c>
      <c r="B23" s="333" t="s">
        <v>1729</v>
      </c>
      <c r="C23" s="333" t="s">
        <v>1730</v>
      </c>
      <c r="D23" s="333" t="s">
        <v>1731</v>
      </c>
      <c r="E23" s="334" t="s">
        <v>1732</v>
      </c>
      <c r="F23" s="334" t="s">
        <v>1733</v>
      </c>
      <c r="G23" s="334" t="s">
        <v>1734</v>
      </c>
      <c r="H23" s="229" t="s">
        <v>1652</v>
      </c>
      <c r="I23" s="484" t="s">
        <v>2059</v>
      </c>
      <c r="J23" s="489">
        <v>60</v>
      </c>
      <c r="K23" s="489">
        <v>60</v>
      </c>
      <c r="L23" s="489">
        <v>57</v>
      </c>
      <c r="M23" s="489">
        <v>55</v>
      </c>
      <c r="O23" s="631">
        <v>95</v>
      </c>
      <c r="P23" s="631">
        <v>97</v>
      </c>
      <c r="Q23" s="631">
        <v>95</v>
      </c>
      <c r="R23" s="631">
        <v>94</v>
      </c>
    </row>
    <row r="24" spans="1:18" ht="17.5">
      <c r="A24" s="241" t="s">
        <v>3174</v>
      </c>
      <c r="B24" s="333" t="s">
        <v>2867</v>
      </c>
      <c r="C24" s="333" t="s">
        <v>1850</v>
      </c>
      <c r="D24" s="333" t="s">
        <v>1851</v>
      </c>
      <c r="E24" s="334" t="s">
        <v>1852</v>
      </c>
      <c r="F24" s="334" t="s">
        <v>2341</v>
      </c>
      <c r="G24" s="334" t="s">
        <v>1853</v>
      </c>
      <c r="H24" s="229" t="s">
        <v>1652</v>
      </c>
      <c r="I24" s="484" t="s">
        <v>2059</v>
      </c>
      <c r="J24" s="489">
        <v>51</v>
      </c>
      <c r="K24" s="489">
        <v>54</v>
      </c>
      <c r="L24" s="489">
        <v>54</v>
      </c>
      <c r="M24" s="489">
        <v>54</v>
      </c>
      <c r="O24" s="631">
        <v>79</v>
      </c>
      <c r="P24" s="631">
        <v>78</v>
      </c>
      <c r="Q24" s="631">
        <v>85</v>
      </c>
      <c r="R24" s="631">
        <v>76</v>
      </c>
    </row>
    <row r="25" spans="1:18" ht="17.5">
      <c r="A25" s="241" t="s">
        <v>3175</v>
      </c>
      <c r="B25" s="333" t="s">
        <v>1771</v>
      </c>
      <c r="C25" s="333" t="s">
        <v>1772</v>
      </c>
      <c r="D25" s="333" t="s">
        <v>34</v>
      </c>
      <c r="E25" s="334" t="s">
        <v>1773</v>
      </c>
      <c r="F25" s="334" t="s">
        <v>1774</v>
      </c>
      <c r="G25" s="334" t="s">
        <v>1775</v>
      </c>
      <c r="H25" s="229" t="s">
        <v>1652</v>
      </c>
      <c r="I25" s="484" t="s">
        <v>2059</v>
      </c>
      <c r="J25" s="489">
        <v>52</v>
      </c>
      <c r="K25" s="489">
        <v>50</v>
      </c>
      <c r="L25" s="489">
        <v>57</v>
      </c>
      <c r="M25" s="489">
        <v>58</v>
      </c>
      <c r="O25" s="631">
        <v>81</v>
      </c>
      <c r="P25" s="631">
        <v>75</v>
      </c>
      <c r="Q25" s="631">
        <v>76</v>
      </c>
      <c r="R25" s="631">
        <v>78</v>
      </c>
    </row>
    <row r="26" spans="1:18" ht="17.5">
      <c r="A26" s="241" t="s">
        <v>3176</v>
      </c>
      <c r="B26" s="333" t="s">
        <v>1824</v>
      </c>
      <c r="C26" s="333" t="s">
        <v>1825</v>
      </c>
      <c r="D26" s="333" t="s">
        <v>917</v>
      </c>
      <c r="E26" s="334" t="s">
        <v>1826</v>
      </c>
      <c r="F26" s="334" t="s">
        <v>1827</v>
      </c>
      <c r="G26" s="334" t="s">
        <v>1828</v>
      </c>
      <c r="H26" s="229" t="s">
        <v>1652</v>
      </c>
      <c r="I26" s="484" t="s">
        <v>2059</v>
      </c>
      <c r="J26" s="489">
        <v>50</v>
      </c>
      <c r="K26" s="489">
        <v>52</v>
      </c>
      <c r="L26" s="489">
        <v>57</v>
      </c>
      <c r="M26" s="489">
        <v>53</v>
      </c>
      <c r="O26" s="631">
        <v>80</v>
      </c>
      <c r="P26" s="631">
        <v>80</v>
      </c>
      <c r="Q26" s="631">
        <v>76</v>
      </c>
      <c r="R26" s="631">
        <v>80</v>
      </c>
    </row>
    <row r="27" spans="1:18" s="227" customFormat="1" ht="17.5">
      <c r="A27" s="526" t="s">
        <v>3177</v>
      </c>
      <c r="B27" s="527" t="s">
        <v>1880</v>
      </c>
      <c r="C27" s="527" t="s">
        <v>1881</v>
      </c>
      <c r="D27" s="527" t="s">
        <v>1882</v>
      </c>
      <c r="E27" s="528" t="s">
        <v>1883</v>
      </c>
      <c r="F27" s="528" t="s">
        <v>1884</v>
      </c>
      <c r="G27" s="528" t="s">
        <v>1885</v>
      </c>
      <c r="H27" s="529" t="s">
        <v>1652</v>
      </c>
      <c r="I27" s="530" t="s">
        <v>2059</v>
      </c>
      <c r="J27" s="531"/>
      <c r="K27" s="531"/>
      <c r="L27" s="531"/>
      <c r="M27" s="531"/>
      <c r="O27" s="816">
        <v>78</v>
      </c>
      <c r="P27" s="816">
        <v>75</v>
      </c>
      <c r="Q27" s="816">
        <v>81</v>
      </c>
      <c r="R27" s="816">
        <v>82</v>
      </c>
    </row>
    <row r="28" spans="1:18" ht="17.5">
      <c r="A28" s="241" t="s">
        <v>3178</v>
      </c>
      <c r="B28" s="333" t="s">
        <v>1854</v>
      </c>
      <c r="C28" s="333" t="s">
        <v>1438</v>
      </c>
      <c r="D28" s="333" t="s">
        <v>1439</v>
      </c>
      <c r="E28" s="334" t="s">
        <v>1855</v>
      </c>
      <c r="F28" s="334" t="s">
        <v>1856</v>
      </c>
      <c r="G28" s="334" t="s">
        <v>1857</v>
      </c>
      <c r="H28" s="229" t="s">
        <v>1652</v>
      </c>
      <c r="I28" s="484" t="s">
        <v>2059</v>
      </c>
      <c r="J28" s="489">
        <v>60</v>
      </c>
      <c r="K28" s="489">
        <v>57</v>
      </c>
      <c r="L28" s="489">
        <v>60</v>
      </c>
      <c r="M28" s="489">
        <v>58</v>
      </c>
      <c r="O28" s="631">
        <v>84</v>
      </c>
      <c r="P28" s="631">
        <v>79</v>
      </c>
      <c r="Q28" s="631">
        <v>87</v>
      </c>
      <c r="R28" s="631">
        <v>85</v>
      </c>
    </row>
    <row r="29" spans="1:18" ht="17.5">
      <c r="A29" s="241" t="s">
        <v>3179</v>
      </c>
      <c r="B29" s="333" t="s">
        <v>1754</v>
      </c>
      <c r="C29" s="333" t="s">
        <v>1336</v>
      </c>
      <c r="D29" s="333" t="s">
        <v>1337</v>
      </c>
      <c r="E29" s="334" t="s">
        <v>1755</v>
      </c>
      <c r="F29" s="334" t="s">
        <v>1756</v>
      </c>
      <c r="G29" s="334" t="s">
        <v>1757</v>
      </c>
      <c r="H29" s="229" t="s">
        <v>1652</v>
      </c>
      <c r="I29" s="484" t="s">
        <v>2059</v>
      </c>
      <c r="J29" s="489">
        <v>53</v>
      </c>
      <c r="K29" s="489">
        <v>54</v>
      </c>
      <c r="L29" s="489">
        <v>57</v>
      </c>
      <c r="M29" s="489">
        <v>55</v>
      </c>
      <c r="O29" s="631">
        <v>78</v>
      </c>
      <c r="P29" s="631">
        <v>81</v>
      </c>
      <c r="Q29" s="631">
        <v>75</v>
      </c>
      <c r="R29" s="631">
        <v>78</v>
      </c>
    </row>
    <row r="30" spans="1:18" ht="17.5">
      <c r="A30" s="241" t="s">
        <v>3180</v>
      </c>
      <c r="B30" s="333" t="s">
        <v>1858</v>
      </c>
      <c r="C30" s="333" t="s">
        <v>1859</v>
      </c>
      <c r="D30" s="333" t="s">
        <v>1556</v>
      </c>
      <c r="E30" s="334" t="s">
        <v>1860</v>
      </c>
      <c r="F30" s="334" t="s">
        <v>1861</v>
      </c>
      <c r="G30" s="334" t="s">
        <v>1862</v>
      </c>
      <c r="H30" s="229" t="s">
        <v>1652</v>
      </c>
      <c r="I30" s="484" t="s">
        <v>2059</v>
      </c>
      <c r="J30" s="489">
        <v>53</v>
      </c>
      <c r="K30" s="489">
        <v>50</v>
      </c>
      <c r="L30" s="489">
        <v>57</v>
      </c>
      <c r="M30" s="489">
        <v>56</v>
      </c>
      <c r="O30" s="631">
        <v>77</v>
      </c>
      <c r="P30" s="631">
        <v>75</v>
      </c>
      <c r="Q30" s="631">
        <v>77</v>
      </c>
      <c r="R30" s="631">
        <v>80</v>
      </c>
    </row>
    <row r="31" spans="1:18" s="227" customFormat="1" ht="17.5">
      <c r="A31" s="526" t="s">
        <v>3181</v>
      </c>
      <c r="B31" s="527" t="s">
        <v>3053</v>
      </c>
      <c r="C31" s="527" t="s">
        <v>3054</v>
      </c>
      <c r="D31" s="527" t="s">
        <v>350</v>
      </c>
      <c r="E31" s="528" t="s">
        <v>1889</v>
      </c>
      <c r="F31" s="528" t="s">
        <v>3245</v>
      </c>
      <c r="G31" s="528" t="s">
        <v>3055</v>
      </c>
      <c r="H31" s="529" t="s">
        <v>1652</v>
      </c>
      <c r="I31" s="530" t="s">
        <v>2059</v>
      </c>
      <c r="J31" s="531"/>
      <c r="K31" s="531"/>
      <c r="L31" s="531"/>
      <c r="M31" s="531"/>
      <c r="O31" s="816"/>
      <c r="P31" s="816"/>
      <c r="Q31" s="816"/>
      <c r="R31" s="816"/>
    </row>
    <row r="32" spans="1:18" ht="17.5">
      <c r="A32" s="241" t="s">
        <v>3182</v>
      </c>
      <c r="B32" s="333" t="s">
        <v>1846</v>
      </c>
      <c r="C32" s="333" t="s">
        <v>1151</v>
      </c>
      <c r="D32" s="333" t="s">
        <v>695</v>
      </c>
      <c r="E32" s="334" t="s">
        <v>1847</v>
      </c>
      <c r="F32" s="334" t="s">
        <v>1848</v>
      </c>
      <c r="G32" s="334" t="s">
        <v>1849</v>
      </c>
      <c r="H32" s="229" t="s">
        <v>1652</v>
      </c>
      <c r="I32" s="484" t="s">
        <v>2059</v>
      </c>
      <c r="J32" s="489">
        <v>60</v>
      </c>
      <c r="K32" s="489">
        <v>58</v>
      </c>
      <c r="L32" s="489">
        <v>50</v>
      </c>
      <c r="M32" s="489">
        <v>58</v>
      </c>
      <c r="O32" s="631">
        <v>89</v>
      </c>
      <c r="P32" s="631">
        <v>93</v>
      </c>
      <c r="Q32" s="631">
        <v>93</v>
      </c>
      <c r="R32" s="631">
        <v>90</v>
      </c>
    </row>
    <row r="33" spans="1:18" ht="17.5">
      <c r="A33" s="241" t="s">
        <v>3183</v>
      </c>
      <c r="B33" s="333" t="s">
        <v>1835</v>
      </c>
      <c r="C33" s="333" t="s">
        <v>1836</v>
      </c>
      <c r="D33" s="333" t="s">
        <v>1837</v>
      </c>
      <c r="E33" s="334" t="s">
        <v>1726</v>
      </c>
      <c r="F33" s="334" t="s">
        <v>1838</v>
      </c>
      <c r="G33" s="334" t="s">
        <v>1839</v>
      </c>
      <c r="H33" s="229" t="s">
        <v>1652</v>
      </c>
      <c r="I33" s="484" t="s">
        <v>2059</v>
      </c>
      <c r="J33" s="489">
        <v>60</v>
      </c>
      <c r="K33" s="489">
        <v>46</v>
      </c>
      <c r="L33" s="489">
        <v>60</v>
      </c>
      <c r="M33" s="489">
        <v>58</v>
      </c>
      <c r="O33" s="631">
        <v>94</v>
      </c>
      <c r="P33" s="631">
        <v>87</v>
      </c>
      <c r="Q33" s="631">
        <v>93</v>
      </c>
      <c r="R33" s="631">
        <v>91</v>
      </c>
    </row>
    <row r="34" spans="1:18" ht="17.5">
      <c r="A34" s="241" t="s">
        <v>3184</v>
      </c>
      <c r="B34" s="333" t="s">
        <v>1758</v>
      </c>
      <c r="C34" s="333" t="s">
        <v>1238</v>
      </c>
      <c r="D34" s="333" t="s">
        <v>488</v>
      </c>
      <c r="E34" s="334" t="s">
        <v>1751</v>
      </c>
      <c r="F34" s="334" t="s">
        <v>1759</v>
      </c>
      <c r="G34" s="334" t="s">
        <v>1760</v>
      </c>
      <c r="H34" s="229" t="s">
        <v>1652</v>
      </c>
      <c r="I34" s="484" t="s">
        <v>2059</v>
      </c>
      <c r="J34" s="489">
        <v>55</v>
      </c>
      <c r="K34" s="489">
        <v>57</v>
      </c>
      <c r="L34" s="489">
        <v>58</v>
      </c>
      <c r="M34" s="489">
        <v>56</v>
      </c>
      <c r="O34" s="631">
        <v>81</v>
      </c>
      <c r="P34" s="631">
        <v>84</v>
      </c>
      <c r="Q34" s="631">
        <v>81</v>
      </c>
      <c r="R34" s="631">
        <v>86</v>
      </c>
    </row>
    <row r="35" spans="1:18" ht="17.5">
      <c r="A35" s="241" t="s">
        <v>3185</v>
      </c>
      <c r="B35" s="333" t="s">
        <v>1740</v>
      </c>
      <c r="C35" s="333" t="s">
        <v>1741</v>
      </c>
      <c r="D35" s="333" t="s">
        <v>445</v>
      </c>
      <c r="E35" s="334" t="s">
        <v>1742</v>
      </c>
      <c r="F35" s="334" t="s">
        <v>1743</v>
      </c>
      <c r="G35" s="334" t="s">
        <v>1744</v>
      </c>
      <c r="H35" s="229" t="s">
        <v>1652</v>
      </c>
      <c r="I35" s="484" t="s">
        <v>2059</v>
      </c>
      <c r="J35" s="489">
        <v>53</v>
      </c>
      <c r="K35" s="489">
        <v>53</v>
      </c>
      <c r="L35" s="489">
        <v>53</v>
      </c>
      <c r="M35" s="489">
        <v>53</v>
      </c>
      <c r="O35" s="631">
        <v>80</v>
      </c>
      <c r="P35" s="631">
        <v>86</v>
      </c>
      <c r="Q35" s="631">
        <v>78</v>
      </c>
      <c r="R35" s="631">
        <v>76</v>
      </c>
    </row>
    <row r="36" spans="1:18" ht="17.5">
      <c r="A36" s="241" t="s">
        <v>3186</v>
      </c>
      <c r="B36" s="333" t="s">
        <v>1708</v>
      </c>
      <c r="C36" s="333" t="s">
        <v>1709</v>
      </c>
      <c r="D36" s="333" t="s">
        <v>1710</v>
      </c>
      <c r="E36" s="334" t="s">
        <v>1711</v>
      </c>
      <c r="F36" s="334" t="s">
        <v>1713</v>
      </c>
      <c r="G36" s="334" t="s">
        <v>1714</v>
      </c>
      <c r="H36" s="229" t="s">
        <v>1652</v>
      </c>
      <c r="I36" s="484" t="s">
        <v>2059</v>
      </c>
      <c r="J36" s="489">
        <v>55</v>
      </c>
      <c r="K36" s="489">
        <v>52</v>
      </c>
      <c r="L36" s="489">
        <v>53</v>
      </c>
      <c r="M36" s="489">
        <v>53</v>
      </c>
      <c r="O36" s="631">
        <v>77</v>
      </c>
      <c r="P36" s="631">
        <v>83</v>
      </c>
      <c r="Q36" s="631">
        <v>79</v>
      </c>
      <c r="R36" s="631">
        <v>75</v>
      </c>
    </row>
    <row r="37" spans="1:18" ht="17.5">
      <c r="A37" s="241" t="s">
        <v>3187</v>
      </c>
      <c r="B37" s="333" t="s">
        <v>1697</v>
      </c>
      <c r="C37" s="333" t="s">
        <v>1698</v>
      </c>
      <c r="D37" s="333" t="s">
        <v>1699</v>
      </c>
      <c r="E37" s="334" t="s">
        <v>1700</v>
      </c>
      <c r="F37" s="334" t="s">
        <v>1701</v>
      </c>
      <c r="G37" s="334" t="s">
        <v>1702</v>
      </c>
      <c r="H37" s="229" t="s">
        <v>1652</v>
      </c>
      <c r="I37" s="484" t="s">
        <v>2059</v>
      </c>
      <c r="J37" s="489">
        <v>53</v>
      </c>
      <c r="K37" s="489">
        <v>50</v>
      </c>
      <c r="L37" s="489">
        <v>54</v>
      </c>
      <c r="M37" s="489">
        <v>54</v>
      </c>
      <c r="O37" s="631">
        <v>87</v>
      </c>
      <c r="P37" s="631">
        <v>81</v>
      </c>
      <c r="Q37" s="631">
        <v>80</v>
      </c>
      <c r="R37" s="631">
        <v>77</v>
      </c>
    </row>
    <row r="38" spans="1:18" ht="17.5">
      <c r="A38" s="241" t="s">
        <v>3188</v>
      </c>
      <c r="B38" s="333" t="s">
        <v>1276</v>
      </c>
      <c r="C38" s="333" t="s">
        <v>1749</v>
      </c>
      <c r="D38" s="333" t="s">
        <v>1750</v>
      </c>
      <c r="E38" s="334" t="s">
        <v>1751</v>
      </c>
      <c r="F38" s="334" t="s">
        <v>1752</v>
      </c>
      <c r="G38" s="334" t="s">
        <v>1753</v>
      </c>
      <c r="H38" s="229" t="s">
        <v>1652</v>
      </c>
      <c r="I38" s="484" t="s">
        <v>2059</v>
      </c>
      <c r="J38" s="489">
        <v>60</v>
      </c>
      <c r="K38" s="489">
        <v>55</v>
      </c>
      <c r="L38" s="489">
        <v>60</v>
      </c>
      <c r="M38" s="489">
        <v>56</v>
      </c>
      <c r="O38" s="631">
        <v>96</v>
      </c>
      <c r="P38" s="631">
        <v>97</v>
      </c>
      <c r="Q38" s="631">
        <v>94</v>
      </c>
      <c r="R38" s="631">
        <v>96</v>
      </c>
    </row>
    <row r="39" spans="1:18" ht="17.5">
      <c r="A39" s="241" t="s">
        <v>3189</v>
      </c>
      <c r="B39" s="333" t="s">
        <v>1735</v>
      </c>
      <c r="C39" s="333" t="s">
        <v>441</v>
      </c>
      <c r="D39" s="333" t="s">
        <v>1736</v>
      </c>
      <c r="E39" s="334" t="s">
        <v>1737</v>
      </c>
      <c r="F39" s="334" t="s">
        <v>1738</v>
      </c>
      <c r="G39" s="334" t="s">
        <v>1739</v>
      </c>
      <c r="H39" s="229" t="s">
        <v>1652</v>
      </c>
      <c r="I39" s="484" t="s">
        <v>2059</v>
      </c>
      <c r="J39" s="489">
        <v>55</v>
      </c>
      <c r="K39" s="486">
        <v>52</v>
      </c>
      <c r="L39" s="489">
        <v>57</v>
      </c>
      <c r="M39" s="489">
        <v>46</v>
      </c>
      <c r="O39" s="631">
        <v>79</v>
      </c>
      <c r="P39" s="631">
        <v>76</v>
      </c>
      <c r="Q39" s="631">
        <v>75</v>
      </c>
      <c r="R39" s="631">
        <v>85</v>
      </c>
    </row>
    <row r="40" spans="1:18" ht="17.5">
      <c r="A40" s="241" t="s">
        <v>3190</v>
      </c>
      <c r="B40" s="333" t="s">
        <v>1792</v>
      </c>
      <c r="C40" s="333" t="s">
        <v>1793</v>
      </c>
      <c r="D40" s="333" t="s">
        <v>193</v>
      </c>
      <c r="E40" s="334" t="s">
        <v>1794</v>
      </c>
      <c r="F40" s="334" t="s">
        <v>1795</v>
      </c>
      <c r="G40" s="334" t="s">
        <v>1796</v>
      </c>
      <c r="H40" s="229" t="s">
        <v>1652</v>
      </c>
      <c r="I40" s="484" t="s">
        <v>2059</v>
      </c>
      <c r="J40" s="489">
        <v>60</v>
      </c>
      <c r="K40" s="489">
        <v>60</v>
      </c>
      <c r="L40" s="489">
        <v>60</v>
      </c>
      <c r="M40" s="489">
        <v>60</v>
      </c>
      <c r="O40" s="631">
        <v>94</v>
      </c>
      <c r="P40" s="631">
        <v>97</v>
      </c>
      <c r="Q40" s="631">
        <v>93</v>
      </c>
      <c r="R40" s="631">
        <v>94</v>
      </c>
    </row>
    <row r="41" spans="1:18" ht="17.5">
      <c r="A41" s="241" t="s">
        <v>3191</v>
      </c>
      <c r="B41" s="333" t="s">
        <v>1840</v>
      </c>
      <c r="C41" s="333" t="s">
        <v>1841</v>
      </c>
      <c r="D41" s="333" t="s">
        <v>1842</v>
      </c>
      <c r="E41" s="334" t="s">
        <v>1843</v>
      </c>
      <c r="F41" s="334" t="s">
        <v>1844</v>
      </c>
      <c r="G41" s="334" t="s">
        <v>1845</v>
      </c>
      <c r="H41" s="229" t="s">
        <v>1652</v>
      </c>
      <c r="I41" s="484" t="s">
        <v>2059</v>
      </c>
      <c r="J41" s="489">
        <v>53</v>
      </c>
      <c r="K41" s="489">
        <v>50</v>
      </c>
      <c r="L41" s="489">
        <v>55</v>
      </c>
      <c r="M41" s="489">
        <v>54</v>
      </c>
      <c r="O41" s="631">
        <v>77</v>
      </c>
      <c r="P41" s="631">
        <v>76</v>
      </c>
      <c r="Q41" s="631">
        <v>83</v>
      </c>
      <c r="R41" s="631">
        <v>80</v>
      </c>
    </row>
    <row r="42" spans="1:18" ht="17.5">
      <c r="A42" s="241" t="s">
        <v>3192</v>
      </c>
      <c r="B42" s="333" t="s">
        <v>1720</v>
      </c>
      <c r="C42" s="333" t="s">
        <v>1721</v>
      </c>
      <c r="D42" s="333" t="s">
        <v>1722</v>
      </c>
      <c r="E42" s="334" t="s">
        <v>1723</v>
      </c>
      <c r="F42" s="334" t="s">
        <v>3282</v>
      </c>
      <c r="G42" s="334" t="s">
        <v>1724</v>
      </c>
      <c r="H42" s="229" t="s">
        <v>1652</v>
      </c>
      <c r="I42" s="484" t="s">
        <v>2059</v>
      </c>
      <c r="J42" s="489">
        <v>52</v>
      </c>
      <c r="K42" s="489">
        <v>50</v>
      </c>
      <c r="L42" s="489">
        <v>56</v>
      </c>
      <c r="M42" s="489">
        <v>53</v>
      </c>
      <c r="O42" s="631">
        <v>80</v>
      </c>
      <c r="P42" s="631">
        <v>81</v>
      </c>
      <c r="Q42" s="631">
        <v>83</v>
      </c>
      <c r="R42" s="631">
        <v>81</v>
      </c>
    </row>
    <row r="43" spans="1:18" ht="17.5">
      <c r="A43" s="241" t="s">
        <v>3193</v>
      </c>
      <c r="B43" s="333" t="s">
        <v>1818</v>
      </c>
      <c r="C43" s="333" t="s">
        <v>1819</v>
      </c>
      <c r="D43" s="333" t="s">
        <v>1820</v>
      </c>
      <c r="E43" s="334" t="s">
        <v>1821</v>
      </c>
      <c r="F43" s="334" t="s">
        <v>1822</v>
      </c>
      <c r="G43" s="334" t="s">
        <v>1823</v>
      </c>
      <c r="H43" s="229" t="s">
        <v>1652</v>
      </c>
      <c r="I43" s="484" t="s">
        <v>2059</v>
      </c>
      <c r="J43" s="489">
        <v>60</v>
      </c>
      <c r="K43" s="489">
        <v>56</v>
      </c>
      <c r="L43" s="489">
        <v>54</v>
      </c>
      <c r="M43" s="489">
        <v>56</v>
      </c>
      <c r="O43" s="631">
        <v>78</v>
      </c>
      <c r="P43" s="631">
        <v>84</v>
      </c>
      <c r="Q43" s="631">
        <v>86</v>
      </c>
      <c r="R43" s="631">
        <v>82</v>
      </c>
    </row>
    <row r="44" spans="1:18" ht="17.5">
      <c r="A44" s="241" t="s">
        <v>3194</v>
      </c>
      <c r="B44" s="333" t="s">
        <v>1910</v>
      </c>
      <c r="C44" s="333" t="s">
        <v>1911</v>
      </c>
      <c r="D44" s="333" t="s">
        <v>1912</v>
      </c>
      <c r="E44" s="334" t="s">
        <v>1913</v>
      </c>
      <c r="F44" s="334" t="s">
        <v>1914</v>
      </c>
      <c r="G44" s="334" t="s">
        <v>1915</v>
      </c>
      <c r="H44" s="229" t="s">
        <v>1652</v>
      </c>
      <c r="I44" s="484" t="s">
        <v>2059</v>
      </c>
      <c r="J44" s="489">
        <v>60</v>
      </c>
      <c r="K44" s="489">
        <v>52</v>
      </c>
      <c r="L44" s="489">
        <v>55</v>
      </c>
      <c r="M44" s="489">
        <v>54</v>
      </c>
      <c r="O44" s="631">
        <v>89</v>
      </c>
      <c r="P44" s="631">
        <v>93</v>
      </c>
      <c r="Q44" s="631">
        <v>91</v>
      </c>
      <c r="R44" s="631">
        <v>86</v>
      </c>
    </row>
    <row r="45" spans="1:18" ht="17.5">
      <c r="A45" s="241" t="s">
        <v>3195</v>
      </c>
      <c r="B45" s="416" t="s">
        <v>2060</v>
      </c>
      <c r="C45" s="416" t="s">
        <v>2061</v>
      </c>
      <c r="D45" s="416" t="s">
        <v>3056</v>
      </c>
      <c r="E45" s="440" t="s">
        <v>2062</v>
      </c>
      <c r="F45" s="417">
        <v>321378237</v>
      </c>
      <c r="G45" s="417">
        <v>1833</v>
      </c>
      <c r="H45" s="229" t="s">
        <v>1652</v>
      </c>
      <c r="I45" s="484" t="s">
        <v>2059</v>
      </c>
      <c r="J45" s="489">
        <v>54</v>
      </c>
      <c r="K45" s="489">
        <v>60</v>
      </c>
      <c r="L45" s="489">
        <v>57</v>
      </c>
      <c r="M45" s="489">
        <v>50</v>
      </c>
      <c r="O45" s="631">
        <v>81</v>
      </c>
      <c r="P45" s="631">
        <v>84</v>
      </c>
      <c r="Q45" s="631">
        <v>79</v>
      </c>
      <c r="R45" s="631">
        <v>82</v>
      </c>
    </row>
    <row r="46" spans="1:18" ht="17.5">
      <c r="A46" s="241" t="s">
        <v>3196</v>
      </c>
      <c r="B46" s="333" t="s">
        <v>2010</v>
      </c>
      <c r="C46" s="333" t="s">
        <v>2011</v>
      </c>
      <c r="D46" s="333" t="s">
        <v>2012</v>
      </c>
      <c r="E46" s="334" t="s">
        <v>2013</v>
      </c>
      <c r="F46" s="334" t="s">
        <v>3269</v>
      </c>
      <c r="G46" s="334" t="s">
        <v>2014</v>
      </c>
      <c r="H46" s="229" t="s">
        <v>1652</v>
      </c>
      <c r="I46" s="484" t="s">
        <v>2059</v>
      </c>
      <c r="J46" s="489">
        <v>52</v>
      </c>
      <c r="K46" s="489">
        <v>56</v>
      </c>
      <c r="L46" s="489">
        <v>55</v>
      </c>
      <c r="M46" s="489">
        <v>57</v>
      </c>
      <c r="O46" s="631">
        <v>88</v>
      </c>
      <c r="P46" s="631">
        <v>89</v>
      </c>
      <c r="Q46" s="631">
        <v>92</v>
      </c>
      <c r="R46" s="631">
        <v>88</v>
      </c>
    </row>
    <row r="47" spans="1:18" ht="17.5">
      <c r="A47" s="241" t="s">
        <v>3197</v>
      </c>
      <c r="B47" s="333" t="s">
        <v>284</v>
      </c>
      <c r="C47" s="333" t="s">
        <v>1658</v>
      </c>
      <c r="D47" s="333" t="s">
        <v>1214</v>
      </c>
      <c r="E47" s="334" t="s">
        <v>1993</v>
      </c>
      <c r="F47" s="334" t="s">
        <v>3268</v>
      </c>
      <c r="G47" s="334" t="s">
        <v>1994</v>
      </c>
      <c r="H47" s="229" t="s">
        <v>1652</v>
      </c>
      <c r="I47" s="484" t="s">
        <v>2059</v>
      </c>
      <c r="J47" s="490">
        <v>53</v>
      </c>
      <c r="K47" s="489">
        <v>53</v>
      </c>
      <c r="L47" s="489">
        <v>60</v>
      </c>
      <c r="M47" s="489">
        <v>56</v>
      </c>
      <c r="O47" s="631">
        <v>81</v>
      </c>
      <c r="P47" s="631">
        <v>87</v>
      </c>
      <c r="Q47" s="631">
        <v>88</v>
      </c>
      <c r="R47" s="631">
        <v>86</v>
      </c>
    </row>
    <row r="48" spans="1:18" ht="17.5">
      <c r="A48" s="241" t="s">
        <v>3198</v>
      </c>
      <c r="B48" s="333" t="s">
        <v>2042</v>
      </c>
      <c r="C48" s="333" t="s">
        <v>2043</v>
      </c>
      <c r="D48" s="333" t="s">
        <v>2044</v>
      </c>
      <c r="E48" s="334" t="s">
        <v>1940</v>
      </c>
      <c r="F48" s="334" t="s">
        <v>2046</v>
      </c>
      <c r="G48" s="334" t="s">
        <v>2045</v>
      </c>
      <c r="H48" s="229" t="s">
        <v>1652</v>
      </c>
      <c r="I48" s="484" t="s">
        <v>2059</v>
      </c>
      <c r="J48" s="489">
        <v>58</v>
      </c>
      <c r="K48" s="489">
        <v>60</v>
      </c>
      <c r="L48" s="489">
        <v>57</v>
      </c>
      <c r="M48" s="489">
        <v>50</v>
      </c>
      <c r="O48" s="631">
        <v>91</v>
      </c>
      <c r="P48" s="631">
        <v>94</v>
      </c>
      <c r="Q48" s="631">
        <v>86</v>
      </c>
      <c r="R48" s="631">
        <v>87</v>
      </c>
    </row>
    <row r="49" spans="1:18" ht="17.5">
      <c r="A49" s="241" t="s">
        <v>3199</v>
      </c>
      <c r="B49" s="333" t="s">
        <v>1937</v>
      </c>
      <c r="C49" s="333" t="s">
        <v>1938</v>
      </c>
      <c r="D49" s="333" t="s">
        <v>1939</v>
      </c>
      <c r="E49" s="334" t="s">
        <v>1940</v>
      </c>
      <c r="F49" s="334" t="s">
        <v>1941</v>
      </c>
      <c r="G49" s="334" t="s">
        <v>1942</v>
      </c>
      <c r="H49" s="229" t="s">
        <v>1652</v>
      </c>
      <c r="I49" s="484" t="s">
        <v>2059</v>
      </c>
      <c r="J49" s="489">
        <v>59</v>
      </c>
      <c r="K49" s="489">
        <v>55</v>
      </c>
      <c r="L49" s="489">
        <v>55</v>
      </c>
      <c r="M49" s="489">
        <v>52</v>
      </c>
      <c r="O49" s="631">
        <v>83</v>
      </c>
      <c r="P49" s="631">
        <v>76</v>
      </c>
      <c r="Q49" s="631">
        <v>80</v>
      </c>
      <c r="R49" s="631">
        <v>78</v>
      </c>
    </row>
    <row r="50" spans="1:18" ht="17.5">
      <c r="A50" s="241" t="s">
        <v>3200</v>
      </c>
      <c r="B50" s="333" t="s">
        <v>1954</v>
      </c>
      <c r="C50" s="333" t="s">
        <v>1955</v>
      </c>
      <c r="D50" s="333" t="s">
        <v>1956</v>
      </c>
      <c r="E50" s="334" t="s">
        <v>1957</v>
      </c>
      <c r="F50" s="334" t="s">
        <v>1958</v>
      </c>
      <c r="G50" s="334" t="s">
        <v>1959</v>
      </c>
      <c r="H50" s="229" t="s">
        <v>1652</v>
      </c>
      <c r="I50" s="484" t="s">
        <v>2059</v>
      </c>
      <c r="J50" s="489">
        <v>53</v>
      </c>
      <c r="K50" s="489">
        <v>59</v>
      </c>
      <c r="L50" s="489">
        <v>53</v>
      </c>
      <c r="M50" s="489">
        <v>58</v>
      </c>
      <c r="O50" s="631">
        <v>86</v>
      </c>
      <c r="P50" s="631">
        <v>89</v>
      </c>
      <c r="Q50" s="631">
        <v>85</v>
      </c>
      <c r="R50" s="631">
        <v>80</v>
      </c>
    </row>
    <row r="51" spans="1:18" ht="17.5">
      <c r="A51" s="241" t="s">
        <v>3201</v>
      </c>
      <c r="B51" s="333" t="s">
        <v>2337</v>
      </c>
      <c r="C51" s="333" t="s">
        <v>1226</v>
      </c>
      <c r="D51" s="333" t="s">
        <v>333</v>
      </c>
      <c r="E51" s="334" t="s">
        <v>1726</v>
      </c>
      <c r="F51" s="334" t="s">
        <v>2338</v>
      </c>
      <c r="G51" s="334" t="s">
        <v>2339</v>
      </c>
      <c r="H51" s="229" t="s">
        <v>1652</v>
      </c>
      <c r="I51" s="484" t="s">
        <v>2059</v>
      </c>
      <c r="J51" s="489">
        <v>50</v>
      </c>
      <c r="K51" s="489">
        <v>51</v>
      </c>
      <c r="L51" s="489">
        <v>54</v>
      </c>
      <c r="M51" s="489">
        <v>51</v>
      </c>
      <c r="O51" s="631">
        <v>79</v>
      </c>
      <c r="P51" s="631">
        <v>86</v>
      </c>
      <c r="Q51" s="631">
        <v>87</v>
      </c>
      <c r="R51" s="631">
        <v>82</v>
      </c>
    </row>
    <row r="52" spans="1:18" ht="17.5">
      <c r="A52" s="241" t="s">
        <v>3202</v>
      </c>
      <c r="B52" s="333" t="s">
        <v>1916</v>
      </c>
      <c r="C52" s="333" t="s">
        <v>1911</v>
      </c>
      <c r="D52" s="333" t="s">
        <v>1912</v>
      </c>
      <c r="E52" s="334" t="s">
        <v>1913</v>
      </c>
      <c r="F52" s="334" t="s">
        <v>1917</v>
      </c>
      <c r="G52" s="334" t="s">
        <v>1918</v>
      </c>
      <c r="H52" s="229" t="s">
        <v>1652</v>
      </c>
      <c r="I52" s="484" t="s">
        <v>2059</v>
      </c>
      <c r="J52" s="489">
        <v>60</v>
      </c>
      <c r="K52" s="489">
        <v>50</v>
      </c>
      <c r="L52" s="489">
        <v>55</v>
      </c>
      <c r="M52" s="489">
        <v>52</v>
      </c>
      <c r="O52" s="631">
        <v>95</v>
      </c>
      <c r="P52" s="631">
        <v>94</v>
      </c>
      <c r="Q52" s="631">
        <v>90</v>
      </c>
      <c r="R52" s="631">
        <v>88</v>
      </c>
    </row>
    <row r="53" spans="1:18" ht="17.5">
      <c r="A53" s="241" t="s">
        <v>3203</v>
      </c>
      <c r="B53" s="333" t="s">
        <v>1988</v>
      </c>
      <c r="C53" s="333" t="s">
        <v>1989</v>
      </c>
      <c r="D53" s="333" t="s">
        <v>1990</v>
      </c>
      <c r="E53" s="334" t="s">
        <v>1991</v>
      </c>
      <c r="F53" s="334" t="s">
        <v>2340</v>
      </c>
      <c r="G53" s="334" t="s">
        <v>1992</v>
      </c>
      <c r="H53" s="229" t="s">
        <v>1652</v>
      </c>
      <c r="I53" s="484" t="s">
        <v>2059</v>
      </c>
      <c r="J53" s="489">
        <v>53</v>
      </c>
      <c r="K53" s="489">
        <v>56</v>
      </c>
      <c r="L53" s="489">
        <v>54</v>
      </c>
      <c r="M53" s="489">
        <v>52</v>
      </c>
      <c r="O53" s="631">
        <v>80</v>
      </c>
      <c r="P53" s="631">
        <v>81</v>
      </c>
      <c r="Q53" s="631">
        <v>85</v>
      </c>
      <c r="R53" s="631">
        <v>83</v>
      </c>
    </row>
    <row r="54" spans="1:18" ht="17.5">
      <c r="A54" s="241" t="s">
        <v>3204</v>
      </c>
      <c r="B54" s="333" t="s">
        <v>1925</v>
      </c>
      <c r="C54" s="333" t="s">
        <v>1926</v>
      </c>
      <c r="D54" s="333" t="s">
        <v>1927</v>
      </c>
      <c r="E54" s="334" t="s">
        <v>1928</v>
      </c>
      <c r="F54" s="334" t="s">
        <v>1929</v>
      </c>
      <c r="G54" s="334" t="s">
        <v>1930</v>
      </c>
      <c r="H54" s="229" t="s">
        <v>1652</v>
      </c>
      <c r="I54" s="484" t="s">
        <v>2059</v>
      </c>
      <c r="J54" s="489">
        <v>53</v>
      </c>
      <c r="K54" s="489">
        <v>54</v>
      </c>
      <c r="L54" s="489">
        <v>57</v>
      </c>
      <c r="M54" s="489">
        <v>54</v>
      </c>
      <c r="O54" s="631">
        <v>85</v>
      </c>
      <c r="P54" s="631">
        <v>76</v>
      </c>
      <c r="Q54" s="631">
        <v>89</v>
      </c>
      <c r="R54" s="631">
        <v>85</v>
      </c>
    </row>
    <row r="55" spans="1:18" ht="17.5">
      <c r="A55" s="241" t="s">
        <v>3205</v>
      </c>
      <c r="B55" s="333" t="s">
        <v>1892</v>
      </c>
      <c r="C55" s="333" t="s">
        <v>1893</v>
      </c>
      <c r="D55" s="333" t="s">
        <v>1894</v>
      </c>
      <c r="E55" s="334" t="s">
        <v>1895</v>
      </c>
      <c r="F55" s="334" t="s">
        <v>1896</v>
      </c>
      <c r="G55" s="334" t="s">
        <v>1897</v>
      </c>
      <c r="H55" s="229" t="s">
        <v>1652</v>
      </c>
      <c r="I55" s="484" t="s">
        <v>2059</v>
      </c>
      <c r="J55" s="489">
        <v>53</v>
      </c>
      <c r="K55" s="489">
        <v>53</v>
      </c>
      <c r="L55" s="489">
        <v>55</v>
      </c>
      <c r="M55" s="489">
        <v>58</v>
      </c>
      <c r="O55" s="631">
        <v>92</v>
      </c>
      <c r="P55" s="631">
        <v>93</v>
      </c>
      <c r="Q55" s="631">
        <v>87</v>
      </c>
      <c r="R55" s="631">
        <v>88</v>
      </c>
    </row>
    <row r="56" spans="1:18" ht="17.5">
      <c r="A56" s="241" t="s">
        <v>3206</v>
      </c>
      <c r="B56" s="333" t="s">
        <v>2109</v>
      </c>
      <c r="C56" s="333" t="s">
        <v>2139</v>
      </c>
      <c r="D56" s="333" t="s">
        <v>2883</v>
      </c>
      <c r="E56" s="334" t="s">
        <v>2884</v>
      </c>
      <c r="F56" s="334" t="s">
        <v>2885</v>
      </c>
      <c r="G56" s="334" t="s">
        <v>2886</v>
      </c>
      <c r="H56" s="229" t="s">
        <v>1652</v>
      </c>
      <c r="I56" s="484" t="s">
        <v>2059</v>
      </c>
      <c r="J56" s="489">
        <v>59</v>
      </c>
      <c r="K56" s="489">
        <v>57</v>
      </c>
      <c r="L56" s="489">
        <v>60</v>
      </c>
      <c r="M56" s="489">
        <v>58</v>
      </c>
      <c r="O56" s="631">
        <v>96</v>
      </c>
      <c r="P56" s="631">
        <v>91</v>
      </c>
      <c r="Q56" s="631">
        <v>90</v>
      </c>
      <c r="R56" s="631">
        <v>90</v>
      </c>
    </row>
    <row r="57" spans="1:18" ht="17.5">
      <c r="A57" s="241" t="s">
        <v>3207</v>
      </c>
      <c r="B57" s="333" t="s">
        <v>2001</v>
      </c>
      <c r="C57" s="333" t="s">
        <v>1028</v>
      </c>
      <c r="D57" s="333" t="s">
        <v>1029</v>
      </c>
      <c r="E57" s="334" t="s">
        <v>2002</v>
      </c>
      <c r="F57" s="334" t="s">
        <v>2003</v>
      </c>
      <c r="G57" s="334" t="s">
        <v>2004</v>
      </c>
      <c r="H57" s="229" t="s">
        <v>1652</v>
      </c>
      <c r="I57" s="484" t="s">
        <v>2059</v>
      </c>
      <c r="J57" s="489">
        <v>60</v>
      </c>
      <c r="K57" s="489">
        <v>60</v>
      </c>
      <c r="L57" s="489">
        <v>60</v>
      </c>
      <c r="M57" s="489">
        <v>59</v>
      </c>
      <c r="O57" s="631">
        <v>94</v>
      </c>
      <c r="P57" s="631">
        <v>94</v>
      </c>
      <c r="Q57" s="631">
        <v>92</v>
      </c>
      <c r="R57" s="631">
        <v>84</v>
      </c>
    </row>
    <row r="58" spans="1:18" ht="17.5">
      <c r="A58" s="241" t="s">
        <v>3208</v>
      </c>
      <c r="B58" s="333" t="s">
        <v>1692</v>
      </c>
      <c r="C58" s="333" t="s">
        <v>1693</v>
      </c>
      <c r="D58" s="333" t="s">
        <v>1694</v>
      </c>
      <c r="E58" s="334" t="s">
        <v>1695</v>
      </c>
      <c r="F58" s="334" t="s">
        <v>3271</v>
      </c>
      <c r="G58" s="334" t="s">
        <v>1696</v>
      </c>
      <c r="H58" s="229" t="s">
        <v>1652</v>
      </c>
      <c r="I58" s="484" t="s">
        <v>2059</v>
      </c>
      <c r="J58" s="489">
        <v>51</v>
      </c>
      <c r="K58" s="489">
        <v>54</v>
      </c>
      <c r="L58" s="489">
        <v>55</v>
      </c>
      <c r="M58" s="489">
        <v>54</v>
      </c>
      <c r="O58" s="631">
        <v>86</v>
      </c>
      <c r="P58" s="631">
        <v>80</v>
      </c>
      <c r="Q58" s="631">
        <v>78</v>
      </c>
      <c r="R58" s="631">
        <v>80</v>
      </c>
    </row>
    <row r="59" spans="1:18" ht="17.5">
      <c r="A59" s="241" t="s">
        <v>3209</v>
      </c>
      <c r="B59" s="333" t="s">
        <v>635</v>
      </c>
      <c r="C59" s="333" t="s">
        <v>490</v>
      </c>
      <c r="D59" s="333" t="s">
        <v>42</v>
      </c>
      <c r="E59" s="334" t="s">
        <v>2047</v>
      </c>
      <c r="F59" s="334" t="s">
        <v>2048</v>
      </c>
      <c r="G59" s="334" t="s">
        <v>2049</v>
      </c>
      <c r="H59" s="229" t="s">
        <v>1652</v>
      </c>
      <c r="I59" s="484" t="s">
        <v>2059</v>
      </c>
      <c r="J59" s="489">
        <v>57</v>
      </c>
      <c r="K59" s="489">
        <v>55</v>
      </c>
      <c r="L59" s="489">
        <v>57</v>
      </c>
      <c r="M59" s="489">
        <v>56</v>
      </c>
      <c r="O59" s="631">
        <v>90</v>
      </c>
      <c r="P59" s="631">
        <v>92</v>
      </c>
      <c r="Q59" s="631">
        <v>89</v>
      </c>
      <c r="R59" s="631">
        <v>84</v>
      </c>
    </row>
    <row r="60" spans="1:18" ht="17.5">
      <c r="A60" s="241" t="s">
        <v>3210</v>
      </c>
      <c r="B60" s="333" t="s">
        <v>2063</v>
      </c>
      <c r="C60" s="333" t="s">
        <v>2064</v>
      </c>
      <c r="D60" s="333" t="s">
        <v>2065</v>
      </c>
      <c r="E60" s="334" t="s">
        <v>2066</v>
      </c>
      <c r="F60" s="334" t="s">
        <v>2342</v>
      </c>
      <c r="G60" s="334" t="s">
        <v>2067</v>
      </c>
      <c r="H60" s="229" t="s">
        <v>1652</v>
      </c>
      <c r="I60" s="484" t="s">
        <v>2059</v>
      </c>
      <c r="J60" s="489">
        <v>51</v>
      </c>
      <c r="K60" s="489">
        <v>54</v>
      </c>
      <c r="L60" s="489">
        <v>54</v>
      </c>
      <c r="M60" s="489">
        <v>52</v>
      </c>
      <c r="O60" s="631">
        <v>83</v>
      </c>
      <c r="P60" s="631">
        <v>91</v>
      </c>
      <c r="Q60" s="631">
        <v>80</v>
      </c>
      <c r="R60" s="631">
        <v>90</v>
      </c>
    </row>
    <row r="61" spans="1:18" s="227" customFormat="1" ht="17.5">
      <c r="A61" s="526" t="s">
        <v>3211</v>
      </c>
      <c r="B61" s="527" t="s">
        <v>3344</v>
      </c>
      <c r="C61" s="527" t="s">
        <v>1984</v>
      </c>
      <c r="D61" s="527" t="s">
        <v>3270</v>
      </c>
      <c r="E61" s="528" t="s">
        <v>1985</v>
      </c>
      <c r="F61" s="528" t="s">
        <v>1986</v>
      </c>
      <c r="G61" s="528" t="s">
        <v>1987</v>
      </c>
      <c r="H61" s="529" t="s">
        <v>1652</v>
      </c>
      <c r="I61" s="530" t="s">
        <v>2059</v>
      </c>
      <c r="J61" s="531"/>
      <c r="K61" s="531"/>
      <c r="L61" s="531"/>
      <c r="M61" s="531"/>
      <c r="O61" s="816"/>
      <c r="P61" s="816"/>
      <c r="Q61" s="816"/>
      <c r="R61" s="816"/>
    </row>
    <row r="62" spans="1:18" ht="17.5">
      <c r="A62" s="241" t="s">
        <v>3212</v>
      </c>
      <c r="B62" s="333" t="s">
        <v>1898</v>
      </c>
      <c r="C62" s="333" t="s">
        <v>1899</v>
      </c>
      <c r="D62" s="333" t="s">
        <v>1900</v>
      </c>
      <c r="E62" s="334" t="s">
        <v>1901</v>
      </c>
      <c r="F62" s="334" t="s">
        <v>1902</v>
      </c>
      <c r="G62" s="334" t="s">
        <v>1903</v>
      </c>
      <c r="H62" s="229" t="s">
        <v>1652</v>
      </c>
      <c r="I62" s="484" t="s">
        <v>2059</v>
      </c>
      <c r="J62" s="489">
        <v>58</v>
      </c>
      <c r="K62" s="489">
        <v>55</v>
      </c>
      <c r="L62" s="489">
        <v>55</v>
      </c>
      <c r="M62" s="489">
        <v>54</v>
      </c>
      <c r="O62" s="631">
        <v>89</v>
      </c>
      <c r="P62" s="631">
        <v>90</v>
      </c>
      <c r="Q62" s="631">
        <v>89</v>
      </c>
      <c r="R62" s="631">
        <v>90</v>
      </c>
    </row>
    <row r="63" spans="1:18" ht="17.5">
      <c r="A63" s="241" t="s">
        <v>3213</v>
      </c>
      <c r="B63" s="333" t="s">
        <v>2050</v>
      </c>
      <c r="C63" s="333" t="s">
        <v>3364</v>
      </c>
      <c r="D63" s="333" t="s">
        <v>749</v>
      </c>
      <c r="E63" s="334" t="s">
        <v>2051</v>
      </c>
      <c r="F63" s="334" t="s">
        <v>2052</v>
      </c>
      <c r="G63" s="334" t="s">
        <v>2053</v>
      </c>
      <c r="H63" s="229" t="s">
        <v>1652</v>
      </c>
      <c r="I63" s="484" t="s">
        <v>2059</v>
      </c>
      <c r="J63" s="489">
        <v>55</v>
      </c>
      <c r="K63" s="489">
        <v>55</v>
      </c>
      <c r="L63" s="489">
        <v>55</v>
      </c>
      <c r="M63" s="489">
        <v>57</v>
      </c>
      <c r="O63" s="631">
        <v>75</v>
      </c>
      <c r="P63" s="631">
        <v>79</v>
      </c>
      <c r="Q63" s="631">
        <v>77</v>
      </c>
      <c r="R63" s="631">
        <v>80</v>
      </c>
    </row>
    <row r="64" spans="1:18" ht="17.5">
      <c r="A64" s="241" t="s">
        <v>3214</v>
      </c>
      <c r="B64" s="333" t="s">
        <v>2037</v>
      </c>
      <c r="C64" s="333" t="s">
        <v>2038</v>
      </c>
      <c r="D64" s="333" t="s">
        <v>1681</v>
      </c>
      <c r="E64" s="334" t="s">
        <v>2039</v>
      </c>
      <c r="F64" s="334" t="s">
        <v>2040</v>
      </c>
      <c r="G64" s="334" t="s">
        <v>2041</v>
      </c>
      <c r="H64" s="229" t="s">
        <v>1652</v>
      </c>
      <c r="I64" s="484" t="s">
        <v>2059</v>
      </c>
      <c r="J64" s="489">
        <v>51</v>
      </c>
      <c r="K64" s="489">
        <v>54</v>
      </c>
      <c r="L64" s="489">
        <v>50</v>
      </c>
      <c r="M64" s="489">
        <v>52</v>
      </c>
      <c r="O64" s="631">
        <v>80</v>
      </c>
      <c r="P64" s="631">
        <v>84</v>
      </c>
      <c r="Q64" s="631">
        <v>76</v>
      </c>
      <c r="R64" s="631">
        <v>84</v>
      </c>
    </row>
    <row r="65" spans="1:18" ht="17.5">
      <c r="A65" s="241" t="s">
        <v>3215</v>
      </c>
      <c r="B65" s="333" t="s">
        <v>2027</v>
      </c>
      <c r="C65" s="333" t="s">
        <v>2028</v>
      </c>
      <c r="D65" s="333" t="s">
        <v>2029</v>
      </c>
      <c r="E65" s="334" t="s">
        <v>2030</v>
      </c>
      <c r="F65" s="334" t="s">
        <v>2031</v>
      </c>
      <c r="G65" s="334" t="s">
        <v>2032</v>
      </c>
      <c r="H65" s="229" t="s">
        <v>1652</v>
      </c>
      <c r="I65" s="484" t="s">
        <v>2059</v>
      </c>
      <c r="J65" s="489">
        <v>53</v>
      </c>
      <c r="K65" s="489">
        <v>50</v>
      </c>
      <c r="L65" s="489">
        <v>56</v>
      </c>
      <c r="M65" s="489">
        <v>50</v>
      </c>
      <c r="O65" s="631">
        <v>76</v>
      </c>
      <c r="P65" s="631">
        <v>94</v>
      </c>
      <c r="Q65" s="631">
        <v>87</v>
      </c>
      <c r="R65" s="631">
        <v>88</v>
      </c>
    </row>
    <row r="66" spans="1:18" ht="17.5">
      <c r="A66" s="241" t="s">
        <v>3216</v>
      </c>
      <c r="B66" s="333" t="s">
        <v>2022</v>
      </c>
      <c r="C66" s="333" t="s">
        <v>199</v>
      </c>
      <c r="D66" s="333" t="s">
        <v>2023</v>
      </c>
      <c r="E66" s="334" t="s">
        <v>2024</v>
      </c>
      <c r="F66" s="334" t="s">
        <v>2025</v>
      </c>
      <c r="G66" s="334" t="s">
        <v>2026</v>
      </c>
      <c r="H66" s="229" t="s">
        <v>1652</v>
      </c>
      <c r="I66" s="484" t="s">
        <v>2059</v>
      </c>
      <c r="J66" s="489">
        <v>59</v>
      </c>
      <c r="K66" s="489">
        <v>60</v>
      </c>
      <c r="L66" s="489">
        <v>60</v>
      </c>
      <c r="M66" s="489">
        <v>54</v>
      </c>
      <c r="O66" s="631">
        <v>83</v>
      </c>
      <c r="P66" s="631">
        <v>89</v>
      </c>
      <c r="Q66" s="631">
        <v>88</v>
      </c>
      <c r="R66" s="631">
        <v>88</v>
      </c>
    </row>
    <row r="67" spans="1:18" ht="17.5">
      <c r="A67" s="241" t="s">
        <v>3217</v>
      </c>
      <c r="B67" s="333" t="s">
        <v>1996</v>
      </c>
      <c r="C67" s="333" t="s">
        <v>1997</v>
      </c>
      <c r="D67" s="333" t="s">
        <v>1998</v>
      </c>
      <c r="E67" s="334" t="s">
        <v>1999</v>
      </c>
      <c r="F67" s="334" t="s">
        <v>2343</v>
      </c>
      <c r="G67" s="334" t="s">
        <v>2000</v>
      </c>
      <c r="H67" s="229" t="s">
        <v>1652</v>
      </c>
      <c r="I67" s="484" t="s">
        <v>2059</v>
      </c>
      <c r="J67" s="489">
        <v>53</v>
      </c>
      <c r="K67" s="489">
        <v>60</v>
      </c>
      <c r="L67" s="489">
        <v>57</v>
      </c>
      <c r="M67" s="489">
        <v>54</v>
      </c>
      <c r="O67" s="631">
        <v>87</v>
      </c>
      <c r="P67" s="631">
        <v>85</v>
      </c>
      <c r="Q67" s="631">
        <v>89</v>
      </c>
      <c r="R67" s="631">
        <v>90</v>
      </c>
    </row>
    <row r="68" spans="1:18" ht="17.5">
      <c r="A68" s="241" t="s">
        <v>3218</v>
      </c>
      <c r="B68" s="333" t="s">
        <v>1948</v>
      </c>
      <c r="C68" s="333" t="s">
        <v>1949</v>
      </c>
      <c r="D68" s="333" t="s">
        <v>1950</v>
      </c>
      <c r="E68" s="334" t="s">
        <v>1951</v>
      </c>
      <c r="F68" s="334" t="s">
        <v>1952</v>
      </c>
      <c r="G68" s="334" t="s">
        <v>1953</v>
      </c>
      <c r="H68" s="229" t="s">
        <v>1652</v>
      </c>
      <c r="I68" s="484" t="s">
        <v>2059</v>
      </c>
      <c r="J68" s="489">
        <v>55</v>
      </c>
      <c r="K68" s="489">
        <v>40</v>
      </c>
      <c r="L68" s="489">
        <v>53</v>
      </c>
      <c r="M68" s="489">
        <v>57</v>
      </c>
      <c r="O68" s="631">
        <v>75</v>
      </c>
      <c r="P68" s="631">
        <v>85</v>
      </c>
      <c r="Q68" s="631">
        <v>82</v>
      </c>
      <c r="R68" s="631">
        <v>86</v>
      </c>
    </row>
    <row r="69" spans="1:18" s="227" customFormat="1" ht="17.5">
      <c r="A69" s="526" t="s">
        <v>3219</v>
      </c>
      <c r="B69" s="527" t="s">
        <v>1978</v>
      </c>
      <c r="C69" s="527" t="s">
        <v>1979</v>
      </c>
      <c r="D69" s="527" t="s">
        <v>1980</v>
      </c>
      <c r="E69" s="528" t="s">
        <v>1981</v>
      </c>
      <c r="F69" s="528" t="s">
        <v>1983</v>
      </c>
      <c r="G69" s="528" t="s">
        <v>1982</v>
      </c>
      <c r="H69" s="529" t="s">
        <v>1652</v>
      </c>
      <c r="I69" s="530" t="s">
        <v>2059</v>
      </c>
      <c r="J69" s="531"/>
      <c r="K69" s="531"/>
      <c r="L69" s="531"/>
      <c r="M69" s="531"/>
      <c r="O69" s="816"/>
      <c r="P69" s="816"/>
      <c r="Q69" s="816"/>
      <c r="R69" s="816"/>
    </row>
    <row r="70" spans="1:18" ht="17.5">
      <c r="A70" s="241" t="s">
        <v>3220</v>
      </c>
      <c r="B70" s="333" t="s">
        <v>2174</v>
      </c>
      <c r="C70" s="333" t="s">
        <v>2175</v>
      </c>
      <c r="D70" s="333" t="s">
        <v>340</v>
      </c>
      <c r="E70" s="334" t="s">
        <v>1737</v>
      </c>
      <c r="F70" s="334" t="s">
        <v>2176</v>
      </c>
      <c r="G70" s="334" t="s">
        <v>2177</v>
      </c>
      <c r="H70" s="229" t="s">
        <v>1652</v>
      </c>
      <c r="I70" s="484" t="s">
        <v>2059</v>
      </c>
      <c r="J70" s="489">
        <v>60</v>
      </c>
      <c r="K70" s="489">
        <v>60</v>
      </c>
      <c r="L70" s="489">
        <v>58</v>
      </c>
      <c r="M70" s="489">
        <v>54</v>
      </c>
      <c r="O70" s="631">
        <v>83</v>
      </c>
      <c r="P70" s="631">
        <v>88</v>
      </c>
      <c r="Q70" s="631">
        <v>92</v>
      </c>
      <c r="R70" s="631">
        <v>95</v>
      </c>
    </row>
    <row r="71" spans="1:18" ht="17.5">
      <c r="A71" s="241" t="s">
        <v>3221</v>
      </c>
      <c r="B71" s="333" t="s">
        <v>3048</v>
      </c>
      <c r="C71" s="333" t="s">
        <v>984</v>
      </c>
      <c r="D71" s="333" t="s">
        <v>3049</v>
      </c>
      <c r="E71" s="334" t="s">
        <v>3050</v>
      </c>
      <c r="F71" s="334" t="s">
        <v>3051</v>
      </c>
      <c r="G71" s="334" t="s">
        <v>3052</v>
      </c>
      <c r="H71" s="229" t="s">
        <v>1652</v>
      </c>
      <c r="I71" s="484" t="s">
        <v>2059</v>
      </c>
      <c r="J71" s="489">
        <v>50</v>
      </c>
      <c r="K71" s="489">
        <v>50</v>
      </c>
      <c r="L71" s="489">
        <v>57</v>
      </c>
      <c r="M71" s="489">
        <v>48</v>
      </c>
      <c r="O71" s="631">
        <v>76</v>
      </c>
      <c r="P71" s="631">
        <v>75</v>
      </c>
      <c r="Q71" s="631">
        <v>76</v>
      </c>
      <c r="R71" s="631">
        <v>80</v>
      </c>
    </row>
    <row r="72" spans="1:18" ht="17.5">
      <c r="A72" s="241" t="s">
        <v>3222</v>
      </c>
      <c r="B72" s="333" t="s">
        <v>2033</v>
      </c>
      <c r="C72" s="333" t="s">
        <v>2034</v>
      </c>
      <c r="D72" s="333" t="s">
        <v>865</v>
      </c>
      <c r="E72" s="334" t="s">
        <v>1117</v>
      </c>
      <c r="F72" s="334" t="s">
        <v>2035</v>
      </c>
      <c r="G72" s="334" t="s">
        <v>2036</v>
      </c>
      <c r="H72" s="229" t="s">
        <v>1652</v>
      </c>
      <c r="I72" s="484" t="s">
        <v>2059</v>
      </c>
      <c r="J72" s="489">
        <v>53</v>
      </c>
      <c r="K72" s="489">
        <v>54</v>
      </c>
      <c r="L72" s="489">
        <v>53</v>
      </c>
      <c r="M72" s="489">
        <v>52</v>
      </c>
      <c r="O72" s="631">
        <v>81</v>
      </c>
      <c r="P72" s="631">
        <v>82</v>
      </c>
      <c r="Q72" s="631">
        <v>81</v>
      </c>
      <c r="R72" s="631">
        <v>82</v>
      </c>
    </row>
    <row r="73" spans="1:18" ht="17.5">
      <c r="A73" s="241" t="s">
        <v>3223</v>
      </c>
      <c r="B73" s="333" t="s">
        <v>1943</v>
      </c>
      <c r="C73" s="333" t="s">
        <v>1944</v>
      </c>
      <c r="D73" s="333" t="s">
        <v>2868</v>
      </c>
      <c r="E73" s="334" t="s">
        <v>1945</v>
      </c>
      <c r="F73" s="334" t="s">
        <v>1946</v>
      </c>
      <c r="G73" s="334" t="s">
        <v>1947</v>
      </c>
      <c r="H73" s="229" t="s">
        <v>1652</v>
      </c>
      <c r="I73" s="484" t="s">
        <v>2059</v>
      </c>
      <c r="J73" s="489">
        <v>53</v>
      </c>
      <c r="K73" s="489">
        <v>50</v>
      </c>
      <c r="L73" s="489">
        <v>53</v>
      </c>
      <c r="M73" s="489">
        <v>53</v>
      </c>
      <c r="O73" s="816"/>
      <c r="P73" s="816"/>
      <c r="Q73" s="816"/>
      <c r="R73" s="816"/>
    </row>
    <row r="74" spans="1:18" s="227" customFormat="1" ht="17.5">
      <c r="A74" s="526" t="s">
        <v>3224</v>
      </c>
      <c r="B74" s="527" t="s">
        <v>1965</v>
      </c>
      <c r="C74" s="527" t="s">
        <v>1670</v>
      </c>
      <c r="D74" s="527" t="s">
        <v>1966</v>
      </c>
      <c r="E74" s="528" t="s">
        <v>1967</v>
      </c>
      <c r="F74" s="528" t="s">
        <v>2344</v>
      </c>
      <c r="G74" s="528" t="s">
        <v>1995</v>
      </c>
      <c r="H74" s="529" t="s">
        <v>1652</v>
      </c>
      <c r="I74" s="530" t="s">
        <v>2059</v>
      </c>
      <c r="J74" s="531"/>
      <c r="K74" s="531"/>
      <c r="L74" s="531"/>
      <c r="M74" s="531"/>
      <c r="O74" s="816"/>
      <c r="P74" s="816"/>
      <c r="Q74" s="816"/>
      <c r="R74" s="816"/>
    </row>
    <row r="75" spans="1:18" ht="17.5">
      <c r="A75" s="241" t="s">
        <v>3225</v>
      </c>
      <c r="B75" s="333" t="s">
        <v>1653</v>
      </c>
      <c r="C75" s="333" t="s">
        <v>1974</v>
      </c>
      <c r="D75" s="333" t="s">
        <v>1654</v>
      </c>
      <c r="E75" s="334" t="s">
        <v>1975</v>
      </c>
      <c r="F75" s="334" t="s">
        <v>1976</v>
      </c>
      <c r="G75" s="334" t="s">
        <v>1977</v>
      </c>
      <c r="H75" s="229" t="s">
        <v>1652</v>
      </c>
      <c r="I75" s="484" t="s">
        <v>2059</v>
      </c>
      <c r="J75" s="489">
        <v>58</v>
      </c>
      <c r="K75" s="489">
        <v>60</v>
      </c>
      <c r="L75" s="489">
        <v>57</v>
      </c>
      <c r="M75" s="489">
        <v>60</v>
      </c>
      <c r="O75" s="631">
        <v>85</v>
      </c>
      <c r="P75" s="631">
        <v>92</v>
      </c>
      <c r="Q75" s="631">
        <v>81</v>
      </c>
      <c r="R75" s="631">
        <v>80</v>
      </c>
    </row>
    <row r="76" spans="1:18" ht="17.5">
      <c r="A76" s="241" t="s">
        <v>3226</v>
      </c>
      <c r="B76" s="333" t="s">
        <v>2017</v>
      </c>
      <c r="C76" s="333" t="s">
        <v>2018</v>
      </c>
      <c r="D76" s="333" t="s">
        <v>333</v>
      </c>
      <c r="E76" s="334" t="s">
        <v>2019</v>
      </c>
      <c r="F76" s="334" t="s">
        <v>2020</v>
      </c>
      <c r="G76" s="334" t="s">
        <v>2021</v>
      </c>
      <c r="H76" s="229" t="s">
        <v>1652</v>
      </c>
      <c r="I76" s="484" t="s">
        <v>2059</v>
      </c>
      <c r="J76" s="489">
        <v>58</v>
      </c>
      <c r="K76" s="489">
        <v>55</v>
      </c>
      <c r="L76" s="489">
        <v>55</v>
      </c>
      <c r="M76" s="489">
        <v>50</v>
      </c>
      <c r="O76" s="631">
        <v>91</v>
      </c>
      <c r="P76" s="631">
        <v>88</v>
      </c>
      <c r="Q76" s="631">
        <v>85</v>
      </c>
      <c r="R76" s="631">
        <v>90</v>
      </c>
    </row>
    <row r="77" spans="1:18" ht="17.5">
      <c r="A77" s="241" t="s">
        <v>3227</v>
      </c>
      <c r="B77" s="333" t="s">
        <v>1968</v>
      </c>
      <c r="C77" s="333" t="s">
        <v>1969</v>
      </c>
      <c r="D77" s="333" t="s">
        <v>1970</v>
      </c>
      <c r="E77" s="334" t="s">
        <v>1971</v>
      </c>
      <c r="F77" s="334" t="s">
        <v>1972</v>
      </c>
      <c r="G77" s="334" t="s">
        <v>1973</v>
      </c>
      <c r="H77" s="229" t="s">
        <v>1652</v>
      </c>
      <c r="I77" s="484" t="s">
        <v>2059</v>
      </c>
      <c r="J77" s="489">
        <v>57</v>
      </c>
      <c r="K77" s="489">
        <v>53</v>
      </c>
      <c r="L77" s="489">
        <v>60</v>
      </c>
      <c r="M77" s="489">
        <v>58</v>
      </c>
      <c r="O77" s="631">
        <v>92</v>
      </c>
      <c r="P77" s="631">
        <v>93</v>
      </c>
      <c r="Q77" s="631">
        <v>92</v>
      </c>
      <c r="R77" s="631">
        <v>94</v>
      </c>
    </row>
    <row r="78" spans="1:18" ht="17.5">
      <c r="A78" s="241" t="s">
        <v>3228</v>
      </c>
      <c r="B78" s="333" t="s">
        <v>2054</v>
      </c>
      <c r="C78" s="333" t="s">
        <v>2055</v>
      </c>
      <c r="D78" s="333" t="s">
        <v>879</v>
      </c>
      <c r="E78" s="334" t="s">
        <v>2056</v>
      </c>
      <c r="F78" s="334" t="s">
        <v>2057</v>
      </c>
      <c r="G78" s="334" t="s">
        <v>2058</v>
      </c>
      <c r="H78" s="229" t="s">
        <v>1652</v>
      </c>
      <c r="I78" s="484" t="s">
        <v>2059</v>
      </c>
      <c r="J78" s="489">
        <v>52</v>
      </c>
      <c r="K78" s="489">
        <v>55</v>
      </c>
      <c r="L78" s="489">
        <v>60</v>
      </c>
      <c r="M78" s="489">
        <v>58</v>
      </c>
      <c r="O78" s="631">
        <v>75</v>
      </c>
      <c r="P78" s="631">
        <v>91</v>
      </c>
      <c r="Q78" s="631">
        <v>85</v>
      </c>
      <c r="R78" s="631">
        <v>91</v>
      </c>
    </row>
    <row r="79" spans="1:18" ht="17.5">
      <c r="A79" s="241" t="s">
        <v>3229</v>
      </c>
      <c r="B79" s="333" t="s">
        <v>1960</v>
      </c>
      <c r="C79" s="333" t="s">
        <v>1961</v>
      </c>
      <c r="D79" s="333" t="s">
        <v>128</v>
      </c>
      <c r="E79" s="334" t="s">
        <v>1962</v>
      </c>
      <c r="F79" s="334" t="s">
        <v>1963</v>
      </c>
      <c r="G79" s="334" t="s">
        <v>1964</v>
      </c>
      <c r="H79" s="229" t="s">
        <v>1652</v>
      </c>
      <c r="I79" s="484" t="s">
        <v>2059</v>
      </c>
      <c r="J79" s="489">
        <v>58</v>
      </c>
      <c r="K79" s="489">
        <v>55</v>
      </c>
      <c r="L79" s="489">
        <v>57</v>
      </c>
      <c r="M79" s="489">
        <v>50</v>
      </c>
      <c r="O79" s="631">
        <v>91</v>
      </c>
      <c r="P79" s="631">
        <v>84</v>
      </c>
      <c r="Q79" s="631">
        <v>85</v>
      </c>
      <c r="R79" s="631">
        <v>80</v>
      </c>
    </row>
    <row r="80" spans="1:18" ht="17.5">
      <c r="A80" s="241" t="s">
        <v>3230</v>
      </c>
      <c r="B80" s="333" t="s">
        <v>2015</v>
      </c>
      <c r="C80" s="333" t="s">
        <v>1484</v>
      </c>
      <c r="D80" s="333" t="s">
        <v>1485</v>
      </c>
      <c r="E80" s="334" t="s">
        <v>1901</v>
      </c>
      <c r="F80" s="334"/>
      <c r="G80" s="334" t="s">
        <v>2016</v>
      </c>
      <c r="H80" s="229" t="s">
        <v>1652</v>
      </c>
      <c r="I80" s="484" t="s">
        <v>2059</v>
      </c>
      <c r="J80" s="489">
        <v>51</v>
      </c>
      <c r="K80" s="489">
        <v>56</v>
      </c>
      <c r="L80" s="489">
        <v>55</v>
      </c>
      <c r="M80" s="489">
        <v>54</v>
      </c>
      <c r="O80" s="631">
        <v>86</v>
      </c>
      <c r="P80" s="631">
        <v>84</v>
      </c>
      <c r="Q80" s="631">
        <v>84</v>
      </c>
      <c r="R80" s="631">
        <v>88</v>
      </c>
    </row>
    <row r="81" spans="1:18" ht="17.5">
      <c r="A81" s="241" t="s">
        <v>3231</v>
      </c>
      <c r="B81" s="333" t="s">
        <v>1919</v>
      </c>
      <c r="C81" s="333" t="s">
        <v>1920</v>
      </c>
      <c r="D81" s="333" t="s">
        <v>1921</v>
      </c>
      <c r="E81" s="334" t="s">
        <v>1922</v>
      </c>
      <c r="F81" s="334" t="s">
        <v>1923</v>
      </c>
      <c r="G81" s="334" t="s">
        <v>1924</v>
      </c>
      <c r="H81" s="229" t="s">
        <v>1652</v>
      </c>
      <c r="I81" s="484" t="s">
        <v>2059</v>
      </c>
      <c r="J81" s="489">
        <v>53</v>
      </c>
      <c r="K81" s="489">
        <v>50</v>
      </c>
      <c r="L81" s="489">
        <v>51</v>
      </c>
      <c r="M81" s="489">
        <v>53</v>
      </c>
      <c r="O81" s="631">
        <v>87</v>
      </c>
      <c r="P81" s="631">
        <v>84</v>
      </c>
      <c r="Q81" s="631">
        <v>78</v>
      </c>
      <c r="R81" s="631">
        <v>77</v>
      </c>
    </row>
    <row r="82" spans="1:18" ht="17.5">
      <c r="A82" s="241" t="s">
        <v>3232</v>
      </c>
      <c r="B82" s="333" t="s">
        <v>1931</v>
      </c>
      <c r="C82" s="333" t="s">
        <v>1932</v>
      </c>
      <c r="D82" s="333" t="s">
        <v>1933</v>
      </c>
      <c r="E82" s="334" t="s">
        <v>1934</v>
      </c>
      <c r="F82" s="334" t="s">
        <v>1935</v>
      </c>
      <c r="G82" s="334" t="s">
        <v>1936</v>
      </c>
      <c r="H82" s="229" t="s">
        <v>1652</v>
      </c>
      <c r="I82" s="484" t="s">
        <v>2059</v>
      </c>
      <c r="J82" s="489">
        <v>50</v>
      </c>
      <c r="K82" s="489">
        <v>55</v>
      </c>
      <c r="L82" s="489">
        <v>54</v>
      </c>
      <c r="M82" s="489">
        <v>56</v>
      </c>
      <c r="O82" s="631">
        <v>81</v>
      </c>
      <c r="P82" s="631">
        <v>78</v>
      </c>
      <c r="Q82" s="631">
        <v>76</v>
      </c>
      <c r="R82" s="631">
        <v>79</v>
      </c>
    </row>
    <row r="83" spans="1:18" ht="17.5">
      <c r="A83" s="241" t="s">
        <v>3233</v>
      </c>
      <c r="B83" s="333" t="s">
        <v>3345</v>
      </c>
      <c r="C83" s="333" t="s">
        <v>3278</v>
      </c>
      <c r="D83" s="333" t="s">
        <v>382</v>
      </c>
      <c r="E83" s="334" t="s">
        <v>3279</v>
      </c>
      <c r="F83" s="334" t="s">
        <v>3280</v>
      </c>
      <c r="G83" s="334" t="s">
        <v>3281</v>
      </c>
      <c r="H83" s="229" t="s">
        <v>1652</v>
      </c>
      <c r="I83" s="484" t="s">
        <v>2059</v>
      </c>
      <c r="J83" s="489">
        <v>50</v>
      </c>
      <c r="K83" s="489">
        <v>58</v>
      </c>
      <c r="L83" s="489">
        <v>50</v>
      </c>
      <c r="M83" s="489">
        <v>59</v>
      </c>
      <c r="O83" s="631">
        <v>87</v>
      </c>
      <c r="P83" s="631">
        <v>91</v>
      </c>
      <c r="Q83" s="631">
        <v>83</v>
      </c>
      <c r="R83" s="631">
        <v>84</v>
      </c>
    </row>
    <row r="84" spans="1:18" ht="17.5">
      <c r="A84" s="241" t="s">
        <v>3234</v>
      </c>
      <c r="B84" s="333" t="s">
        <v>1904</v>
      </c>
      <c r="C84" s="333" t="s">
        <v>1905</v>
      </c>
      <c r="D84" s="333" t="s">
        <v>1906</v>
      </c>
      <c r="E84" s="334" t="s">
        <v>1907</v>
      </c>
      <c r="F84" s="334" t="s">
        <v>1908</v>
      </c>
      <c r="G84" s="334" t="s">
        <v>1909</v>
      </c>
      <c r="H84" s="229" t="s">
        <v>1652</v>
      </c>
      <c r="I84" s="484" t="s">
        <v>2059</v>
      </c>
      <c r="J84" s="532">
        <v>51</v>
      </c>
      <c r="K84" s="532">
        <v>54</v>
      </c>
      <c r="L84" s="532">
        <v>57</v>
      </c>
      <c r="M84" s="532">
        <v>55</v>
      </c>
      <c r="O84" s="631">
        <v>83</v>
      </c>
      <c r="P84" s="631">
        <v>83</v>
      </c>
      <c r="Q84" s="631">
        <v>82</v>
      </c>
      <c r="R84" s="631">
        <v>83</v>
      </c>
    </row>
    <row r="85" spans="1:18">
      <c r="J85" s="489">
        <v>60</v>
      </c>
      <c r="K85" s="489">
        <v>60</v>
      </c>
      <c r="L85" s="489">
        <v>60</v>
      </c>
      <c r="M85" s="489">
        <v>53</v>
      </c>
      <c r="N85" s="814"/>
      <c r="O85" s="631">
        <v>94</v>
      </c>
      <c r="P85" s="631">
        <v>97</v>
      </c>
      <c r="Q85" s="631">
        <v>92</v>
      </c>
      <c r="R85" s="631">
        <v>94</v>
      </c>
    </row>
  </sheetData>
  <sortState ref="B63:I84">
    <sortCondition ref="B63:B84"/>
  </sortState>
  <mergeCells count="1">
    <mergeCell ref="J2:M2"/>
  </mergeCells>
  <phoneticPr fontId="77" type="noConversion"/>
  <pageMargins left="0" right="0" top="0" bottom="0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theme="2" tint="-0.499984740745262"/>
  </sheetPr>
  <dimension ref="A1:S98"/>
  <sheetViews>
    <sheetView topLeftCell="A27" workbookViewId="0">
      <selection activeCell="L90" sqref="L90"/>
    </sheetView>
  </sheetViews>
  <sheetFormatPr defaultRowHeight="14.5"/>
  <cols>
    <col min="1" max="1" width="6.54296875" customWidth="1"/>
    <col min="2" max="2" width="23.453125" customWidth="1"/>
    <col min="3" max="3" width="25.453125" customWidth="1"/>
    <col min="4" max="4" width="20.1796875" customWidth="1"/>
    <col min="5" max="5" width="11.54296875" customWidth="1"/>
    <col min="6" max="6" width="12" customWidth="1"/>
    <col min="7" max="7" width="7.1796875" customWidth="1"/>
    <col min="8" max="8" width="5.81640625" customWidth="1"/>
    <col min="10" max="13" width="12.81640625" customWidth="1"/>
    <col min="14" max="14" width="3" customWidth="1"/>
    <col min="16" max="16" width="13.1796875" customWidth="1"/>
  </cols>
  <sheetData>
    <row r="1" spans="1:19" ht="15" thickBot="1">
      <c r="J1" s="1216" t="s">
        <v>3449</v>
      </c>
      <c r="K1" s="1216"/>
      <c r="L1" s="1216"/>
      <c r="M1" s="1216"/>
    </row>
    <row r="2" spans="1:19" s="3" customFormat="1" ht="45.65" customHeight="1" thickTop="1">
      <c r="A2" s="1" t="s">
        <v>0</v>
      </c>
      <c r="B2" s="332" t="s">
        <v>1</v>
      </c>
      <c r="C2" s="332" t="s">
        <v>2</v>
      </c>
      <c r="D2" s="332" t="s">
        <v>3</v>
      </c>
      <c r="E2" s="1" t="s">
        <v>4</v>
      </c>
      <c r="F2" s="1" t="s">
        <v>5</v>
      </c>
      <c r="G2" s="4" t="s">
        <v>6</v>
      </c>
      <c r="H2" s="244" t="s">
        <v>7</v>
      </c>
      <c r="I2" s="244" t="s">
        <v>8</v>
      </c>
      <c r="J2" s="10" t="s">
        <v>9</v>
      </c>
      <c r="K2" s="11" t="s">
        <v>10</v>
      </c>
      <c r="L2" s="11" t="s">
        <v>11</v>
      </c>
      <c r="M2" s="11" t="s">
        <v>1688</v>
      </c>
      <c r="N2" s="228"/>
      <c r="O2" s="231" t="s">
        <v>9</v>
      </c>
      <c r="P2" s="231" t="s">
        <v>10</v>
      </c>
      <c r="Q2" s="231" t="s">
        <v>11</v>
      </c>
      <c r="R2" s="231" t="s">
        <v>1687</v>
      </c>
      <c r="S2" s="231" t="s">
        <v>3480</v>
      </c>
    </row>
    <row r="3" spans="1:19" ht="21">
      <c r="A3" s="335" t="s">
        <v>3058</v>
      </c>
      <c r="B3" s="247" t="s">
        <v>962</v>
      </c>
      <c r="C3" s="247" t="s">
        <v>965</v>
      </c>
      <c r="D3" s="247" t="s">
        <v>963</v>
      </c>
      <c r="E3" s="248" t="s">
        <v>964</v>
      </c>
      <c r="F3" s="247">
        <v>313884935</v>
      </c>
      <c r="G3" s="247">
        <v>1541</v>
      </c>
      <c r="H3" s="247" t="s">
        <v>1335</v>
      </c>
      <c r="I3" s="247" t="s">
        <v>2059</v>
      </c>
      <c r="J3" s="14">
        <v>58</v>
      </c>
      <c r="K3" s="14">
        <v>57</v>
      </c>
      <c r="L3" s="14">
        <v>53</v>
      </c>
      <c r="M3" s="14">
        <v>58</v>
      </c>
      <c r="N3" s="227"/>
      <c r="O3" s="631">
        <v>84</v>
      </c>
      <c r="P3" s="631">
        <v>87</v>
      </c>
      <c r="Q3" s="631">
        <v>88</v>
      </c>
      <c r="R3" s="631">
        <v>95</v>
      </c>
      <c r="S3" s="3">
        <f>O3+P3+Q3+R3</f>
        <v>354</v>
      </c>
    </row>
    <row r="4" spans="1:19" ht="21">
      <c r="A4" s="335" t="s">
        <v>3059</v>
      </c>
      <c r="B4" s="247" t="s">
        <v>673</v>
      </c>
      <c r="C4" s="247" t="s">
        <v>3236</v>
      </c>
      <c r="D4" s="247" t="s">
        <v>966</v>
      </c>
      <c r="E4" s="248" t="s">
        <v>967</v>
      </c>
      <c r="F4" s="247">
        <v>313615222</v>
      </c>
      <c r="G4" s="247">
        <v>1540</v>
      </c>
      <c r="H4" s="247" t="s">
        <v>1335</v>
      </c>
      <c r="I4" s="247" t="s">
        <v>2059</v>
      </c>
      <c r="J4" s="14">
        <v>57</v>
      </c>
      <c r="K4" s="14">
        <v>59</v>
      </c>
      <c r="L4" s="14">
        <v>59</v>
      </c>
      <c r="M4" s="14">
        <v>58</v>
      </c>
      <c r="N4" s="227"/>
      <c r="O4" s="631">
        <v>78</v>
      </c>
      <c r="P4" s="631">
        <v>87</v>
      </c>
      <c r="Q4" s="631">
        <v>86</v>
      </c>
      <c r="R4" s="631">
        <v>93</v>
      </c>
      <c r="S4" s="3">
        <f t="shared" ref="S4:S67" si="0">O4+P4+Q4+R4</f>
        <v>344</v>
      </c>
    </row>
    <row r="5" spans="1:19" ht="21">
      <c r="A5" s="335" t="s">
        <v>3060</v>
      </c>
      <c r="B5" s="247" t="s">
        <v>992</v>
      </c>
      <c r="C5" s="247" t="s">
        <v>1177</v>
      </c>
      <c r="D5" s="247" t="s">
        <v>1178</v>
      </c>
      <c r="E5" s="248" t="s">
        <v>993</v>
      </c>
      <c r="F5" s="247">
        <v>313796228</v>
      </c>
      <c r="G5" s="247">
        <v>1571</v>
      </c>
      <c r="H5" s="247" t="s">
        <v>1335</v>
      </c>
      <c r="I5" s="247" t="s">
        <v>2059</v>
      </c>
      <c r="J5" s="14">
        <v>60</v>
      </c>
      <c r="K5" s="14">
        <v>60</v>
      </c>
      <c r="L5" s="14">
        <v>60</v>
      </c>
      <c r="M5" s="14">
        <v>59</v>
      </c>
      <c r="N5" s="227"/>
      <c r="O5" s="631">
        <v>96</v>
      </c>
      <c r="P5" s="631">
        <v>95</v>
      </c>
      <c r="Q5" s="631">
        <v>98</v>
      </c>
      <c r="R5" s="631">
        <v>95</v>
      </c>
      <c r="S5" s="3">
        <f t="shared" si="0"/>
        <v>384</v>
      </c>
    </row>
    <row r="6" spans="1:19" ht="21">
      <c r="A6" s="335" t="s">
        <v>3061</v>
      </c>
      <c r="B6" s="247" t="s">
        <v>1134</v>
      </c>
      <c r="C6" s="247" t="s">
        <v>814</v>
      </c>
      <c r="D6" s="247" t="s">
        <v>1135</v>
      </c>
      <c r="E6" s="248" t="s">
        <v>1136</v>
      </c>
      <c r="F6" s="247">
        <v>311338899</v>
      </c>
      <c r="G6" s="247">
        <v>1627</v>
      </c>
      <c r="H6" s="247" t="s">
        <v>1335</v>
      </c>
      <c r="I6" s="247" t="s">
        <v>2059</v>
      </c>
      <c r="J6" s="14">
        <v>60</v>
      </c>
      <c r="K6" s="14">
        <v>59</v>
      </c>
      <c r="L6" s="14">
        <v>60</v>
      </c>
      <c r="M6" s="14">
        <v>60</v>
      </c>
      <c r="N6" s="227"/>
      <c r="O6" s="631">
        <v>85</v>
      </c>
      <c r="P6" s="631">
        <v>90</v>
      </c>
      <c r="Q6" s="631">
        <v>94</v>
      </c>
      <c r="R6" s="631">
        <v>94</v>
      </c>
      <c r="S6" s="3">
        <f t="shared" si="0"/>
        <v>363</v>
      </c>
    </row>
    <row r="7" spans="1:19" ht="21">
      <c r="A7" s="335" t="s">
        <v>3062</v>
      </c>
      <c r="B7" s="247" t="s">
        <v>3346</v>
      </c>
      <c r="C7" s="247" t="s">
        <v>994</v>
      </c>
      <c r="D7" s="247" t="s">
        <v>995</v>
      </c>
      <c r="E7" s="248" t="s">
        <v>996</v>
      </c>
      <c r="F7" s="247">
        <v>311771047</v>
      </c>
      <c r="G7" s="247">
        <v>1577</v>
      </c>
      <c r="H7" s="247" t="s">
        <v>1335</v>
      </c>
      <c r="I7" s="247" t="s">
        <v>2059</v>
      </c>
      <c r="J7" s="14">
        <v>56</v>
      </c>
      <c r="K7" s="14">
        <v>59</v>
      </c>
      <c r="L7" s="14">
        <v>50</v>
      </c>
      <c r="M7" s="14">
        <v>58</v>
      </c>
      <c r="N7" s="227"/>
      <c r="O7" s="631">
        <v>78</v>
      </c>
      <c r="P7" s="631">
        <v>88</v>
      </c>
      <c r="Q7" s="631">
        <v>80</v>
      </c>
      <c r="R7" s="631">
        <v>78</v>
      </c>
      <c r="S7" s="3">
        <f t="shared" si="0"/>
        <v>324</v>
      </c>
    </row>
    <row r="8" spans="1:19" ht="21">
      <c r="A8" s="335" t="s">
        <v>3063</v>
      </c>
      <c r="B8" s="247" t="s">
        <v>1083</v>
      </c>
      <c r="C8" s="247" t="s">
        <v>1084</v>
      </c>
      <c r="D8" s="247" t="s">
        <v>963</v>
      </c>
      <c r="E8" s="248" t="s">
        <v>3347</v>
      </c>
      <c r="F8" s="247">
        <v>313276037</v>
      </c>
      <c r="G8" s="247">
        <v>1508</v>
      </c>
      <c r="H8" s="247" t="s">
        <v>1335</v>
      </c>
      <c r="I8" s="247" t="s">
        <v>2059</v>
      </c>
      <c r="J8" s="14">
        <v>59</v>
      </c>
      <c r="K8" s="14">
        <v>59</v>
      </c>
      <c r="L8" s="14">
        <v>58</v>
      </c>
      <c r="M8" s="14">
        <v>57</v>
      </c>
      <c r="N8" s="227"/>
      <c r="O8" s="631">
        <v>82</v>
      </c>
      <c r="P8" s="631">
        <v>83</v>
      </c>
      <c r="Q8" s="631">
        <v>84</v>
      </c>
      <c r="R8" s="631">
        <v>88</v>
      </c>
      <c r="S8" s="3">
        <f t="shared" si="0"/>
        <v>337</v>
      </c>
    </row>
    <row r="9" spans="1:19" ht="21">
      <c r="A9" s="335" t="s">
        <v>3064</v>
      </c>
      <c r="B9" s="247" t="s">
        <v>1062</v>
      </c>
      <c r="C9" s="247" t="s">
        <v>871</v>
      </c>
      <c r="D9" s="247" t="s">
        <v>1180</v>
      </c>
      <c r="E9" s="248" t="s">
        <v>1063</v>
      </c>
      <c r="F9" s="247">
        <v>312701102</v>
      </c>
      <c r="G9" s="247">
        <v>1491</v>
      </c>
      <c r="H9" s="247" t="s">
        <v>1335</v>
      </c>
      <c r="I9" s="247" t="s">
        <v>2059</v>
      </c>
      <c r="J9" s="14">
        <v>59</v>
      </c>
      <c r="K9" s="14">
        <v>60</v>
      </c>
      <c r="L9" s="14">
        <v>60</v>
      </c>
      <c r="M9" s="14">
        <v>57</v>
      </c>
      <c r="N9" s="227"/>
      <c r="O9" s="631">
        <v>93</v>
      </c>
      <c r="P9" s="631">
        <v>93</v>
      </c>
      <c r="Q9" s="631">
        <v>94</v>
      </c>
      <c r="R9" s="631">
        <v>95</v>
      </c>
      <c r="S9" s="3">
        <f t="shared" si="0"/>
        <v>375</v>
      </c>
    </row>
    <row r="10" spans="1:19" ht="21">
      <c r="A10" s="335" t="s">
        <v>3065</v>
      </c>
      <c r="B10" s="247" t="s">
        <v>956</v>
      </c>
      <c r="C10" s="247" t="s">
        <v>957</v>
      </c>
      <c r="D10" s="247" t="s">
        <v>1175</v>
      </c>
      <c r="E10" s="248" t="s">
        <v>958</v>
      </c>
      <c r="F10" s="247">
        <v>313729481</v>
      </c>
      <c r="G10" s="247">
        <v>1539</v>
      </c>
      <c r="H10" s="247" t="s">
        <v>1335</v>
      </c>
      <c r="I10" s="247" t="s">
        <v>2059</v>
      </c>
      <c r="J10" s="14">
        <v>60</v>
      </c>
      <c r="K10" s="14">
        <v>59</v>
      </c>
      <c r="L10" s="14">
        <v>55</v>
      </c>
      <c r="M10" s="14">
        <v>58</v>
      </c>
      <c r="N10" s="227"/>
      <c r="O10" s="631">
        <v>85</v>
      </c>
      <c r="P10" s="631">
        <v>83</v>
      </c>
      <c r="Q10" s="631">
        <v>80</v>
      </c>
      <c r="R10" s="631">
        <v>85</v>
      </c>
      <c r="S10" s="3">
        <f t="shared" si="0"/>
        <v>333</v>
      </c>
    </row>
    <row r="11" spans="1:19" ht="21">
      <c r="A11" s="335" t="s">
        <v>3066</v>
      </c>
      <c r="B11" s="247" t="s">
        <v>978</v>
      </c>
      <c r="C11" s="247" t="s">
        <v>3348</v>
      </c>
      <c r="D11" s="247" t="s">
        <v>979</v>
      </c>
      <c r="E11" s="248" t="s">
        <v>980</v>
      </c>
      <c r="F11" s="247">
        <v>313696237</v>
      </c>
      <c r="G11" s="247">
        <v>1561</v>
      </c>
      <c r="H11" s="247" t="s">
        <v>1335</v>
      </c>
      <c r="I11" s="247" t="s">
        <v>2059</v>
      </c>
      <c r="J11" s="14">
        <v>54</v>
      </c>
      <c r="K11" s="14">
        <v>56</v>
      </c>
      <c r="L11" s="14">
        <v>60</v>
      </c>
      <c r="M11" s="14">
        <v>41</v>
      </c>
      <c r="N11" s="227"/>
      <c r="O11" s="631">
        <v>78</v>
      </c>
      <c r="P11" s="631">
        <v>72</v>
      </c>
      <c r="Q11" s="631">
        <v>80</v>
      </c>
      <c r="R11" s="631">
        <v>86</v>
      </c>
      <c r="S11" s="3">
        <f t="shared" si="0"/>
        <v>316</v>
      </c>
    </row>
    <row r="12" spans="1:19" ht="21">
      <c r="A12" s="335" t="s">
        <v>3067</v>
      </c>
      <c r="B12" s="247" t="s">
        <v>1123</v>
      </c>
      <c r="C12" s="247" t="s">
        <v>1124</v>
      </c>
      <c r="D12" s="247" t="s">
        <v>1125</v>
      </c>
      <c r="E12" s="248" t="s">
        <v>1126</v>
      </c>
      <c r="F12" s="247">
        <v>314852038</v>
      </c>
      <c r="G12" s="247">
        <v>1621</v>
      </c>
      <c r="H12" s="247" t="s">
        <v>1335</v>
      </c>
      <c r="I12" s="247" t="s">
        <v>2059</v>
      </c>
      <c r="J12" s="14">
        <v>58</v>
      </c>
      <c r="K12" s="14">
        <v>58</v>
      </c>
      <c r="L12" s="14">
        <v>59</v>
      </c>
      <c r="M12" s="14">
        <v>59</v>
      </c>
      <c r="N12" s="227"/>
      <c r="O12" s="631">
        <v>88</v>
      </c>
      <c r="P12" s="631">
        <v>89</v>
      </c>
      <c r="Q12" s="631">
        <v>89</v>
      </c>
      <c r="R12" s="631">
        <v>90</v>
      </c>
      <c r="S12" s="3">
        <f t="shared" si="0"/>
        <v>356</v>
      </c>
    </row>
    <row r="13" spans="1:19" ht="21">
      <c r="A13" s="335" t="s">
        <v>3068</v>
      </c>
      <c r="B13" s="247" t="s">
        <v>1054</v>
      </c>
      <c r="C13" s="247" t="s">
        <v>1055</v>
      </c>
      <c r="D13" s="247" t="s">
        <v>1056</v>
      </c>
      <c r="E13" s="248" t="s">
        <v>1057</v>
      </c>
      <c r="F13" s="247">
        <v>313812081</v>
      </c>
      <c r="G13" s="247">
        <v>1667</v>
      </c>
      <c r="H13" s="247" t="s">
        <v>1335</v>
      </c>
      <c r="I13" s="247" t="s">
        <v>2059</v>
      </c>
      <c r="J13" s="14">
        <v>54</v>
      </c>
      <c r="K13" s="14">
        <v>58</v>
      </c>
      <c r="L13" s="14">
        <v>60</v>
      </c>
      <c r="M13" s="14">
        <v>50</v>
      </c>
      <c r="N13" s="227"/>
      <c r="O13" s="631">
        <v>70</v>
      </c>
      <c r="P13" s="631">
        <v>75</v>
      </c>
      <c r="Q13" s="631">
        <v>80</v>
      </c>
      <c r="R13" s="631">
        <v>89</v>
      </c>
      <c r="S13" s="3">
        <f t="shared" si="0"/>
        <v>314</v>
      </c>
    </row>
    <row r="14" spans="1:19" ht="21">
      <c r="A14" s="335" t="s">
        <v>3069</v>
      </c>
      <c r="B14" s="247" t="s">
        <v>1009</v>
      </c>
      <c r="C14" s="247" t="s">
        <v>3349</v>
      </c>
      <c r="D14" s="247" t="s">
        <v>1179</v>
      </c>
      <c r="E14" s="248" t="s">
        <v>1010</v>
      </c>
      <c r="F14" s="253">
        <v>319895933</v>
      </c>
      <c r="G14" s="247">
        <v>1590</v>
      </c>
      <c r="H14" s="247" t="s">
        <v>1335</v>
      </c>
      <c r="I14" s="247" t="s">
        <v>2059</v>
      </c>
      <c r="J14" s="14">
        <v>58</v>
      </c>
      <c r="K14" s="14">
        <v>58</v>
      </c>
      <c r="L14" s="14">
        <v>54</v>
      </c>
      <c r="M14" s="14">
        <v>54</v>
      </c>
      <c r="N14" s="227"/>
      <c r="O14" s="631">
        <v>86</v>
      </c>
      <c r="P14" s="631">
        <v>85</v>
      </c>
      <c r="Q14" s="631">
        <v>86</v>
      </c>
      <c r="R14" s="631">
        <v>92</v>
      </c>
      <c r="S14" s="3">
        <f t="shared" si="0"/>
        <v>349</v>
      </c>
    </row>
    <row r="15" spans="1:19" ht="21">
      <c r="A15" s="335" t="s">
        <v>3070</v>
      </c>
      <c r="B15" s="247" t="s">
        <v>1021</v>
      </c>
      <c r="C15" s="247" t="s">
        <v>3237</v>
      </c>
      <c r="D15" s="247" t="s">
        <v>1022</v>
      </c>
      <c r="E15" s="248" t="s">
        <v>1023</v>
      </c>
      <c r="F15" s="247">
        <v>313615223</v>
      </c>
      <c r="G15" s="247">
        <v>1606</v>
      </c>
      <c r="H15" s="247" t="s">
        <v>1335</v>
      </c>
      <c r="I15" s="247" t="s">
        <v>2059</v>
      </c>
      <c r="J15" s="14">
        <v>51</v>
      </c>
      <c r="K15" s="14">
        <v>59</v>
      </c>
      <c r="L15" s="14">
        <v>56</v>
      </c>
      <c r="M15" s="14">
        <v>50</v>
      </c>
      <c r="N15" s="227"/>
      <c r="O15" s="631">
        <v>76</v>
      </c>
      <c r="P15" s="631">
        <v>80</v>
      </c>
      <c r="Q15" s="631">
        <v>81</v>
      </c>
      <c r="R15" s="631">
        <v>87</v>
      </c>
      <c r="S15" s="3">
        <f t="shared" si="0"/>
        <v>324</v>
      </c>
    </row>
    <row r="16" spans="1:19" ht="21">
      <c r="A16" s="335" t="s">
        <v>3071</v>
      </c>
      <c r="B16" s="247" t="s">
        <v>986</v>
      </c>
      <c r="C16" s="247" t="s">
        <v>987</v>
      </c>
      <c r="D16" s="247" t="s">
        <v>988</v>
      </c>
      <c r="E16" s="248" t="s">
        <v>989</v>
      </c>
      <c r="F16" s="247">
        <v>311382002</v>
      </c>
      <c r="G16" s="247">
        <v>1569</v>
      </c>
      <c r="H16" s="247" t="s">
        <v>1335</v>
      </c>
      <c r="I16" s="247" t="s">
        <v>2059</v>
      </c>
      <c r="J16" s="14">
        <v>60</v>
      </c>
      <c r="K16" s="14">
        <v>59</v>
      </c>
      <c r="L16" s="14">
        <v>60</v>
      </c>
      <c r="M16" s="14">
        <v>59</v>
      </c>
      <c r="N16" s="227"/>
      <c r="O16" s="631">
        <v>94</v>
      </c>
      <c r="P16" s="631">
        <v>93</v>
      </c>
      <c r="Q16" s="631">
        <v>94</v>
      </c>
      <c r="R16" s="631">
        <v>95</v>
      </c>
      <c r="S16" s="3">
        <f t="shared" si="0"/>
        <v>376</v>
      </c>
    </row>
    <row r="17" spans="1:19" ht="21">
      <c r="A17" s="335" t="s">
        <v>3072</v>
      </c>
      <c r="B17" s="251" t="s">
        <v>1290</v>
      </c>
      <c r="C17" s="251" t="s">
        <v>1291</v>
      </c>
      <c r="D17" s="251" t="s">
        <v>1292</v>
      </c>
      <c r="E17" s="252" t="s">
        <v>1293</v>
      </c>
      <c r="F17" s="251">
        <v>317881573</v>
      </c>
      <c r="G17" s="251">
        <v>1493</v>
      </c>
      <c r="H17" s="247" t="s">
        <v>1335</v>
      </c>
      <c r="I17" s="247" t="s">
        <v>2059</v>
      </c>
      <c r="J17" s="14">
        <v>58</v>
      </c>
      <c r="K17" s="14">
        <v>59</v>
      </c>
      <c r="L17" s="14">
        <v>56</v>
      </c>
      <c r="M17" s="14">
        <v>59</v>
      </c>
      <c r="N17" s="227"/>
      <c r="O17" s="631">
        <v>90</v>
      </c>
      <c r="P17" s="631">
        <v>91</v>
      </c>
      <c r="Q17" s="631">
        <v>93</v>
      </c>
      <c r="R17" s="631">
        <v>96</v>
      </c>
      <c r="S17" s="3">
        <f t="shared" si="0"/>
        <v>370</v>
      </c>
    </row>
    <row r="18" spans="1:19" ht="21">
      <c r="A18" s="335" t="s">
        <v>3073</v>
      </c>
      <c r="B18" s="247" t="s">
        <v>69</v>
      </c>
      <c r="C18" s="247" t="s">
        <v>982</v>
      </c>
      <c r="D18" s="247" t="s">
        <v>3350</v>
      </c>
      <c r="E18" s="248" t="s">
        <v>981</v>
      </c>
      <c r="F18" s="249">
        <v>317045204</v>
      </c>
      <c r="G18" s="247">
        <v>1567</v>
      </c>
      <c r="H18" s="247" t="s">
        <v>1335</v>
      </c>
      <c r="I18" s="247" t="s">
        <v>2059</v>
      </c>
      <c r="J18" s="14">
        <v>60</v>
      </c>
      <c r="K18" s="14">
        <v>60</v>
      </c>
      <c r="L18" s="14">
        <v>60</v>
      </c>
      <c r="M18" s="14">
        <v>60</v>
      </c>
      <c r="N18" s="227"/>
      <c r="O18" s="631">
        <v>99</v>
      </c>
      <c r="P18" s="631">
        <v>99</v>
      </c>
      <c r="Q18" s="631">
        <v>99</v>
      </c>
      <c r="R18" s="631">
        <v>96</v>
      </c>
      <c r="S18" s="3">
        <f t="shared" si="0"/>
        <v>393</v>
      </c>
    </row>
    <row r="19" spans="1:19" ht="21">
      <c r="A19" s="335" t="s">
        <v>3074</v>
      </c>
      <c r="B19" s="247" t="s">
        <v>990</v>
      </c>
      <c r="C19" s="247" t="s">
        <v>991</v>
      </c>
      <c r="D19" s="247" t="s">
        <v>1176</v>
      </c>
      <c r="E19" s="248" t="s">
        <v>974</v>
      </c>
      <c r="F19" s="247">
        <v>316954052</v>
      </c>
      <c r="G19" s="247">
        <v>1568</v>
      </c>
      <c r="H19" s="247" t="s">
        <v>1335</v>
      </c>
      <c r="I19" s="247" t="s">
        <v>2059</v>
      </c>
      <c r="J19" s="14">
        <v>59</v>
      </c>
      <c r="K19" s="14">
        <v>59</v>
      </c>
      <c r="L19" s="14">
        <v>60</v>
      </c>
      <c r="M19" s="14">
        <v>50</v>
      </c>
      <c r="N19" s="227"/>
      <c r="O19" s="631">
        <v>91</v>
      </c>
      <c r="P19" s="631">
        <v>90</v>
      </c>
      <c r="Q19" s="631">
        <v>93</v>
      </c>
      <c r="R19" s="631">
        <v>94</v>
      </c>
      <c r="S19" s="3">
        <f t="shared" si="0"/>
        <v>368</v>
      </c>
    </row>
    <row r="20" spans="1:19" ht="21">
      <c r="A20" s="335" t="s">
        <v>3075</v>
      </c>
      <c r="B20" s="247" t="s">
        <v>1002</v>
      </c>
      <c r="C20" s="247" t="s">
        <v>1003</v>
      </c>
      <c r="D20" s="247" t="s">
        <v>1004</v>
      </c>
      <c r="E20" s="248" t="s">
        <v>1005</v>
      </c>
      <c r="F20" s="247">
        <v>312682524</v>
      </c>
      <c r="G20" s="247">
        <v>1584</v>
      </c>
      <c r="H20" s="247" t="s">
        <v>1335</v>
      </c>
      <c r="I20" s="247" t="s">
        <v>2059</v>
      </c>
      <c r="J20" s="14">
        <v>56</v>
      </c>
      <c r="K20" s="14">
        <v>59</v>
      </c>
      <c r="L20" s="14">
        <v>57</v>
      </c>
      <c r="M20" s="14">
        <v>58</v>
      </c>
      <c r="N20" s="227"/>
      <c r="O20" s="631">
        <v>80</v>
      </c>
      <c r="P20" s="631">
        <v>82</v>
      </c>
      <c r="Q20" s="631">
        <v>78</v>
      </c>
      <c r="R20" s="631">
        <v>88</v>
      </c>
      <c r="S20" s="3">
        <f t="shared" si="0"/>
        <v>328</v>
      </c>
    </row>
    <row r="21" spans="1:19" ht="21">
      <c r="A21" s="335" t="s">
        <v>3076</v>
      </c>
      <c r="B21" s="247" t="s">
        <v>1019</v>
      </c>
      <c r="C21" s="247" t="s">
        <v>3238</v>
      </c>
      <c r="D21" s="247" t="s">
        <v>3239</v>
      </c>
      <c r="E21" s="248" t="s">
        <v>1020</v>
      </c>
      <c r="F21" s="247">
        <v>317881515</v>
      </c>
      <c r="G21" s="247">
        <v>1605</v>
      </c>
      <c r="H21" s="247" t="s">
        <v>1335</v>
      </c>
      <c r="I21" s="247" t="s">
        <v>2059</v>
      </c>
      <c r="J21" s="14">
        <v>59</v>
      </c>
      <c r="K21" s="14">
        <v>60</v>
      </c>
      <c r="L21" s="14">
        <v>58</v>
      </c>
      <c r="M21" s="14">
        <v>59</v>
      </c>
      <c r="N21" s="227"/>
      <c r="O21" s="631">
        <v>75</v>
      </c>
      <c r="P21" s="631">
        <v>80</v>
      </c>
      <c r="Q21" s="631">
        <v>86</v>
      </c>
      <c r="R21" s="631">
        <v>87</v>
      </c>
      <c r="S21" s="3">
        <f t="shared" si="0"/>
        <v>328</v>
      </c>
    </row>
    <row r="22" spans="1:19" ht="21">
      <c r="A22" s="335" t="s">
        <v>3077</v>
      </c>
      <c r="B22" s="247" t="s">
        <v>2170</v>
      </c>
      <c r="C22" s="247" t="s">
        <v>3351</v>
      </c>
      <c r="D22" s="247" t="s">
        <v>1070</v>
      </c>
      <c r="E22" s="248" t="s">
        <v>955</v>
      </c>
      <c r="F22" s="247">
        <v>312058865</v>
      </c>
      <c r="G22" s="247">
        <v>1497</v>
      </c>
      <c r="H22" s="247" t="s">
        <v>1335</v>
      </c>
      <c r="I22" s="247" t="s">
        <v>2059</v>
      </c>
      <c r="J22" s="14">
        <v>59</v>
      </c>
      <c r="K22" s="14">
        <v>59</v>
      </c>
      <c r="L22" s="14">
        <v>58</v>
      </c>
      <c r="M22" s="14">
        <v>59</v>
      </c>
      <c r="N22" s="227"/>
      <c r="O22" s="631">
        <v>93</v>
      </c>
      <c r="P22" s="631">
        <v>90</v>
      </c>
      <c r="Q22" s="631">
        <v>92</v>
      </c>
      <c r="R22" s="631">
        <v>96</v>
      </c>
      <c r="S22" s="3">
        <f t="shared" si="0"/>
        <v>371</v>
      </c>
    </row>
    <row r="23" spans="1:19" ht="21">
      <c r="A23" s="335" t="s">
        <v>3078</v>
      </c>
      <c r="B23" s="247" t="s">
        <v>1098</v>
      </c>
      <c r="C23" s="247" t="s">
        <v>1099</v>
      </c>
      <c r="D23" s="247" t="s">
        <v>1100</v>
      </c>
      <c r="E23" s="248" t="s">
        <v>1101</v>
      </c>
      <c r="F23" s="247">
        <v>311327865</v>
      </c>
      <c r="G23" s="247">
        <v>1517</v>
      </c>
      <c r="H23" s="247" t="s">
        <v>1335</v>
      </c>
      <c r="I23" s="247" t="s">
        <v>2059</v>
      </c>
      <c r="J23" s="14">
        <v>58</v>
      </c>
      <c r="K23" s="14">
        <v>56</v>
      </c>
      <c r="L23" s="14">
        <v>57</v>
      </c>
      <c r="M23" s="14">
        <v>37</v>
      </c>
      <c r="N23" s="227"/>
      <c r="O23" s="631">
        <v>80</v>
      </c>
      <c r="P23" s="631">
        <v>85</v>
      </c>
      <c r="Q23" s="631">
        <v>75</v>
      </c>
      <c r="R23" s="631">
        <v>85</v>
      </c>
      <c r="S23" s="3">
        <f t="shared" si="0"/>
        <v>325</v>
      </c>
    </row>
    <row r="24" spans="1:19" ht="21">
      <c r="A24" s="335" t="s">
        <v>3079</v>
      </c>
      <c r="B24" s="247" t="s">
        <v>1102</v>
      </c>
      <c r="C24" s="247" t="s">
        <v>1103</v>
      </c>
      <c r="D24" s="247" t="s">
        <v>1104</v>
      </c>
      <c r="E24" s="248" t="s">
        <v>1105</v>
      </c>
      <c r="F24" s="247">
        <v>316086946</v>
      </c>
      <c r="G24" s="247">
        <v>1520</v>
      </c>
      <c r="H24" s="247" t="s">
        <v>1335</v>
      </c>
      <c r="I24" s="247" t="s">
        <v>2059</v>
      </c>
      <c r="J24" s="14">
        <v>60</v>
      </c>
      <c r="K24" s="14">
        <v>58</v>
      </c>
      <c r="L24" s="14">
        <v>60</v>
      </c>
      <c r="M24" s="14">
        <v>58</v>
      </c>
      <c r="N24" s="227"/>
      <c r="O24" s="631">
        <v>90</v>
      </c>
      <c r="P24" s="631">
        <v>90</v>
      </c>
      <c r="Q24" s="631">
        <v>96</v>
      </c>
      <c r="R24" s="631">
        <v>97</v>
      </c>
      <c r="S24" s="3">
        <f t="shared" si="0"/>
        <v>373</v>
      </c>
    </row>
    <row r="25" spans="1:19" ht="21">
      <c r="A25" s="335" t="s">
        <v>3080</v>
      </c>
      <c r="B25" s="247" t="s">
        <v>1114</v>
      </c>
      <c r="C25" s="247" t="s">
        <v>1115</v>
      </c>
      <c r="D25" s="247" t="s">
        <v>1116</v>
      </c>
      <c r="E25" s="248" t="s">
        <v>1117</v>
      </c>
      <c r="F25" s="247">
        <v>318932033</v>
      </c>
      <c r="G25" s="247">
        <v>1525</v>
      </c>
      <c r="H25" s="247" t="s">
        <v>1335</v>
      </c>
      <c r="I25" s="247" t="s">
        <v>2059</v>
      </c>
      <c r="J25" s="14">
        <v>59</v>
      </c>
      <c r="K25" s="14">
        <v>58</v>
      </c>
      <c r="L25" s="14">
        <v>58</v>
      </c>
      <c r="M25" s="14">
        <v>57</v>
      </c>
      <c r="N25" s="227"/>
      <c r="O25" s="631">
        <v>84</v>
      </c>
      <c r="P25" s="631">
        <v>85</v>
      </c>
      <c r="Q25" s="631">
        <v>94</v>
      </c>
      <c r="R25" s="631">
        <v>93</v>
      </c>
      <c r="S25" s="3">
        <f t="shared" si="0"/>
        <v>356</v>
      </c>
    </row>
    <row r="26" spans="1:19" ht="21">
      <c r="A26" s="335" t="s">
        <v>3081</v>
      </c>
      <c r="B26" s="247" t="s">
        <v>2085</v>
      </c>
      <c r="C26" s="247" t="s">
        <v>2086</v>
      </c>
      <c r="D26" s="247" t="s">
        <v>2087</v>
      </c>
      <c r="E26" s="248" t="s">
        <v>2088</v>
      </c>
      <c r="F26" s="247">
        <v>312933906</v>
      </c>
      <c r="G26" s="247">
        <v>1815</v>
      </c>
      <c r="H26" s="247" t="s">
        <v>1335</v>
      </c>
      <c r="I26" s="247" t="s">
        <v>2059</v>
      </c>
      <c r="J26" s="14">
        <v>48</v>
      </c>
      <c r="K26" s="14">
        <v>52</v>
      </c>
      <c r="L26" s="14">
        <v>50</v>
      </c>
      <c r="M26" s="14">
        <v>40</v>
      </c>
      <c r="N26" s="227"/>
      <c r="O26" s="631">
        <v>60</v>
      </c>
      <c r="P26" s="631">
        <v>73</v>
      </c>
      <c r="Q26" s="631">
        <v>70</v>
      </c>
      <c r="R26" s="631">
        <v>75</v>
      </c>
      <c r="S26" s="3">
        <f t="shared" si="0"/>
        <v>278</v>
      </c>
    </row>
    <row r="27" spans="1:19" ht="21">
      <c r="A27" s="335" t="s">
        <v>3082</v>
      </c>
      <c r="B27" s="247" t="s">
        <v>2089</v>
      </c>
      <c r="C27" s="247" t="s">
        <v>2090</v>
      </c>
      <c r="D27" s="247" t="s">
        <v>2091</v>
      </c>
      <c r="E27" s="248" t="s">
        <v>1352</v>
      </c>
      <c r="F27" s="247"/>
      <c r="G27" s="247">
        <v>1830</v>
      </c>
      <c r="H27" s="247" t="s">
        <v>1335</v>
      </c>
      <c r="I27" s="247" t="s">
        <v>2059</v>
      </c>
      <c r="J27" s="14">
        <v>54</v>
      </c>
      <c r="K27" s="14">
        <v>55</v>
      </c>
      <c r="L27" s="14">
        <v>52</v>
      </c>
      <c r="M27" s="14">
        <v>59</v>
      </c>
      <c r="N27" s="227"/>
      <c r="O27" s="631">
        <v>70</v>
      </c>
      <c r="P27" s="631">
        <v>82</v>
      </c>
      <c r="Q27" s="631">
        <v>80</v>
      </c>
      <c r="R27" s="631">
        <v>90</v>
      </c>
      <c r="S27" s="3">
        <f t="shared" si="0"/>
        <v>322</v>
      </c>
    </row>
    <row r="28" spans="1:19" ht="21">
      <c r="A28" s="335" t="s">
        <v>3083</v>
      </c>
      <c r="B28" s="247" t="s">
        <v>1039</v>
      </c>
      <c r="C28" s="247" t="s">
        <v>1040</v>
      </c>
      <c r="D28" s="247" t="s">
        <v>1041</v>
      </c>
      <c r="E28" s="248" t="s">
        <v>1042</v>
      </c>
      <c r="F28" s="247">
        <v>316953875</v>
      </c>
      <c r="G28" s="247">
        <v>1657</v>
      </c>
      <c r="H28" s="247" t="s">
        <v>1335</v>
      </c>
      <c r="I28" s="247" t="s">
        <v>2059</v>
      </c>
      <c r="J28" s="14">
        <v>56</v>
      </c>
      <c r="K28" s="14">
        <v>60</v>
      </c>
      <c r="L28" s="14">
        <v>60</v>
      </c>
      <c r="M28" s="14">
        <v>60</v>
      </c>
      <c r="N28" s="227"/>
      <c r="O28" s="631">
        <v>75</v>
      </c>
      <c r="P28" s="631">
        <v>80</v>
      </c>
      <c r="Q28" s="631">
        <v>86</v>
      </c>
      <c r="R28" s="631">
        <v>89</v>
      </c>
      <c r="S28" s="3">
        <f t="shared" si="0"/>
        <v>330</v>
      </c>
    </row>
    <row r="29" spans="1:19" ht="21">
      <c r="A29" s="335" t="s">
        <v>3084</v>
      </c>
      <c r="B29" s="247" t="s">
        <v>2068</v>
      </c>
      <c r="C29" s="247" t="s">
        <v>2069</v>
      </c>
      <c r="D29" s="247" t="s">
        <v>2070</v>
      </c>
      <c r="E29" s="248" t="s">
        <v>2071</v>
      </c>
      <c r="F29" s="247">
        <v>317178355</v>
      </c>
      <c r="G29" s="247">
        <v>1776</v>
      </c>
      <c r="H29" s="247" t="s">
        <v>1335</v>
      </c>
      <c r="I29" s="247" t="s">
        <v>2059</v>
      </c>
      <c r="J29" s="14">
        <v>55</v>
      </c>
      <c r="K29" s="14">
        <v>60</v>
      </c>
      <c r="L29" s="14">
        <v>59</v>
      </c>
      <c r="M29" s="14">
        <v>57</v>
      </c>
      <c r="N29" s="227"/>
      <c r="O29" s="631">
        <v>80</v>
      </c>
      <c r="P29" s="631">
        <v>89</v>
      </c>
      <c r="Q29" s="631">
        <v>76</v>
      </c>
      <c r="R29" s="631">
        <v>90</v>
      </c>
      <c r="S29" s="3">
        <f t="shared" si="0"/>
        <v>335</v>
      </c>
    </row>
    <row r="30" spans="1:19" ht="21">
      <c r="A30" s="335" t="s">
        <v>3085</v>
      </c>
      <c r="B30" s="247" t="s">
        <v>3240</v>
      </c>
      <c r="C30" s="247" t="s">
        <v>2873</v>
      </c>
      <c r="D30" s="247" t="s">
        <v>2450</v>
      </c>
      <c r="E30" s="248" t="s">
        <v>2874</v>
      </c>
      <c r="F30" s="247">
        <v>315207531</v>
      </c>
      <c r="G30" s="247">
        <v>1840</v>
      </c>
      <c r="H30" s="247" t="s">
        <v>1335</v>
      </c>
      <c r="I30" s="247" t="s">
        <v>2059</v>
      </c>
      <c r="J30" s="14">
        <v>39</v>
      </c>
      <c r="K30" s="14">
        <v>40</v>
      </c>
      <c r="L30" s="14">
        <v>35</v>
      </c>
      <c r="M30" s="14">
        <v>30</v>
      </c>
      <c r="N30" s="227"/>
      <c r="O30" s="631">
        <v>60</v>
      </c>
      <c r="P30" s="631">
        <v>55</v>
      </c>
      <c r="Q30" s="631">
        <v>68</v>
      </c>
      <c r="R30" s="631">
        <v>70</v>
      </c>
      <c r="S30" s="3">
        <f t="shared" si="0"/>
        <v>253</v>
      </c>
    </row>
    <row r="31" spans="1:19" ht="21">
      <c r="A31" s="335" t="s">
        <v>3086</v>
      </c>
      <c r="B31" s="247" t="s">
        <v>951</v>
      </c>
      <c r="C31" s="247" t="s">
        <v>1173</v>
      </c>
      <c r="D31" s="247" t="s">
        <v>1174</v>
      </c>
      <c r="E31" s="248" t="s">
        <v>952</v>
      </c>
      <c r="F31" s="247">
        <v>140921985</v>
      </c>
      <c r="G31" s="247">
        <v>1531</v>
      </c>
      <c r="H31" s="247" t="s">
        <v>1335</v>
      </c>
      <c r="I31" s="247" t="s">
        <v>2059</v>
      </c>
      <c r="J31" s="14">
        <v>59</v>
      </c>
      <c r="K31" s="14">
        <v>57</v>
      </c>
      <c r="L31" s="14">
        <v>60</v>
      </c>
      <c r="M31" s="14">
        <v>57</v>
      </c>
      <c r="N31" s="227"/>
      <c r="O31" s="631">
        <v>70</v>
      </c>
      <c r="P31" s="631">
        <v>70</v>
      </c>
      <c r="Q31" s="631">
        <v>71</v>
      </c>
      <c r="R31" s="631">
        <v>85</v>
      </c>
      <c r="S31" s="3">
        <f t="shared" si="0"/>
        <v>296</v>
      </c>
    </row>
    <row r="32" spans="1:19" ht="21">
      <c r="A32" s="335" t="s">
        <v>3087</v>
      </c>
      <c r="B32" s="247" t="s">
        <v>1139</v>
      </c>
      <c r="C32" s="247" t="s">
        <v>1140</v>
      </c>
      <c r="D32" s="247" t="s">
        <v>128</v>
      </c>
      <c r="E32" s="248" t="s">
        <v>1141</v>
      </c>
      <c r="F32" s="249">
        <v>321969034</v>
      </c>
      <c r="G32" s="247">
        <v>1650</v>
      </c>
      <c r="H32" s="247" t="s">
        <v>1335</v>
      </c>
      <c r="I32" s="247" t="s">
        <v>2059</v>
      </c>
      <c r="J32" s="14">
        <v>60</v>
      </c>
      <c r="K32" s="14">
        <v>59</v>
      </c>
      <c r="L32" s="14">
        <v>60</v>
      </c>
      <c r="M32" s="14">
        <v>60</v>
      </c>
      <c r="N32" s="227"/>
      <c r="O32" s="631">
        <v>90</v>
      </c>
      <c r="P32" s="631">
        <v>85</v>
      </c>
      <c r="Q32" s="631">
        <v>91</v>
      </c>
      <c r="R32" s="631">
        <v>94</v>
      </c>
      <c r="S32" s="3">
        <f t="shared" si="0"/>
        <v>360</v>
      </c>
    </row>
    <row r="33" spans="1:19" ht="21">
      <c r="A33" s="335" t="s">
        <v>3088</v>
      </c>
      <c r="B33" s="247" t="s">
        <v>1145</v>
      </c>
      <c r="C33" s="247" t="s">
        <v>1067</v>
      </c>
      <c r="D33" s="247" t="s">
        <v>1068</v>
      </c>
      <c r="E33" s="248" t="s">
        <v>1069</v>
      </c>
      <c r="F33" s="247"/>
      <c r="G33" s="247">
        <v>1495</v>
      </c>
      <c r="H33" s="247" t="s">
        <v>1335</v>
      </c>
      <c r="I33" s="247" t="s">
        <v>2059</v>
      </c>
      <c r="J33" s="14">
        <v>60</v>
      </c>
      <c r="K33" s="14">
        <v>60</v>
      </c>
      <c r="L33" s="14">
        <v>60</v>
      </c>
      <c r="M33" s="14">
        <v>60</v>
      </c>
      <c r="N33" s="227"/>
      <c r="O33" s="631">
        <v>93</v>
      </c>
      <c r="P33" s="631">
        <v>90</v>
      </c>
      <c r="Q33" s="631">
        <v>97</v>
      </c>
      <c r="R33" s="631">
        <v>96</v>
      </c>
      <c r="S33" s="3">
        <f t="shared" si="0"/>
        <v>376</v>
      </c>
    </row>
    <row r="34" spans="1:19" ht="21">
      <c r="A34" s="335" t="s">
        <v>3089</v>
      </c>
      <c r="B34" s="247" t="s">
        <v>1142</v>
      </c>
      <c r="C34" s="247" t="s">
        <v>1143</v>
      </c>
      <c r="D34" s="247" t="s">
        <v>2072</v>
      </c>
      <c r="E34" s="248" t="s">
        <v>1144</v>
      </c>
      <c r="F34" s="247">
        <v>318989809</v>
      </c>
      <c r="G34" s="247">
        <v>1652</v>
      </c>
      <c r="H34" s="247" t="s">
        <v>1335</v>
      </c>
      <c r="I34" s="247" t="s">
        <v>2059</v>
      </c>
      <c r="J34" s="14">
        <v>60</v>
      </c>
      <c r="K34" s="14">
        <v>60</v>
      </c>
      <c r="L34" s="14">
        <v>60</v>
      </c>
      <c r="M34" s="14">
        <v>60</v>
      </c>
      <c r="N34" s="227"/>
      <c r="O34" s="631">
        <v>94</v>
      </c>
      <c r="P34" s="631">
        <v>91</v>
      </c>
      <c r="Q34" s="631">
        <v>94</v>
      </c>
      <c r="R34" s="631">
        <v>97</v>
      </c>
      <c r="S34" s="3">
        <f t="shared" si="0"/>
        <v>376</v>
      </c>
    </row>
    <row r="35" spans="1:19" ht="21">
      <c r="A35" s="335" t="s">
        <v>3090</v>
      </c>
      <c r="B35" s="247" t="s">
        <v>2073</v>
      </c>
      <c r="C35" s="247" t="s">
        <v>2074</v>
      </c>
      <c r="D35" s="247" t="s">
        <v>2075</v>
      </c>
      <c r="E35" s="248" t="s">
        <v>2076</v>
      </c>
      <c r="F35" s="247">
        <v>315930052</v>
      </c>
      <c r="G35" s="247">
        <v>1814</v>
      </c>
      <c r="H35" s="247" t="s">
        <v>1335</v>
      </c>
      <c r="I35" s="247" t="s">
        <v>2059</v>
      </c>
      <c r="J35" s="14">
        <v>53</v>
      </c>
      <c r="K35" s="14">
        <v>53</v>
      </c>
      <c r="L35" s="14">
        <v>47</v>
      </c>
      <c r="M35" s="14">
        <v>35</v>
      </c>
      <c r="N35" s="227"/>
      <c r="O35" s="631">
        <v>60</v>
      </c>
      <c r="P35" s="631">
        <v>75</v>
      </c>
      <c r="Q35" s="631">
        <v>72</v>
      </c>
      <c r="R35" s="631">
        <v>75</v>
      </c>
      <c r="S35" s="3">
        <f t="shared" si="0"/>
        <v>282</v>
      </c>
    </row>
    <row r="36" spans="1:19" ht="21">
      <c r="A36" s="335" t="s">
        <v>3091</v>
      </c>
      <c r="B36" s="247" t="s">
        <v>1045</v>
      </c>
      <c r="C36" s="247" t="s">
        <v>646</v>
      </c>
      <c r="D36" s="247" t="s">
        <v>1046</v>
      </c>
      <c r="E36" s="248" t="s">
        <v>1047</v>
      </c>
      <c r="F36" s="247">
        <v>316954126</v>
      </c>
      <c r="G36" s="247">
        <v>1659</v>
      </c>
      <c r="H36" s="247" t="s">
        <v>1335</v>
      </c>
      <c r="I36" s="247" t="s">
        <v>2059</v>
      </c>
      <c r="J36" s="14">
        <v>57</v>
      </c>
      <c r="K36" s="14">
        <v>55</v>
      </c>
      <c r="L36" s="14">
        <v>60</v>
      </c>
      <c r="M36" s="14">
        <v>52</v>
      </c>
      <c r="N36" s="227"/>
      <c r="O36" s="631">
        <v>82</v>
      </c>
      <c r="P36" s="631">
        <v>80</v>
      </c>
      <c r="Q36" s="631">
        <v>84</v>
      </c>
      <c r="R36" s="631">
        <v>90</v>
      </c>
      <c r="S36" s="3">
        <f t="shared" si="0"/>
        <v>336</v>
      </c>
    </row>
    <row r="37" spans="1:19" ht="21">
      <c r="A37" s="335" t="s">
        <v>3092</v>
      </c>
      <c r="B37" s="247" t="s">
        <v>1024</v>
      </c>
      <c r="C37" s="247" t="s">
        <v>1025</v>
      </c>
      <c r="D37" s="247" t="s">
        <v>1026</v>
      </c>
      <c r="E37" s="248" t="s">
        <v>1027</v>
      </c>
      <c r="F37" s="247">
        <v>312058747</v>
      </c>
      <c r="G37" s="247">
        <v>1614</v>
      </c>
      <c r="H37" s="247" t="s">
        <v>1335</v>
      </c>
      <c r="I37" s="247" t="s">
        <v>2059</v>
      </c>
      <c r="J37" s="14">
        <v>55</v>
      </c>
      <c r="K37" s="14">
        <v>55</v>
      </c>
      <c r="L37" s="14">
        <v>56</v>
      </c>
      <c r="M37" s="14">
        <v>57</v>
      </c>
      <c r="N37" s="227"/>
      <c r="O37" s="631">
        <v>80</v>
      </c>
      <c r="P37" s="631">
        <v>70</v>
      </c>
      <c r="Q37" s="631">
        <v>75</v>
      </c>
      <c r="R37" s="631">
        <v>78</v>
      </c>
      <c r="S37" s="3">
        <f t="shared" si="0"/>
        <v>303</v>
      </c>
    </row>
    <row r="38" spans="1:19" ht="21">
      <c r="A38" s="335" t="s">
        <v>3093</v>
      </c>
      <c r="B38" s="247" t="s">
        <v>1089</v>
      </c>
      <c r="C38" s="247" t="s">
        <v>1090</v>
      </c>
      <c r="D38" s="247" t="s">
        <v>1091</v>
      </c>
      <c r="E38" s="248" t="s">
        <v>1092</v>
      </c>
      <c r="F38" s="247">
        <v>314409561</v>
      </c>
      <c r="G38" s="247">
        <v>1514</v>
      </c>
      <c r="H38" s="247" t="s">
        <v>1335</v>
      </c>
      <c r="I38" s="247" t="s">
        <v>2059</v>
      </c>
      <c r="J38" s="14">
        <v>59</v>
      </c>
      <c r="K38" s="14">
        <v>60</v>
      </c>
      <c r="L38" s="14">
        <v>60</v>
      </c>
      <c r="M38" s="14">
        <v>59</v>
      </c>
      <c r="N38" s="227"/>
      <c r="O38" s="631">
        <v>85</v>
      </c>
      <c r="P38" s="631">
        <v>90</v>
      </c>
      <c r="Q38" s="631">
        <v>74</v>
      </c>
      <c r="R38" s="631">
        <v>89</v>
      </c>
      <c r="S38" s="3">
        <f t="shared" si="0"/>
        <v>338</v>
      </c>
    </row>
    <row r="39" spans="1:19" ht="21">
      <c r="A39" s="335" t="s">
        <v>3094</v>
      </c>
      <c r="B39" s="247" t="s">
        <v>953</v>
      </c>
      <c r="C39" s="247" t="s">
        <v>916</v>
      </c>
      <c r="D39" s="247" t="s">
        <v>954</v>
      </c>
      <c r="E39" s="248" t="s">
        <v>3314</v>
      </c>
      <c r="F39" s="247">
        <v>315183558</v>
      </c>
      <c r="G39" s="247">
        <v>1532</v>
      </c>
      <c r="H39" s="247" t="s">
        <v>1335</v>
      </c>
      <c r="I39" s="247" t="s">
        <v>2059</v>
      </c>
      <c r="J39" s="14">
        <v>60</v>
      </c>
      <c r="K39" s="14">
        <v>60</v>
      </c>
      <c r="L39" s="14">
        <v>57</v>
      </c>
      <c r="M39" s="14">
        <v>59</v>
      </c>
      <c r="N39" s="227"/>
      <c r="O39" s="631">
        <v>85</v>
      </c>
      <c r="P39" s="631">
        <v>81</v>
      </c>
      <c r="Q39" s="631">
        <v>74</v>
      </c>
      <c r="R39" s="631">
        <v>83</v>
      </c>
      <c r="S39" s="3">
        <f t="shared" si="0"/>
        <v>323</v>
      </c>
    </row>
    <row r="40" spans="1:19" ht="21">
      <c r="A40" s="335" t="s">
        <v>3095</v>
      </c>
      <c r="B40" s="247" t="s">
        <v>1051</v>
      </c>
      <c r="C40" s="247" t="s">
        <v>1035</v>
      </c>
      <c r="D40" s="247" t="s">
        <v>1052</v>
      </c>
      <c r="E40" s="248" t="s">
        <v>1053</v>
      </c>
      <c r="F40" s="247">
        <v>320829427</v>
      </c>
      <c r="G40" s="247">
        <v>1664</v>
      </c>
      <c r="H40" s="247" t="s">
        <v>1335</v>
      </c>
      <c r="I40" s="247" t="s">
        <v>2059</v>
      </c>
      <c r="J40" s="14">
        <v>59</v>
      </c>
      <c r="K40" s="14">
        <v>60</v>
      </c>
      <c r="L40" s="14">
        <v>60</v>
      </c>
      <c r="M40" s="14">
        <v>60</v>
      </c>
      <c r="N40" s="227"/>
      <c r="O40" s="631">
        <v>95</v>
      </c>
      <c r="P40" s="631">
        <v>88</v>
      </c>
      <c r="Q40" s="631">
        <v>94</v>
      </c>
      <c r="R40" s="631">
        <v>93</v>
      </c>
      <c r="S40" s="3">
        <f t="shared" si="0"/>
        <v>370</v>
      </c>
    </row>
    <row r="41" spans="1:19" ht="21">
      <c r="A41" s="335" t="s">
        <v>3096</v>
      </c>
      <c r="B41" s="247" t="s">
        <v>1048</v>
      </c>
      <c r="C41" s="247" t="s">
        <v>1049</v>
      </c>
      <c r="D41" s="247" t="s">
        <v>3242</v>
      </c>
      <c r="E41" s="248" t="s">
        <v>1050</v>
      </c>
      <c r="F41" s="247">
        <v>320834970</v>
      </c>
      <c r="G41" s="247">
        <v>1662</v>
      </c>
      <c r="H41" s="247" t="s">
        <v>1335</v>
      </c>
      <c r="I41" s="247" t="s">
        <v>2059</v>
      </c>
      <c r="J41" s="14">
        <v>59</v>
      </c>
      <c r="K41" s="14">
        <v>59</v>
      </c>
      <c r="L41" s="14">
        <v>56</v>
      </c>
      <c r="M41" s="14">
        <v>60</v>
      </c>
      <c r="N41" s="227"/>
      <c r="O41" s="631">
        <v>80</v>
      </c>
      <c r="P41" s="631">
        <v>82</v>
      </c>
      <c r="Q41" s="631">
        <v>87</v>
      </c>
      <c r="R41" s="631">
        <v>90</v>
      </c>
      <c r="S41" s="3">
        <f t="shared" si="0"/>
        <v>339</v>
      </c>
    </row>
    <row r="42" spans="1:19" ht="21">
      <c r="A42" s="335" t="s">
        <v>3097</v>
      </c>
      <c r="B42" s="247" t="s">
        <v>1085</v>
      </c>
      <c r="C42" s="247" t="s">
        <v>1086</v>
      </c>
      <c r="D42" s="247" t="s">
        <v>1087</v>
      </c>
      <c r="E42" s="248" t="s">
        <v>1088</v>
      </c>
      <c r="F42" s="247">
        <v>310194875</v>
      </c>
      <c r="G42" s="247">
        <v>1511</v>
      </c>
      <c r="H42" s="247" t="s">
        <v>1335</v>
      </c>
      <c r="I42" s="247" t="s">
        <v>2059</v>
      </c>
      <c r="J42" s="14">
        <v>59</v>
      </c>
      <c r="K42" s="14">
        <v>59</v>
      </c>
      <c r="L42" s="14">
        <v>60</v>
      </c>
      <c r="M42" s="14">
        <v>57</v>
      </c>
      <c r="N42" s="227"/>
      <c r="O42" s="631">
        <v>90</v>
      </c>
      <c r="P42" s="631">
        <v>88</v>
      </c>
      <c r="Q42" s="631">
        <v>93</v>
      </c>
      <c r="R42" s="631">
        <v>90</v>
      </c>
      <c r="S42" s="3">
        <f t="shared" si="0"/>
        <v>361</v>
      </c>
    </row>
    <row r="43" spans="1:19" ht="21">
      <c r="A43" s="335" t="s">
        <v>3098</v>
      </c>
      <c r="B43" s="247" t="s">
        <v>1106</v>
      </c>
      <c r="C43" s="247" t="s">
        <v>1107</v>
      </c>
      <c r="D43" s="247" t="s">
        <v>1108</v>
      </c>
      <c r="E43" s="248" t="s">
        <v>1109</v>
      </c>
      <c r="F43" s="247">
        <v>310214875</v>
      </c>
      <c r="G43" s="247">
        <v>1522</v>
      </c>
      <c r="H43" s="247" t="s">
        <v>1335</v>
      </c>
      <c r="I43" s="247" t="s">
        <v>2059</v>
      </c>
      <c r="J43" s="14">
        <v>59</v>
      </c>
      <c r="K43" s="14">
        <v>56</v>
      </c>
      <c r="L43" s="14">
        <v>59</v>
      </c>
      <c r="M43" s="14">
        <v>52</v>
      </c>
      <c r="N43" s="227"/>
      <c r="O43" s="631">
        <v>85</v>
      </c>
      <c r="P43" s="631">
        <v>87</v>
      </c>
      <c r="Q43" s="631">
        <v>90</v>
      </c>
      <c r="R43" s="631">
        <v>94</v>
      </c>
      <c r="S43" s="3">
        <f t="shared" si="0"/>
        <v>356</v>
      </c>
    </row>
    <row r="44" spans="1:19" ht="21">
      <c r="A44" s="335" t="s">
        <v>3099</v>
      </c>
      <c r="B44" s="247" t="s">
        <v>1110</v>
      </c>
      <c r="C44" s="247" t="s">
        <v>1111</v>
      </c>
      <c r="D44" s="247" t="s">
        <v>1112</v>
      </c>
      <c r="E44" s="248" t="s">
        <v>1113</v>
      </c>
      <c r="F44" s="247">
        <v>318751984</v>
      </c>
      <c r="G44" s="247">
        <v>1524</v>
      </c>
      <c r="H44" s="247" t="s">
        <v>1335</v>
      </c>
      <c r="I44" s="247" t="s">
        <v>2059</v>
      </c>
      <c r="J44" s="14">
        <v>58</v>
      </c>
      <c r="K44" s="14">
        <v>60</v>
      </c>
      <c r="L44" s="14">
        <v>57</v>
      </c>
      <c r="M44" s="14">
        <v>58</v>
      </c>
      <c r="N44" s="227"/>
      <c r="O44" s="631">
        <v>80</v>
      </c>
      <c r="P44" s="631">
        <v>82</v>
      </c>
      <c r="Q44" s="631">
        <v>88</v>
      </c>
      <c r="R44" s="631">
        <v>87</v>
      </c>
      <c r="S44" s="3">
        <f t="shared" si="0"/>
        <v>337</v>
      </c>
    </row>
    <row r="45" spans="1:19" ht="21">
      <c r="A45" s="335" t="s">
        <v>3100</v>
      </c>
      <c r="B45" s="247" t="s">
        <v>1127</v>
      </c>
      <c r="C45" s="247" t="s">
        <v>3241</v>
      </c>
      <c r="D45" s="247" t="s">
        <v>1128</v>
      </c>
      <c r="E45" s="248" t="s">
        <v>1129</v>
      </c>
      <c r="F45" s="247"/>
      <c r="G45" s="247">
        <v>1623</v>
      </c>
      <c r="H45" s="247" t="s">
        <v>1335</v>
      </c>
      <c r="I45" s="247" t="s">
        <v>2059</v>
      </c>
      <c r="J45" s="14">
        <v>60</v>
      </c>
      <c r="K45" s="14">
        <v>60</v>
      </c>
      <c r="L45" s="14">
        <v>60</v>
      </c>
      <c r="M45" s="14">
        <v>60</v>
      </c>
      <c r="N45" s="227"/>
      <c r="O45" s="631">
        <v>94</v>
      </c>
      <c r="P45" s="631">
        <v>88</v>
      </c>
      <c r="Q45" s="631">
        <v>90</v>
      </c>
      <c r="R45" s="631">
        <v>92</v>
      </c>
      <c r="S45" s="3">
        <f t="shared" si="0"/>
        <v>364</v>
      </c>
    </row>
    <row r="46" spans="1:19" ht="21">
      <c r="A46" s="335" t="s">
        <v>3101</v>
      </c>
      <c r="B46" s="247" t="s">
        <v>1137</v>
      </c>
      <c r="C46" s="247" t="s">
        <v>1182</v>
      </c>
      <c r="D46" s="247" t="s">
        <v>735</v>
      </c>
      <c r="E46" s="248" t="s">
        <v>1138</v>
      </c>
      <c r="F46" s="247">
        <v>318299934</v>
      </c>
      <c r="G46" s="247">
        <v>1638</v>
      </c>
      <c r="H46" s="247" t="s">
        <v>1335</v>
      </c>
      <c r="I46" s="247" t="s">
        <v>2059</v>
      </c>
      <c r="J46" s="14">
        <v>59</v>
      </c>
      <c r="K46" s="14">
        <v>60</v>
      </c>
      <c r="L46" s="14">
        <v>60</v>
      </c>
      <c r="M46" s="14">
        <v>60</v>
      </c>
      <c r="N46" s="227"/>
      <c r="O46" s="631">
        <v>97</v>
      </c>
      <c r="P46" s="631">
        <v>96</v>
      </c>
      <c r="Q46" s="631">
        <v>95</v>
      </c>
      <c r="R46" s="631">
        <v>96</v>
      </c>
      <c r="S46" s="3">
        <f t="shared" si="0"/>
        <v>384</v>
      </c>
    </row>
    <row r="47" spans="1:19" ht="21">
      <c r="A47" s="335" t="s">
        <v>3102</v>
      </c>
      <c r="B47" s="247" t="s">
        <v>2077</v>
      </c>
      <c r="C47" s="247" t="s">
        <v>2078</v>
      </c>
      <c r="D47" s="247" t="s">
        <v>2079</v>
      </c>
      <c r="E47" s="336" t="s">
        <v>2080</v>
      </c>
      <c r="F47" s="247">
        <v>316178033</v>
      </c>
      <c r="G47" s="247">
        <v>1799</v>
      </c>
      <c r="H47" s="247" t="s">
        <v>1335</v>
      </c>
      <c r="I47" s="247" t="s">
        <v>2059</v>
      </c>
      <c r="J47" s="14">
        <v>48</v>
      </c>
      <c r="K47" s="14">
        <v>51</v>
      </c>
      <c r="L47" s="14">
        <v>57</v>
      </c>
      <c r="M47" s="14">
        <v>58</v>
      </c>
      <c r="N47" s="227"/>
      <c r="O47" s="631">
        <v>65</v>
      </c>
      <c r="P47" s="631">
        <v>75</v>
      </c>
      <c r="Q47" s="631">
        <v>70</v>
      </c>
      <c r="R47" s="631">
        <v>90</v>
      </c>
      <c r="S47" s="3">
        <f t="shared" si="0"/>
        <v>300</v>
      </c>
    </row>
    <row r="48" spans="1:19" ht="21">
      <c r="A48" s="335" t="s">
        <v>3103</v>
      </c>
      <c r="B48" s="247" t="s">
        <v>2081</v>
      </c>
      <c r="C48" s="247" t="s">
        <v>3243</v>
      </c>
      <c r="D48" s="247" t="s">
        <v>360</v>
      </c>
      <c r="E48" s="336" t="s">
        <v>2082</v>
      </c>
      <c r="F48" s="247">
        <v>318082838</v>
      </c>
      <c r="G48" s="247">
        <v>1821</v>
      </c>
      <c r="H48" s="247" t="s">
        <v>1335</v>
      </c>
      <c r="I48" s="247" t="s">
        <v>2059</v>
      </c>
      <c r="J48" s="14">
        <v>35</v>
      </c>
      <c r="K48" s="14">
        <v>39</v>
      </c>
      <c r="L48" s="14">
        <v>40</v>
      </c>
      <c r="M48" s="14">
        <v>37</v>
      </c>
      <c r="N48" s="227"/>
      <c r="O48" s="631">
        <v>65</v>
      </c>
      <c r="P48" s="631">
        <v>70</v>
      </c>
      <c r="Q48" s="631">
        <v>60</v>
      </c>
      <c r="R48" s="631">
        <v>78</v>
      </c>
      <c r="S48" s="3">
        <f t="shared" si="0"/>
        <v>273</v>
      </c>
    </row>
    <row r="49" spans="1:19" ht="21">
      <c r="A49" s="335" t="s">
        <v>3104</v>
      </c>
      <c r="B49" s="247" t="s">
        <v>1075</v>
      </c>
      <c r="C49" s="247" t="s">
        <v>3244</v>
      </c>
      <c r="D49" s="247" t="s">
        <v>1181</v>
      </c>
      <c r="E49" s="248" t="s">
        <v>1076</v>
      </c>
      <c r="F49" s="247">
        <v>318270854</v>
      </c>
      <c r="G49" s="247">
        <v>1505</v>
      </c>
      <c r="H49" s="247" t="s">
        <v>1335</v>
      </c>
      <c r="I49" s="247" t="s">
        <v>2059</v>
      </c>
      <c r="J49" s="14">
        <v>59</v>
      </c>
      <c r="K49" s="14">
        <v>59</v>
      </c>
      <c r="L49" s="14">
        <v>60</v>
      </c>
      <c r="M49" s="14">
        <v>58</v>
      </c>
      <c r="N49" s="227"/>
      <c r="O49" s="631">
        <v>97</v>
      </c>
      <c r="P49" s="631">
        <v>96</v>
      </c>
      <c r="Q49" s="631">
        <v>97</v>
      </c>
      <c r="R49" s="631">
        <v>97</v>
      </c>
      <c r="S49" s="3">
        <f t="shared" si="0"/>
        <v>387</v>
      </c>
    </row>
    <row r="50" spans="1:19" ht="21">
      <c r="A50" s="335" t="s">
        <v>3105</v>
      </c>
      <c r="B50" s="247" t="s">
        <v>2083</v>
      </c>
      <c r="C50" s="247" t="s">
        <v>587</v>
      </c>
      <c r="D50" s="247" t="s">
        <v>588</v>
      </c>
      <c r="E50" s="248" t="s">
        <v>2084</v>
      </c>
      <c r="F50" s="247">
        <v>312159689</v>
      </c>
      <c r="G50" s="247">
        <v>1832</v>
      </c>
      <c r="H50" s="247" t="s">
        <v>1335</v>
      </c>
      <c r="I50" s="247" t="s">
        <v>2059</v>
      </c>
      <c r="J50" s="14">
        <v>60</v>
      </c>
      <c r="K50" s="14">
        <v>60</v>
      </c>
      <c r="L50" s="14">
        <v>58</v>
      </c>
      <c r="M50" s="14">
        <v>59</v>
      </c>
      <c r="N50" s="227"/>
      <c r="O50" s="631">
        <v>80</v>
      </c>
      <c r="P50" s="631">
        <v>85</v>
      </c>
      <c r="Q50" s="631">
        <v>81</v>
      </c>
      <c r="R50" s="631">
        <v>92</v>
      </c>
      <c r="S50" s="3">
        <f t="shared" si="0"/>
        <v>338</v>
      </c>
    </row>
    <row r="51" spans="1:19" ht="21">
      <c r="A51" s="335" t="s">
        <v>3106</v>
      </c>
      <c r="B51" s="247" t="s">
        <v>971</v>
      </c>
      <c r="C51" s="247" t="s">
        <v>972</v>
      </c>
      <c r="D51" s="247" t="s">
        <v>973</v>
      </c>
      <c r="E51" s="248" t="s">
        <v>974</v>
      </c>
      <c r="F51" s="247">
        <v>316394050</v>
      </c>
      <c r="G51" s="247">
        <v>1557</v>
      </c>
      <c r="H51" s="247" t="s">
        <v>1335</v>
      </c>
      <c r="I51" s="247" t="s">
        <v>2059</v>
      </c>
      <c r="J51" s="14">
        <v>53</v>
      </c>
      <c r="K51" s="14">
        <v>58</v>
      </c>
      <c r="L51" s="14">
        <v>60</v>
      </c>
      <c r="M51" s="14">
        <v>57</v>
      </c>
      <c r="N51" s="227"/>
      <c r="O51" s="631">
        <v>77</v>
      </c>
      <c r="P51" s="631">
        <v>76</v>
      </c>
      <c r="Q51" s="631">
        <v>80</v>
      </c>
      <c r="R51" s="631">
        <v>78</v>
      </c>
      <c r="S51" s="3">
        <f t="shared" si="0"/>
        <v>311</v>
      </c>
    </row>
    <row r="52" spans="1:19" ht="21">
      <c r="A52" s="335" t="s">
        <v>3107</v>
      </c>
      <c r="B52" s="247" t="s">
        <v>1030</v>
      </c>
      <c r="C52" s="247" t="s">
        <v>1031</v>
      </c>
      <c r="D52" s="247" t="s">
        <v>1032</v>
      </c>
      <c r="E52" s="248" t="s">
        <v>1033</v>
      </c>
      <c r="F52" s="247">
        <v>313812089</v>
      </c>
      <c r="G52" s="247">
        <v>1628</v>
      </c>
      <c r="H52" s="247" t="s">
        <v>1335</v>
      </c>
      <c r="I52" s="247" t="s">
        <v>2059</v>
      </c>
      <c r="J52" s="14">
        <v>54</v>
      </c>
      <c r="K52" s="14">
        <v>59</v>
      </c>
      <c r="L52" s="14">
        <v>54</v>
      </c>
      <c r="M52" s="14">
        <v>54</v>
      </c>
      <c r="N52" s="227"/>
      <c r="O52" s="631">
        <v>75</v>
      </c>
      <c r="P52" s="631">
        <v>77</v>
      </c>
      <c r="Q52" s="631">
        <v>80</v>
      </c>
      <c r="R52" s="631">
        <v>84</v>
      </c>
      <c r="S52" s="3">
        <f t="shared" si="0"/>
        <v>316</v>
      </c>
    </row>
    <row r="53" spans="1:19" ht="21">
      <c r="A53" s="335" t="s">
        <v>3108</v>
      </c>
      <c r="B53" s="247" t="s">
        <v>1080</v>
      </c>
      <c r="C53" s="247" t="s">
        <v>1081</v>
      </c>
      <c r="D53" s="247" t="s">
        <v>43</v>
      </c>
      <c r="E53" s="248" t="s">
        <v>1082</v>
      </c>
      <c r="F53" s="247">
        <v>313276046</v>
      </c>
      <c r="G53" s="247">
        <v>1507</v>
      </c>
      <c r="H53" s="247" t="s">
        <v>1335</v>
      </c>
      <c r="I53" s="247" t="s">
        <v>2059</v>
      </c>
      <c r="J53" s="14">
        <v>59</v>
      </c>
      <c r="K53" s="14">
        <v>58</v>
      </c>
      <c r="L53" s="14">
        <v>57</v>
      </c>
      <c r="M53" s="14">
        <v>56</v>
      </c>
      <c r="N53" s="227"/>
      <c r="O53" s="631">
        <v>81</v>
      </c>
      <c r="P53" s="631">
        <v>85</v>
      </c>
      <c r="Q53" s="631">
        <v>80</v>
      </c>
      <c r="R53" s="631">
        <v>92</v>
      </c>
      <c r="S53" s="3">
        <f t="shared" si="0"/>
        <v>338</v>
      </c>
    </row>
    <row r="54" spans="1:19" ht="21">
      <c r="A54" s="335" t="s">
        <v>3109</v>
      </c>
      <c r="B54" s="247" t="s">
        <v>2092</v>
      </c>
      <c r="C54" s="247" t="s">
        <v>2093</v>
      </c>
      <c r="D54" s="247" t="s">
        <v>296</v>
      </c>
      <c r="E54" s="248" t="s">
        <v>2094</v>
      </c>
      <c r="F54" s="6">
        <v>323291291</v>
      </c>
      <c r="G54" s="247">
        <v>1735</v>
      </c>
      <c r="H54" s="247" t="s">
        <v>1335</v>
      </c>
      <c r="I54" s="247" t="s">
        <v>2059</v>
      </c>
      <c r="J54" s="14">
        <v>53</v>
      </c>
      <c r="K54" s="14">
        <v>59</v>
      </c>
      <c r="L54" s="14">
        <v>59</v>
      </c>
      <c r="M54" s="14">
        <v>57</v>
      </c>
      <c r="N54" s="227"/>
      <c r="O54" s="631">
        <v>80</v>
      </c>
      <c r="P54" s="631">
        <v>73</v>
      </c>
      <c r="Q54" s="631">
        <v>80</v>
      </c>
      <c r="R54" s="631">
        <v>81</v>
      </c>
      <c r="S54" s="3">
        <f t="shared" si="0"/>
        <v>314</v>
      </c>
    </row>
    <row r="55" spans="1:19" ht="21">
      <c r="A55" s="335" t="s">
        <v>3110</v>
      </c>
      <c r="B55" s="247" t="s">
        <v>1130</v>
      </c>
      <c r="C55" s="247" t="s">
        <v>1131</v>
      </c>
      <c r="D55" s="247" t="s">
        <v>1132</v>
      </c>
      <c r="E55" s="248" t="s">
        <v>1133</v>
      </c>
      <c r="F55" s="247">
        <v>315169107</v>
      </c>
      <c r="G55" s="247">
        <v>1625</v>
      </c>
      <c r="H55" s="247" t="s">
        <v>1335</v>
      </c>
      <c r="I55" s="247" t="s">
        <v>2059</v>
      </c>
      <c r="J55" s="14">
        <v>52</v>
      </c>
      <c r="K55" s="14">
        <v>56</v>
      </c>
      <c r="L55" s="14">
        <v>59</v>
      </c>
      <c r="M55" s="14">
        <v>55</v>
      </c>
      <c r="N55" s="227"/>
      <c r="O55" s="631">
        <v>81</v>
      </c>
      <c r="P55" s="631">
        <v>82</v>
      </c>
      <c r="Q55" s="631">
        <v>84</v>
      </c>
      <c r="R55" s="631">
        <v>80</v>
      </c>
      <c r="S55" s="3">
        <f t="shared" si="0"/>
        <v>327</v>
      </c>
    </row>
    <row r="56" spans="1:19" ht="21">
      <c r="A56" s="335" t="s">
        <v>3111</v>
      </c>
      <c r="B56" s="247" t="s">
        <v>959</v>
      </c>
      <c r="C56" s="247" t="s">
        <v>960</v>
      </c>
      <c r="D56" s="247" t="s">
        <v>3352</v>
      </c>
      <c r="E56" s="248" t="s">
        <v>961</v>
      </c>
      <c r="F56" s="247">
        <v>312682525</v>
      </c>
      <c r="G56" s="247">
        <v>1533</v>
      </c>
      <c r="H56" s="247" t="s">
        <v>1335</v>
      </c>
      <c r="I56" s="247" t="s">
        <v>2059</v>
      </c>
      <c r="J56" s="14">
        <v>58</v>
      </c>
      <c r="K56" s="14">
        <v>60</v>
      </c>
      <c r="L56" s="14">
        <v>57</v>
      </c>
      <c r="M56" s="14">
        <v>59</v>
      </c>
      <c r="N56" s="227"/>
      <c r="O56" s="631">
        <v>75</v>
      </c>
      <c r="P56" s="631">
        <v>76</v>
      </c>
      <c r="Q56" s="631">
        <v>75</v>
      </c>
      <c r="R56" s="631">
        <v>93</v>
      </c>
      <c r="S56" s="3">
        <f t="shared" si="0"/>
        <v>319</v>
      </c>
    </row>
    <row r="57" spans="1:19" ht="21">
      <c r="A57" s="335" t="s">
        <v>3112</v>
      </c>
      <c r="B57" s="247" t="s">
        <v>1043</v>
      </c>
      <c r="C57" s="247" t="s">
        <v>718</v>
      </c>
      <c r="D57" s="247" t="s">
        <v>719</v>
      </c>
      <c r="E57" s="248" t="s">
        <v>1044</v>
      </c>
      <c r="F57" s="249">
        <v>317100105</v>
      </c>
      <c r="G57" s="247">
        <v>1658</v>
      </c>
      <c r="H57" s="247" t="s">
        <v>1335</v>
      </c>
      <c r="I57" s="247" t="s">
        <v>2059</v>
      </c>
      <c r="J57" s="14">
        <v>54</v>
      </c>
      <c r="K57" s="14">
        <v>58</v>
      </c>
      <c r="L57" s="14">
        <v>59</v>
      </c>
      <c r="M57" s="14">
        <v>57</v>
      </c>
      <c r="N57" s="227"/>
      <c r="O57" s="631">
        <v>75</v>
      </c>
      <c r="P57" s="631">
        <v>78</v>
      </c>
      <c r="Q57" s="631">
        <v>74</v>
      </c>
      <c r="R57" s="631">
        <v>92</v>
      </c>
      <c r="S57" s="3">
        <f t="shared" si="0"/>
        <v>319</v>
      </c>
    </row>
    <row r="58" spans="1:19" ht="21">
      <c r="A58" s="335" t="s">
        <v>3113</v>
      </c>
      <c r="B58" s="247" t="s">
        <v>999</v>
      </c>
      <c r="C58" s="247" t="s">
        <v>1000</v>
      </c>
      <c r="D58" s="247" t="s">
        <v>3353</v>
      </c>
      <c r="E58" s="248" t="s">
        <v>1001</v>
      </c>
      <c r="F58" s="247">
        <v>3116364066</v>
      </c>
      <c r="G58" s="247">
        <v>1583</v>
      </c>
      <c r="H58" s="247" t="s">
        <v>1335</v>
      </c>
      <c r="I58" s="247" t="s">
        <v>2059</v>
      </c>
      <c r="J58" s="14">
        <v>58</v>
      </c>
      <c r="K58" s="14">
        <v>60</v>
      </c>
      <c r="L58" s="14">
        <v>55</v>
      </c>
      <c r="M58" s="14">
        <v>56</v>
      </c>
      <c r="N58" s="227"/>
      <c r="O58" s="631">
        <v>79</v>
      </c>
      <c r="P58" s="631">
        <v>77</v>
      </c>
      <c r="Q58" s="631">
        <v>78</v>
      </c>
      <c r="R58" s="631">
        <v>82</v>
      </c>
      <c r="S58" s="3">
        <f t="shared" si="0"/>
        <v>316</v>
      </c>
    </row>
    <row r="59" spans="1:19" ht="21">
      <c r="A59" s="335" t="s">
        <v>3114</v>
      </c>
      <c r="B59" s="247" t="s">
        <v>2095</v>
      </c>
      <c r="C59" s="247" t="s">
        <v>2096</v>
      </c>
      <c r="D59" s="247" t="s">
        <v>2098</v>
      </c>
      <c r="E59" s="248" t="s">
        <v>2097</v>
      </c>
      <c r="F59" s="247">
        <v>313293566</v>
      </c>
      <c r="G59" s="247">
        <v>1753</v>
      </c>
      <c r="H59" s="247" t="s">
        <v>1335</v>
      </c>
      <c r="I59" s="247" t="s">
        <v>2059</v>
      </c>
      <c r="J59" s="14">
        <v>55</v>
      </c>
      <c r="K59" s="14">
        <v>57</v>
      </c>
      <c r="L59" s="14">
        <v>59</v>
      </c>
      <c r="M59" s="14">
        <v>59</v>
      </c>
      <c r="N59" s="227"/>
      <c r="O59" s="631">
        <v>80</v>
      </c>
      <c r="P59" s="631">
        <v>77</v>
      </c>
      <c r="Q59" s="631">
        <v>80</v>
      </c>
      <c r="R59" s="631">
        <v>86</v>
      </c>
      <c r="S59" s="3">
        <f t="shared" si="0"/>
        <v>323</v>
      </c>
    </row>
    <row r="60" spans="1:19" ht="21">
      <c r="A60" s="335" t="s">
        <v>3115</v>
      </c>
      <c r="B60" s="247" t="s">
        <v>2099</v>
      </c>
      <c r="C60" s="247" t="s">
        <v>2100</v>
      </c>
      <c r="D60" s="247" t="s">
        <v>2101</v>
      </c>
      <c r="E60" s="248" t="s">
        <v>2102</v>
      </c>
      <c r="F60" s="247">
        <v>317810754</v>
      </c>
      <c r="G60" s="247">
        <v>1772</v>
      </c>
      <c r="H60" s="247" t="s">
        <v>1335</v>
      </c>
      <c r="I60" s="247" t="s">
        <v>2059</v>
      </c>
      <c r="J60" s="14">
        <v>58</v>
      </c>
      <c r="K60" s="14">
        <v>60</v>
      </c>
      <c r="L60" s="14">
        <v>60</v>
      </c>
      <c r="M60" s="14">
        <v>57</v>
      </c>
      <c r="N60" s="227"/>
      <c r="O60" s="631">
        <v>71</v>
      </c>
      <c r="P60" s="631">
        <v>73</v>
      </c>
      <c r="Q60" s="631">
        <v>82</v>
      </c>
      <c r="R60" s="631">
        <v>92</v>
      </c>
      <c r="S60" s="3">
        <f t="shared" si="0"/>
        <v>318</v>
      </c>
    </row>
    <row r="61" spans="1:19" ht="21">
      <c r="A61" s="335" t="s">
        <v>3116</v>
      </c>
      <c r="B61" s="247" t="s">
        <v>2171</v>
      </c>
      <c r="C61" s="247" t="s">
        <v>2172</v>
      </c>
      <c r="D61" s="247" t="s">
        <v>2173</v>
      </c>
      <c r="E61" s="248" t="s">
        <v>974</v>
      </c>
      <c r="F61" s="247">
        <v>314340781</v>
      </c>
      <c r="G61" s="247">
        <v>1835</v>
      </c>
      <c r="H61" s="247" t="s">
        <v>1335</v>
      </c>
      <c r="I61" s="247" t="s">
        <v>2059</v>
      </c>
      <c r="J61" s="14">
        <v>59</v>
      </c>
      <c r="K61" s="14">
        <v>60</v>
      </c>
      <c r="L61" s="14">
        <v>60</v>
      </c>
      <c r="M61" s="14">
        <v>54</v>
      </c>
      <c r="N61" s="227"/>
      <c r="O61" s="631">
        <v>80</v>
      </c>
      <c r="P61" s="631">
        <v>81</v>
      </c>
      <c r="Q61" s="631">
        <v>76</v>
      </c>
      <c r="R61" s="631">
        <v>90</v>
      </c>
      <c r="S61" s="3">
        <f t="shared" si="0"/>
        <v>327</v>
      </c>
    </row>
    <row r="62" spans="1:19" ht="21">
      <c r="A62" s="335" t="s">
        <v>3117</v>
      </c>
      <c r="B62" s="251" t="s">
        <v>1370</v>
      </c>
      <c r="C62" s="251" t="s">
        <v>1371</v>
      </c>
      <c r="D62" s="251" t="s">
        <v>3354</v>
      </c>
      <c r="E62" s="252" t="s">
        <v>1373</v>
      </c>
      <c r="F62" s="251">
        <v>313812073</v>
      </c>
      <c r="G62" s="251">
        <v>1798</v>
      </c>
      <c r="H62" s="247" t="s">
        <v>1335</v>
      </c>
      <c r="I62" s="247" t="s">
        <v>2059</v>
      </c>
      <c r="J62" s="14">
        <v>60</v>
      </c>
      <c r="K62" s="14">
        <v>60</v>
      </c>
      <c r="L62" s="14">
        <v>60</v>
      </c>
      <c r="M62" s="14">
        <v>59</v>
      </c>
      <c r="N62" s="227"/>
      <c r="O62" s="631">
        <v>98</v>
      </c>
      <c r="P62" s="631">
        <v>99</v>
      </c>
      <c r="Q62" s="631">
        <v>98</v>
      </c>
      <c r="R62" s="631">
        <v>98</v>
      </c>
      <c r="S62" s="3">
        <f t="shared" si="0"/>
        <v>393</v>
      </c>
    </row>
    <row r="63" spans="1:19" ht="21">
      <c r="A63" s="335" t="s">
        <v>3118</v>
      </c>
      <c r="B63" s="247" t="s">
        <v>2103</v>
      </c>
      <c r="C63" s="247" t="s">
        <v>2104</v>
      </c>
      <c r="D63" s="247" t="s">
        <v>2105</v>
      </c>
      <c r="E63" s="248" t="s">
        <v>2106</v>
      </c>
      <c r="F63" s="247">
        <v>318350633</v>
      </c>
      <c r="G63" s="247">
        <v>1748</v>
      </c>
      <c r="H63" s="247" t="s">
        <v>1335</v>
      </c>
      <c r="I63" s="247" t="s">
        <v>2059</v>
      </c>
      <c r="J63" s="14">
        <v>45</v>
      </c>
      <c r="K63" s="14">
        <v>50</v>
      </c>
      <c r="L63" s="14">
        <v>56</v>
      </c>
      <c r="M63" s="14">
        <v>40</v>
      </c>
      <c r="N63" s="227"/>
      <c r="O63" s="631">
        <v>70</v>
      </c>
      <c r="P63" s="631">
        <v>71</v>
      </c>
      <c r="Q63" s="631">
        <v>70</v>
      </c>
      <c r="R63" s="631">
        <v>89</v>
      </c>
      <c r="S63" s="3">
        <f t="shared" si="0"/>
        <v>300</v>
      </c>
    </row>
    <row r="64" spans="1:19" ht="21">
      <c r="A64" s="335" t="s">
        <v>3119</v>
      </c>
      <c r="B64" s="247" t="s">
        <v>1093</v>
      </c>
      <c r="C64" s="247" t="s">
        <v>826</v>
      </c>
      <c r="D64" s="247" t="s">
        <v>827</v>
      </c>
      <c r="E64" s="248" t="s">
        <v>1094</v>
      </c>
      <c r="F64" s="247">
        <v>311248212</v>
      </c>
      <c r="G64" s="247">
        <v>1515</v>
      </c>
      <c r="H64" s="247" t="s">
        <v>1335</v>
      </c>
      <c r="I64" s="247" t="s">
        <v>2059</v>
      </c>
      <c r="J64" s="14">
        <v>59</v>
      </c>
      <c r="K64" s="14">
        <v>58</v>
      </c>
      <c r="L64" s="14">
        <v>59</v>
      </c>
      <c r="M64" s="14">
        <v>55</v>
      </c>
      <c r="N64" s="227"/>
      <c r="O64" s="631">
        <v>83</v>
      </c>
      <c r="P64" s="631">
        <v>82</v>
      </c>
      <c r="Q64" s="631">
        <v>82</v>
      </c>
      <c r="R64" s="631">
        <v>81</v>
      </c>
      <c r="S64" s="3">
        <f t="shared" si="0"/>
        <v>328</v>
      </c>
    </row>
    <row r="65" spans="1:19" ht="21">
      <c r="A65" s="335" t="s">
        <v>3120</v>
      </c>
      <c r="B65" s="247" t="s">
        <v>1077</v>
      </c>
      <c r="C65" s="247" t="s">
        <v>1078</v>
      </c>
      <c r="D65" s="247" t="s">
        <v>3355</v>
      </c>
      <c r="E65" s="248" t="s">
        <v>1079</v>
      </c>
      <c r="F65" s="247">
        <v>313276033</v>
      </c>
      <c r="G65" s="247">
        <v>1506</v>
      </c>
      <c r="H65" s="247" t="s">
        <v>1335</v>
      </c>
      <c r="I65" s="247" t="s">
        <v>2059</v>
      </c>
      <c r="J65" s="14">
        <v>60</v>
      </c>
      <c r="K65" s="14">
        <v>60</v>
      </c>
      <c r="L65" s="14">
        <v>59</v>
      </c>
      <c r="M65" s="14">
        <v>59</v>
      </c>
      <c r="N65" s="227"/>
      <c r="O65" s="631">
        <v>70</v>
      </c>
      <c r="P65" s="631">
        <v>76</v>
      </c>
      <c r="Q65" s="631">
        <v>78</v>
      </c>
      <c r="R65" s="631">
        <v>79</v>
      </c>
      <c r="S65" s="3">
        <f t="shared" si="0"/>
        <v>303</v>
      </c>
    </row>
    <row r="66" spans="1:19" ht="21">
      <c r="A66" s="335" t="s">
        <v>3121</v>
      </c>
      <c r="B66" s="247" t="s">
        <v>2107</v>
      </c>
      <c r="C66" s="247" t="s">
        <v>3356</v>
      </c>
      <c r="D66" s="247" t="s">
        <v>2108</v>
      </c>
      <c r="E66" s="248" t="s">
        <v>2102</v>
      </c>
      <c r="F66" s="247">
        <v>313163237</v>
      </c>
      <c r="G66" s="247">
        <v>1806</v>
      </c>
      <c r="H66" s="247" t="s">
        <v>1335</v>
      </c>
      <c r="I66" s="247" t="s">
        <v>2059</v>
      </c>
      <c r="J66" s="14">
        <v>54</v>
      </c>
      <c r="K66" s="14">
        <v>59</v>
      </c>
      <c r="L66" s="14">
        <v>57</v>
      </c>
      <c r="M66" s="14">
        <v>59</v>
      </c>
      <c r="N66" s="227"/>
      <c r="O66" s="631">
        <v>70</v>
      </c>
      <c r="P66" s="631">
        <v>71</v>
      </c>
      <c r="Q66" s="631">
        <v>65</v>
      </c>
      <c r="R66" s="631">
        <v>73</v>
      </c>
      <c r="S66" s="3">
        <f t="shared" si="0"/>
        <v>279</v>
      </c>
    </row>
    <row r="67" spans="1:19" ht="21">
      <c r="A67" s="335" t="s">
        <v>3122</v>
      </c>
      <c r="B67" s="247" t="s">
        <v>2109</v>
      </c>
      <c r="C67" s="247" t="s">
        <v>3357</v>
      </c>
      <c r="D67" s="247" t="s">
        <v>2110</v>
      </c>
      <c r="E67" s="248" t="s">
        <v>2111</v>
      </c>
      <c r="F67" s="247">
        <v>314574831</v>
      </c>
      <c r="G67" s="247">
        <v>1687</v>
      </c>
      <c r="H67" s="247" t="s">
        <v>1335</v>
      </c>
      <c r="I67" s="247" t="s">
        <v>2059</v>
      </c>
      <c r="J67" s="14">
        <v>54</v>
      </c>
      <c r="K67" s="14">
        <v>60</v>
      </c>
      <c r="L67" s="14">
        <v>48</v>
      </c>
      <c r="M67" s="14">
        <v>56</v>
      </c>
      <c r="N67" s="227"/>
      <c r="O67" s="631">
        <v>87</v>
      </c>
      <c r="P67" s="631">
        <v>73</v>
      </c>
      <c r="Q67" s="631">
        <v>90</v>
      </c>
      <c r="R67" s="631">
        <v>72</v>
      </c>
      <c r="S67" s="3">
        <f t="shared" si="0"/>
        <v>322</v>
      </c>
    </row>
    <row r="68" spans="1:19" ht="21">
      <c r="A68" s="335" t="s">
        <v>3123</v>
      </c>
      <c r="B68" s="247" t="s">
        <v>2869</v>
      </c>
      <c r="C68" s="247" t="s">
        <v>2870</v>
      </c>
      <c r="D68" s="247" t="s">
        <v>2871</v>
      </c>
      <c r="E68" s="248" t="s">
        <v>2872</v>
      </c>
      <c r="F68" s="247">
        <v>310615100</v>
      </c>
      <c r="G68" s="247">
        <v>1817</v>
      </c>
      <c r="H68" s="247" t="s">
        <v>1335</v>
      </c>
      <c r="I68" s="247" t="s">
        <v>2059</v>
      </c>
      <c r="J68" s="14">
        <v>55</v>
      </c>
      <c r="K68" s="14">
        <v>57</v>
      </c>
      <c r="L68" s="14">
        <v>54</v>
      </c>
      <c r="M68" s="14">
        <v>57</v>
      </c>
      <c r="N68" s="227"/>
      <c r="O68" s="631">
        <v>76</v>
      </c>
      <c r="P68" s="631">
        <v>81</v>
      </c>
      <c r="Q68" s="631">
        <v>83</v>
      </c>
      <c r="R68" s="631">
        <v>82</v>
      </c>
      <c r="S68" s="3">
        <f t="shared" ref="S68:S98" si="1">O68+P68+Q68+R68</f>
        <v>322</v>
      </c>
    </row>
    <row r="69" spans="1:19" ht="21">
      <c r="A69" s="335" t="s">
        <v>3124</v>
      </c>
      <c r="B69" s="247" t="s">
        <v>2112</v>
      </c>
      <c r="C69" s="247" t="s">
        <v>2113</v>
      </c>
      <c r="D69" s="247" t="s">
        <v>2114</v>
      </c>
      <c r="E69" s="248" t="s">
        <v>1691</v>
      </c>
      <c r="F69" s="247">
        <v>314136818</v>
      </c>
      <c r="G69" s="247">
        <v>1728</v>
      </c>
      <c r="H69" s="247" t="s">
        <v>1335</v>
      </c>
      <c r="I69" s="247" t="s">
        <v>2059</v>
      </c>
      <c r="J69" s="14">
        <v>49</v>
      </c>
      <c r="K69" s="14">
        <v>53</v>
      </c>
      <c r="L69" s="14">
        <v>55</v>
      </c>
      <c r="M69" s="14">
        <v>58</v>
      </c>
      <c r="N69" s="227"/>
      <c r="O69" s="631">
        <v>70</v>
      </c>
      <c r="P69" s="631">
        <v>72</v>
      </c>
      <c r="Q69" s="631">
        <v>73</v>
      </c>
      <c r="R69" s="631">
        <v>80</v>
      </c>
      <c r="S69" s="3">
        <f t="shared" si="1"/>
        <v>295</v>
      </c>
    </row>
    <row r="70" spans="1:19" ht="21">
      <c r="A70" s="335" t="s">
        <v>3125</v>
      </c>
      <c r="B70" s="247" t="s">
        <v>2115</v>
      </c>
      <c r="C70" s="247" t="s">
        <v>2116</v>
      </c>
      <c r="D70" s="247" t="s">
        <v>3358</v>
      </c>
      <c r="E70" s="248" t="s">
        <v>2076</v>
      </c>
      <c r="F70" s="247">
        <v>313982223</v>
      </c>
      <c r="G70" s="247">
        <v>1743</v>
      </c>
      <c r="H70" s="247" t="s">
        <v>1335</v>
      </c>
      <c r="I70" s="247" t="s">
        <v>2059</v>
      </c>
      <c r="J70" s="14">
        <v>55</v>
      </c>
      <c r="K70" s="14">
        <v>54</v>
      </c>
      <c r="L70" s="14">
        <v>55</v>
      </c>
      <c r="M70" s="14">
        <v>56</v>
      </c>
      <c r="N70" s="227"/>
      <c r="O70" s="631">
        <v>70</v>
      </c>
      <c r="P70" s="631">
        <v>71</v>
      </c>
      <c r="Q70" s="631">
        <v>70</v>
      </c>
      <c r="R70" s="631">
        <v>90</v>
      </c>
      <c r="S70" s="3">
        <f t="shared" si="1"/>
        <v>301</v>
      </c>
    </row>
    <row r="71" spans="1:19" ht="21">
      <c r="A71" s="335" t="s">
        <v>3126</v>
      </c>
      <c r="B71" s="247" t="s">
        <v>2118</v>
      </c>
      <c r="C71" s="247" t="s">
        <v>2117</v>
      </c>
      <c r="D71" s="247" t="s">
        <v>1570</v>
      </c>
      <c r="E71" s="248" t="s">
        <v>1113</v>
      </c>
      <c r="F71" s="247">
        <v>320600908</v>
      </c>
      <c r="G71" s="247">
        <v>1795</v>
      </c>
      <c r="H71" s="247" t="s">
        <v>1335</v>
      </c>
      <c r="I71" s="247" t="s">
        <v>2059</v>
      </c>
      <c r="J71" s="817"/>
      <c r="K71" s="817"/>
      <c r="L71" s="817"/>
      <c r="M71" s="817"/>
      <c r="N71" s="227"/>
      <c r="O71" s="816"/>
      <c r="P71" s="816"/>
      <c r="Q71" s="816"/>
      <c r="R71" s="816"/>
      <c r="S71" s="3">
        <f t="shared" si="1"/>
        <v>0</v>
      </c>
    </row>
    <row r="72" spans="1:19" ht="21">
      <c r="A72" s="335" t="s">
        <v>3127</v>
      </c>
      <c r="B72" s="247" t="s">
        <v>2119</v>
      </c>
      <c r="C72" s="247" t="s">
        <v>2120</v>
      </c>
      <c r="D72" s="247" t="s">
        <v>2121</v>
      </c>
      <c r="E72" s="248" t="s">
        <v>2122</v>
      </c>
      <c r="F72" s="247">
        <v>312159698</v>
      </c>
      <c r="G72" s="247">
        <v>1809</v>
      </c>
      <c r="H72" s="247" t="s">
        <v>1335</v>
      </c>
      <c r="I72" s="247" t="s">
        <v>2059</v>
      </c>
      <c r="J72" s="14">
        <v>58</v>
      </c>
      <c r="K72" s="14">
        <v>59</v>
      </c>
      <c r="L72" s="14">
        <v>50</v>
      </c>
      <c r="M72" s="14">
        <v>60</v>
      </c>
      <c r="N72" s="227"/>
      <c r="O72" s="631">
        <v>76</v>
      </c>
      <c r="P72" s="631">
        <v>65</v>
      </c>
      <c r="Q72" s="631">
        <v>81</v>
      </c>
      <c r="R72" s="631">
        <v>90</v>
      </c>
      <c r="S72" s="3">
        <f t="shared" si="1"/>
        <v>312</v>
      </c>
    </row>
    <row r="73" spans="1:19" ht="21">
      <c r="A73" s="335" t="s">
        <v>3128</v>
      </c>
      <c r="B73" s="247" t="s">
        <v>2123</v>
      </c>
      <c r="C73" s="247" t="s">
        <v>2124</v>
      </c>
      <c r="D73" s="247" t="s">
        <v>3057</v>
      </c>
      <c r="E73" s="248" t="s">
        <v>2080</v>
      </c>
      <c r="F73" s="247">
        <v>314811568</v>
      </c>
      <c r="G73" s="247">
        <v>1761</v>
      </c>
      <c r="H73" s="247" t="s">
        <v>1335</v>
      </c>
      <c r="I73" s="247" t="s">
        <v>2059</v>
      </c>
      <c r="J73" s="14">
        <v>59</v>
      </c>
      <c r="K73" s="14">
        <v>60</v>
      </c>
      <c r="L73" s="14">
        <v>60</v>
      </c>
      <c r="M73" s="14">
        <v>59</v>
      </c>
      <c r="N73" s="227"/>
      <c r="O73" s="631">
        <v>88</v>
      </c>
      <c r="P73" s="631">
        <v>85</v>
      </c>
      <c r="Q73" s="631">
        <v>87</v>
      </c>
      <c r="R73" s="631">
        <v>89</v>
      </c>
      <c r="S73" s="3">
        <f t="shared" si="1"/>
        <v>349</v>
      </c>
    </row>
    <row r="74" spans="1:19" ht="21">
      <c r="A74" s="335" t="s">
        <v>3129</v>
      </c>
      <c r="B74" s="247" t="s">
        <v>2125</v>
      </c>
      <c r="C74" s="247" t="s">
        <v>2169</v>
      </c>
      <c r="D74" s="247" t="s">
        <v>2126</v>
      </c>
      <c r="E74" s="248" t="s">
        <v>2127</v>
      </c>
      <c r="F74" s="247">
        <v>319840312</v>
      </c>
      <c r="G74" s="247">
        <v>1713</v>
      </c>
      <c r="H74" s="247" t="s">
        <v>1335</v>
      </c>
      <c r="I74" s="247" t="s">
        <v>2059</v>
      </c>
      <c r="J74" s="14">
        <v>60</v>
      </c>
      <c r="K74" s="14">
        <v>59</v>
      </c>
      <c r="L74" s="14">
        <v>60</v>
      </c>
      <c r="M74" s="14">
        <v>60</v>
      </c>
      <c r="N74" s="227"/>
      <c r="O74" s="631">
        <v>70</v>
      </c>
      <c r="P74" s="631">
        <v>77</v>
      </c>
      <c r="Q74" s="631">
        <v>85</v>
      </c>
      <c r="R74" s="631">
        <v>85</v>
      </c>
      <c r="S74" s="3">
        <f t="shared" si="1"/>
        <v>317</v>
      </c>
    </row>
    <row r="75" spans="1:19" ht="21">
      <c r="A75" s="335" t="s">
        <v>3130</v>
      </c>
      <c r="B75" s="247" t="s">
        <v>1095</v>
      </c>
      <c r="C75" s="247" t="s">
        <v>601</v>
      </c>
      <c r="D75" s="247" t="s">
        <v>1096</v>
      </c>
      <c r="E75" s="248" t="s">
        <v>1097</v>
      </c>
      <c r="F75" s="247">
        <v>317811102</v>
      </c>
      <c r="G75" s="247">
        <v>1518</v>
      </c>
      <c r="H75" s="247" t="s">
        <v>1335</v>
      </c>
      <c r="I75" s="247" t="s">
        <v>2059</v>
      </c>
      <c r="J75" s="14">
        <v>49</v>
      </c>
      <c r="K75" s="14">
        <v>55</v>
      </c>
      <c r="L75" s="14">
        <v>57</v>
      </c>
      <c r="M75" s="14">
        <v>55</v>
      </c>
      <c r="N75" s="227"/>
      <c r="O75" s="631">
        <v>70</v>
      </c>
      <c r="P75" s="631">
        <v>70</v>
      </c>
      <c r="Q75" s="631">
        <v>76</v>
      </c>
      <c r="R75" s="631">
        <v>83</v>
      </c>
      <c r="S75" s="3">
        <f t="shared" si="1"/>
        <v>299</v>
      </c>
    </row>
    <row r="76" spans="1:19" ht="21">
      <c r="A76" s="335" t="s">
        <v>3131</v>
      </c>
      <c r="B76" s="247" t="s">
        <v>2128</v>
      </c>
      <c r="C76" s="247" t="s">
        <v>2129</v>
      </c>
      <c r="D76" s="247" t="s">
        <v>2130</v>
      </c>
      <c r="E76" s="248" t="s">
        <v>2131</v>
      </c>
      <c r="F76" s="247">
        <v>311106437</v>
      </c>
      <c r="G76" s="247">
        <v>1794</v>
      </c>
      <c r="H76" s="247" t="s">
        <v>1335</v>
      </c>
      <c r="I76" s="247" t="s">
        <v>2059</v>
      </c>
      <c r="J76" s="14">
        <v>55</v>
      </c>
      <c r="K76" s="14">
        <v>59</v>
      </c>
      <c r="L76" s="14">
        <v>58</v>
      </c>
      <c r="M76" s="14">
        <v>58</v>
      </c>
      <c r="N76" s="227"/>
      <c r="O76" s="631">
        <v>73</v>
      </c>
      <c r="P76" s="631">
        <v>72</v>
      </c>
      <c r="Q76" s="631">
        <v>76</v>
      </c>
      <c r="R76" s="631">
        <v>92</v>
      </c>
      <c r="S76" s="3">
        <f t="shared" si="1"/>
        <v>313</v>
      </c>
    </row>
    <row r="77" spans="1:19" ht="21">
      <c r="A77" s="335" t="s">
        <v>3132</v>
      </c>
      <c r="B77" s="247" t="s">
        <v>2132</v>
      </c>
      <c r="C77" s="247" t="s">
        <v>2133</v>
      </c>
      <c r="D77" s="247" t="s">
        <v>2134</v>
      </c>
      <c r="E77" s="248" t="s">
        <v>2135</v>
      </c>
      <c r="F77" s="247">
        <v>312530293</v>
      </c>
      <c r="G77" s="247">
        <v>1793</v>
      </c>
      <c r="H77" s="247" t="s">
        <v>1335</v>
      </c>
      <c r="I77" s="247" t="s">
        <v>2059</v>
      </c>
      <c r="J77" s="14">
        <v>43</v>
      </c>
      <c r="K77" s="14">
        <v>53</v>
      </c>
      <c r="L77" s="14">
        <v>46</v>
      </c>
      <c r="M77" s="14">
        <v>33</v>
      </c>
      <c r="N77" s="227"/>
      <c r="O77" s="631">
        <v>60</v>
      </c>
      <c r="P77" s="631">
        <v>50</v>
      </c>
      <c r="Q77" s="631">
        <v>69</v>
      </c>
      <c r="R77" s="631">
        <v>79</v>
      </c>
      <c r="S77" s="3">
        <f t="shared" si="1"/>
        <v>258</v>
      </c>
    </row>
    <row r="78" spans="1:19" ht="21">
      <c r="A78" s="335" t="s">
        <v>3133</v>
      </c>
      <c r="B78" s="247" t="s">
        <v>1689</v>
      </c>
      <c r="C78" s="247" t="s">
        <v>463</v>
      </c>
      <c r="D78" s="247" t="s">
        <v>1690</v>
      </c>
      <c r="E78" s="248" t="s">
        <v>1691</v>
      </c>
      <c r="F78" s="247">
        <v>313563814</v>
      </c>
      <c r="G78" s="247">
        <v>1543</v>
      </c>
      <c r="H78" s="247" t="s">
        <v>1335</v>
      </c>
      <c r="I78" s="247" t="s">
        <v>2059</v>
      </c>
      <c r="J78" s="14">
        <v>57</v>
      </c>
      <c r="K78" s="14">
        <v>59</v>
      </c>
      <c r="L78" s="14">
        <v>54</v>
      </c>
      <c r="M78" s="14">
        <v>59</v>
      </c>
      <c r="N78" s="227"/>
      <c r="O78" s="631">
        <v>75</v>
      </c>
      <c r="P78" s="631">
        <v>84</v>
      </c>
      <c r="Q78" s="631">
        <v>86</v>
      </c>
      <c r="R78" s="631">
        <v>83</v>
      </c>
      <c r="S78" s="3">
        <f t="shared" si="1"/>
        <v>328</v>
      </c>
    </row>
    <row r="79" spans="1:19" ht="21">
      <c r="A79" s="335" t="s">
        <v>3134</v>
      </c>
      <c r="B79" s="247" t="s">
        <v>997</v>
      </c>
      <c r="C79" s="247" t="s">
        <v>308</v>
      </c>
      <c r="D79" s="247" t="s">
        <v>309</v>
      </c>
      <c r="E79" s="248" t="s">
        <v>998</v>
      </c>
      <c r="F79" s="247">
        <v>314980639</v>
      </c>
      <c r="G79" s="247">
        <v>1579</v>
      </c>
      <c r="H79" s="247" t="s">
        <v>1335</v>
      </c>
      <c r="I79" s="247" t="s">
        <v>2059</v>
      </c>
      <c r="J79" s="14">
        <v>56</v>
      </c>
      <c r="K79" s="14">
        <v>56</v>
      </c>
      <c r="L79" s="14">
        <v>55</v>
      </c>
      <c r="M79" s="14">
        <v>40</v>
      </c>
      <c r="N79" s="227"/>
      <c r="O79" s="631">
        <v>69</v>
      </c>
      <c r="P79" s="631">
        <v>55</v>
      </c>
      <c r="Q79" s="631">
        <v>80</v>
      </c>
      <c r="R79" s="631">
        <v>82</v>
      </c>
      <c r="S79" s="3">
        <f t="shared" si="1"/>
        <v>286</v>
      </c>
    </row>
    <row r="80" spans="1:19" ht="21">
      <c r="A80" s="335" t="s">
        <v>3135</v>
      </c>
      <c r="B80" s="247" t="s">
        <v>1071</v>
      </c>
      <c r="C80" s="247" t="s">
        <v>1072</v>
      </c>
      <c r="D80" s="247" t="s">
        <v>1073</v>
      </c>
      <c r="E80" s="248" t="s">
        <v>1074</v>
      </c>
      <c r="F80" s="247">
        <v>315895748</v>
      </c>
      <c r="G80" s="247">
        <v>1500</v>
      </c>
      <c r="H80" s="247" t="s">
        <v>1335</v>
      </c>
      <c r="I80" s="247" t="s">
        <v>2059</v>
      </c>
      <c r="J80" s="14">
        <v>59</v>
      </c>
      <c r="K80" s="14">
        <v>59</v>
      </c>
      <c r="L80" s="14">
        <v>53</v>
      </c>
      <c r="M80" s="14">
        <v>55</v>
      </c>
      <c r="N80" s="227"/>
      <c r="O80" s="631">
        <v>70</v>
      </c>
      <c r="P80" s="631">
        <v>72</v>
      </c>
      <c r="Q80" s="631">
        <v>85</v>
      </c>
      <c r="R80" s="631">
        <v>70</v>
      </c>
      <c r="S80" s="3">
        <f t="shared" si="1"/>
        <v>297</v>
      </c>
    </row>
    <row r="81" spans="1:19" ht="21">
      <c r="A81" s="335" t="s">
        <v>3136</v>
      </c>
      <c r="B81" s="247" t="s">
        <v>2136</v>
      </c>
      <c r="C81" s="247" t="s">
        <v>785</v>
      </c>
      <c r="D81" s="247" t="s">
        <v>2137</v>
      </c>
      <c r="E81" s="248" t="s">
        <v>3359</v>
      </c>
      <c r="F81" s="247">
        <v>317565585</v>
      </c>
      <c r="G81" s="247">
        <v>1792</v>
      </c>
      <c r="H81" s="247" t="s">
        <v>1335</v>
      </c>
      <c r="I81" s="247" t="s">
        <v>2059</v>
      </c>
      <c r="J81" s="14">
        <v>58</v>
      </c>
      <c r="K81" s="14">
        <v>60</v>
      </c>
      <c r="L81" s="14">
        <v>56</v>
      </c>
      <c r="M81" s="14">
        <v>50</v>
      </c>
      <c r="N81" s="227"/>
      <c r="O81" s="631">
        <v>75</v>
      </c>
      <c r="P81" s="631">
        <v>81</v>
      </c>
      <c r="Q81" s="631">
        <v>90</v>
      </c>
      <c r="R81" s="631">
        <v>95</v>
      </c>
      <c r="S81" s="3">
        <f t="shared" si="1"/>
        <v>341</v>
      </c>
    </row>
    <row r="82" spans="1:19" ht="21">
      <c r="A82" s="335" t="s">
        <v>3137</v>
      </c>
      <c r="B82" s="247" t="s">
        <v>2138</v>
      </c>
      <c r="C82" s="247" t="s">
        <v>3363</v>
      </c>
      <c r="D82" s="247" t="s">
        <v>2140</v>
      </c>
      <c r="E82" s="248" t="s">
        <v>1109</v>
      </c>
      <c r="F82" s="247">
        <v>317565578</v>
      </c>
      <c r="G82" s="247">
        <v>1811</v>
      </c>
      <c r="H82" s="247" t="s">
        <v>1335</v>
      </c>
      <c r="I82" s="247" t="s">
        <v>2059</v>
      </c>
      <c r="J82" s="14">
        <v>58</v>
      </c>
      <c r="K82" s="14">
        <v>60</v>
      </c>
      <c r="L82" s="14">
        <v>57</v>
      </c>
      <c r="M82" s="14">
        <v>51</v>
      </c>
      <c r="N82" s="227"/>
      <c r="O82" s="631">
        <v>70</v>
      </c>
      <c r="P82" s="631">
        <v>68</v>
      </c>
      <c r="Q82" s="631">
        <v>81</v>
      </c>
      <c r="R82" s="631">
        <v>80</v>
      </c>
      <c r="S82" s="3">
        <f t="shared" si="1"/>
        <v>299</v>
      </c>
    </row>
    <row r="83" spans="1:19" ht="21">
      <c r="A83" s="335" t="s">
        <v>3138</v>
      </c>
      <c r="B83" s="247" t="s">
        <v>2141</v>
      </c>
      <c r="C83" s="247" t="s">
        <v>1920</v>
      </c>
      <c r="D83" s="247" t="s">
        <v>1921</v>
      </c>
      <c r="E83" s="248" t="s">
        <v>2142</v>
      </c>
      <c r="F83" s="247">
        <v>318350660</v>
      </c>
      <c r="G83" s="247">
        <v>1755</v>
      </c>
      <c r="H83" s="247" t="s">
        <v>1335</v>
      </c>
      <c r="I83" s="247" t="s">
        <v>2059</v>
      </c>
      <c r="J83" s="14">
        <v>48</v>
      </c>
      <c r="K83" s="14">
        <v>57</v>
      </c>
      <c r="L83" s="14">
        <v>60</v>
      </c>
      <c r="M83" s="14">
        <v>60</v>
      </c>
      <c r="N83" s="227"/>
      <c r="O83" s="631">
        <v>70</v>
      </c>
      <c r="P83" s="631">
        <v>70</v>
      </c>
      <c r="Q83" s="631">
        <v>75</v>
      </c>
      <c r="R83" s="631">
        <v>68</v>
      </c>
      <c r="S83" s="3">
        <f t="shared" si="1"/>
        <v>283</v>
      </c>
    </row>
    <row r="84" spans="1:19" ht="21">
      <c r="A84" s="335" t="s">
        <v>3139</v>
      </c>
      <c r="B84" s="247" t="s">
        <v>1058</v>
      </c>
      <c r="C84" s="247" t="s">
        <v>1061</v>
      </c>
      <c r="D84" s="247" t="s">
        <v>1059</v>
      </c>
      <c r="E84" s="248" t="s">
        <v>1060</v>
      </c>
      <c r="F84" s="247">
        <v>314351464</v>
      </c>
      <c r="G84" s="247">
        <v>1673</v>
      </c>
      <c r="H84" s="247" t="s">
        <v>1335</v>
      </c>
      <c r="I84" s="247" t="s">
        <v>2059</v>
      </c>
      <c r="J84" s="14">
        <v>58</v>
      </c>
      <c r="K84" s="14">
        <v>60</v>
      </c>
      <c r="L84" s="14">
        <v>58</v>
      </c>
      <c r="M84" s="14">
        <v>58</v>
      </c>
      <c r="N84" s="227"/>
      <c r="O84" s="631">
        <v>80</v>
      </c>
      <c r="P84" s="631">
        <v>80</v>
      </c>
      <c r="Q84" s="631">
        <v>88</v>
      </c>
      <c r="R84" s="631">
        <v>920</v>
      </c>
      <c r="S84" s="3">
        <f t="shared" si="1"/>
        <v>1168</v>
      </c>
    </row>
    <row r="85" spans="1:19" ht="21">
      <c r="A85" s="335" t="s">
        <v>3140</v>
      </c>
      <c r="B85" s="247" t="s">
        <v>1006</v>
      </c>
      <c r="C85" s="247" t="s">
        <v>1007</v>
      </c>
      <c r="D85" s="247" t="s">
        <v>927</v>
      </c>
      <c r="E85" s="248" t="s">
        <v>1008</v>
      </c>
      <c r="F85" s="247">
        <v>319848686</v>
      </c>
      <c r="G85" s="247">
        <v>1589</v>
      </c>
      <c r="H85" s="247" t="s">
        <v>1335</v>
      </c>
      <c r="I85" s="247" t="s">
        <v>2059</v>
      </c>
      <c r="J85" s="14">
        <v>60</v>
      </c>
      <c r="K85" s="14">
        <v>59</v>
      </c>
      <c r="L85" s="14">
        <v>59</v>
      </c>
      <c r="M85" s="14">
        <v>50</v>
      </c>
      <c r="N85" s="227"/>
      <c r="O85" s="631">
        <v>80</v>
      </c>
      <c r="P85" s="631">
        <v>80</v>
      </c>
      <c r="Q85" s="631">
        <v>85</v>
      </c>
      <c r="R85" s="631">
        <v>80</v>
      </c>
      <c r="S85" s="3">
        <f t="shared" si="1"/>
        <v>325</v>
      </c>
    </row>
    <row r="86" spans="1:19" ht="21">
      <c r="A86" s="335" t="s">
        <v>3141</v>
      </c>
      <c r="B86" s="247" t="s">
        <v>1064</v>
      </c>
      <c r="C86" s="247" t="s">
        <v>3360</v>
      </c>
      <c r="D86" s="247" t="s">
        <v>1065</v>
      </c>
      <c r="E86" s="248" t="s">
        <v>1066</v>
      </c>
      <c r="F86" s="247">
        <v>318270846</v>
      </c>
      <c r="G86" s="247">
        <v>1494</v>
      </c>
      <c r="H86" s="247" t="s">
        <v>1335</v>
      </c>
      <c r="I86" s="247" t="s">
        <v>2059</v>
      </c>
      <c r="J86" s="14">
        <v>59</v>
      </c>
      <c r="K86" s="14">
        <v>58</v>
      </c>
      <c r="L86" s="14">
        <v>59</v>
      </c>
      <c r="M86" s="14">
        <v>58</v>
      </c>
      <c r="N86" s="227"/>
      <c r="O86" s="631">
        <v>83</v>
      </c>
      <c r="P86" s="631">
        <v>82</v>
      </c>
      <c r="Q86" s="631">
        <v>86</v>
      </c>
      <c r="R86" s="631">
        <v>84</v>
      </c>
      <c r="S86" s="3">
        <f t="shared" si="1"/>
        <v>335</v>
      </c>
    </row>
    <row r="87" spans="1:19" ht="21">
      <c r="A87" s="335" t="s">
        <v>3142</v>
      </c>
      <c r="B87" s="247" t="s">
        <v>1012</v>
      </c>
      <c r="C87" s="247" t="s">
        <v>1013</v>
      </c>
      <c r="D87" s="247" t="s">
        <v>1014</v>
      </c>
      <c r="E87" s="248" t="s">
        <v>1015</v>
      </c>
      <c r="F87" s="247"/>
      <c r="G87" s="247">
        <v>1610</v>
      </c>
      <c r="H87" s="247" t="s">
        <v>1335</v>
      </c>
      <c r="I87" s="247" t="s">
        <v>2059</v>
      </c>
      <c r="J87" s="14">
        <v>50</v>
      </c>
      <c r="K87" s="14">
        <v>53</v>
      </c>
      <c r="L87" s="14">
        <v>49</v>
      </c>
      <c r="M87" s="14">
        <v>36</v>
      </c>
      <c r="N87" s="227"/>
      <c r="O87" s="631">
        <v>70</v>
      </c>
      <c r="P87" s="631">
        <v>70</v>
      </c>
      <c r="Q87" s="631">
        <v>66</v>
      </c>
      <c r="R87" s="631">
        <v>78</v>
      </c>
      <c r="S87" s="3">
        <f t="shared" si="1"/>
        <v>284</v>
      </c>
    </row>
    <row r="88" spans="1:19" ht="21">
      <c r="A88" s="335" t="s">
        <v>3143</v>
      </c>
      <c r="B88" s="247" t="s">
        <v>2143</v>
      </c>
      <c r="C88" s="247" t="s">
        <v>2144</v>
      </c>
      <c r="D88" s="247" t="s">
        <v>2145</v>
      </c>
      <c r="E88" s="248" t="s">
        <v>2146</v>
      </c>
      <c r="F88" s="247">
        <v>317881379</v>
      </c>
      <c r="G88" s="247">
        <v>1771</v>
      </c>
      <c r="H88" s="247" t="s">
        <v>1335</v>
      </c>
      <c r="I88" s="247" t="s">
        <v>2059</v>
      </c>
      <c r="J88" s="14">
        <v>56</v>
      </c>
      <c r="K88" s="14">
        <v>59</v>
      </c>
      <c r="L88" s="14">
        <v>47</v>
      </c>
      <c r="M88" s="14">
        <v>60</v>
      </c>
      <c r="N88" s="227"/>
      <c r="O88" s="631">
        <v>80</v>
      </c>
      <c r="P88" s="631">
        <v>70</v>
      </c>
      <c r="Q88" s="631">
        <v>70</v>
      </c>
      <c r="R88" s="631">
        <v>90</v>
      </c>
      <c r="S88" s="3">
        <f t="shared" si="1"/>
        <v>310</v>
      </c>
    </row>
    <row r="89" spans="1:19" ht="21">
      <c r="A89" s="335" t="s">
        <v>3144</v>
      </c>
      <c r="B89" s="247" t="s">
        <v>975</v>
      </c>
      <c r="C89" s="247" t="s">
        <v>976</v>
      </c>
      <c r="D89" s="247" t="s">
        <v>3361</v>
      </c>
      <c r="E89" s="248" t="s">
        <v>977</v>
      </c>
      <c r="F89" s="247">
        <v>316504267</v>
      </c>
      <c r="G89" s="247">
        <v>1558</v>
      </c>
      <c r="H89" s="247" t="s">
        <v>1335</v>
      </c>
      <c r="I89" s="247" t="s">
        <v>2059</v>
      </c>
      <c r="J89" s="14">
        <v>50</v>
      </c>
      <c r="K89" s="14">
        <v>58</v>
      </c>
      <c r="L89" s="379">
        <v>56</v>
      </c>
      <c r="M89" s="14">
        <v>58</v>
      </c>
      <c r="N89" s="227"/>
      <c r="O89" s="631">
        <v>84</v>
      </c>
      <c r="P89" s="631">
        <v>80</v>
      </c>
      <c r="Q89" s="631">
        <v>70</v>
      </c>
      <c r="R89" s="631">
        <v>83</v>
      </c>
      <c r="S89" s="3">
        <f t="shared" si="1"/>
        <v>317</v>
      </c>
    </row>
    <row r="90" spans="1:19" ht="21">
      <c r="A90" s="335" t="s">
        <v>3145</v>
      </c>
      <c r="B90" s="247" t="s">
        <v>2147</v>
      </c>
      <c r="C90" s="247" t="s">
        <v>2668</v>
      </c>
      <c r="D90" s="247" t="s">
        <v>573</v>
      </c>
      <c r="E90" s="248" t="s">
        <v>2148</v>
      </c>
      <c r="F90" s="247">
        <v>316953497</v>
      </c>
      <c r="G90" s="247">
        <v>1738</v>
      </c>
      <c r="H90" s="247" t="s">
        <v>1335</v>
      </c>
      <c r="I90" s="247" t="s">
        <v>2059</v>
      </c>
      <c r="J90" s="14">
        <v>59</v>
      </c>
      <c r="K90" s="14">
        <v>57</v>
      </c>
      <c r="L90" s="14">
        <v>53</v>
      </c>
      <c r="M90" s="14">
        <v>36</v>
      </c>
      <c r="N90" s="227"/>
      <c r="O90" s="631">
        <v>70</v>
      </c>
      <c r="P90" s="631">
        <v>80</v>
      </c>
      <c r="Q90" s="631">
        <v>80</v>
      </c>
      <c r="R90" s="631">
        <v>90</v>
      </c>
      <c r="S90" s="3">
        <f t="shared" si="1"/>
        <v>320</v>
      </c>
    </row>
    <row r="91" spans="1:19" ht="21">
      <c r="A91" s="335" t="s">
        <v>3146</v>
      </c>
      <c r="B91" s="247" t="s">
        <v>2151</v>
      </c>
      <c r="C91" s="247" t="s">
        <v>2149</v>
      </c>
      <c r="D91" s="247" t="s">
        <v>2150</v>
      </c>
      <c r="E91" s="248" t="s">
        <v>1691</v>
      </c>
      <c r="F91" s="247">
        <v>317338105</v>
      </c>
      <c r="G91" s="247">
        <v>1727</v>
      </c>
      <c r="H91" s="247" t="s">
        <v>1335</v>
      </c>
      <c r="I91" s="247" t="s">
        <v>2059</v>
      </c>
      <c r="J91" s="14">
        <v>59</v>
      </c>
      <c r="K91" s="14">
        <v>58</v>
      </c>
      <c r="L91" s="14">
        <v>60</v>
      </c>
      <c r="M91" s="14">
        <v>58</v>
      </c>
      <c r="N91" s="227"/>
      <c r="O91" s="631">
        <v>75</v>
      </c>
      <c r="P91" s="631">
        <v>82</v>
      </c>
      <c r="Q91" s="631">
        <v>85</v>
      </c>
      <c r="R91" s="631">
        <v>90</v>
      </c>
      <c r="S91" s="3">
        <f t="shared" si="1"/>
        <v>332</v>
      </c>
    </row>
    <row r="92" spans="1:19" ht="21">
      <c r="A92" s="335" t="s">
        <v>3147</v>
      </c>
      <c r="B92" s="247" t="s">
        <v>2152</v>
      </c>
      <c r="C92" s="247" t="s">
        <v>2153</v>
      </c>
      <c r="D92" s="247" t="s">
        <v>2154</v>
      </c>
      <c r="E92" s="248" t="s">
        <v>2155</v>
      </c>
      <c r="F92" s="247">
        <v>317991152</v>
      </c>
      <c r="G92" s="247">
        <v>1766</v>
      </c>
      <c r="H92" s="247" t="s">
        <v>1335</v>
      </c>
      <c r="I92" s="247" t="s">
        <v>2059</v>
      </c>
      <c r="J92" s="14">
        <v>54</v>
      </c>
      <c r="K92" s="14">
        <v>43</v>
      </c>
      <c r="L92" s="14">
        <v>42</v>
      </c>
      <c r="M92" s="14">
        <v>35</v>
      </c>
      <c r="N92" s="227"/>
      <c r="O92" s="631">
        <v>78</v>
      </c>
      <c r="P92" s="631">
        <v>60</v>
      </c>
      <c r="Q92" s="631">
        <v>75</v>
      </c>
      <c r="R92" s="631">
        <v>90</v>
      </c>
      <c r="S92" s="3">
        <f t="shared" si="1"/>
        <v>303</v>
      </c>
    </row>
    <row r="93" spans="1:19" ht="21">
      <c r="A93" s="335" t="s">
        <v>3148</v>
      </c>
      <c r="B93" s="247" t="s">
        <v>2156</v>
      </c>
      <c r="C93" s="247" t="s">
        <v>2157</v>
      </c>
      <c r="D93" s="247" t="s">
        <v>128</v>
      </c>
      <c r="E93" s="248" t="s">
        <v>961</v>
      </c>
      <c r="F93" s="247">
        <v>318299946</v>
      </c>
      <c r="G93" s="247">
        <v>1739</v>
      </c>
      <c r="H93" s="247" t="s">
        <v>1335</v>
      </c>
      <c r="I93" s="247" t="s">
        <v>2059</v>
      </c>
      <c r="J93" s="14">
        <v>54</v>
      </c>
      <c r="K93" s="14">
        <v>54</v>
      </c>
      <c r="L93" s="14">
        <v>55</v>
      </c>
      <c r="M93" s="14">
        <v>56</v>
      </c>
      <c r="N93" s="227"/>
      <c r="O93" s="631">
        <v>64</v>
      </c>
      <c r="P93" s="631">
        <v>68</v>
      </c>
      <c r="Q93" s="631">
        <v>72</v>
      </c>
      <c r="R93" s="631">
        <v>78</v>
      </c>
      <c r="S93" s="3">
        <f t="shared" si="1"/>
        <v>282</v>
      </c>
    </row>
    <row r="94" spans="1:19" ht="21">
      <c r="A94" s="335" t="s">
        <v>3149</v>
      </c>
      <c r="B94" s="247" t="s">
        <v>2158</v>
      </c>
      <c r="C94" s="247" t="s">
        <v>2159</v>
      </c>
      <c r="D94" s="247" t="s">
        <v>2160</v>
      </c>
      <c r="E94" s="248" t="s">
        <v>1764</v>
      </c>
      <c r="F94" s="247">
        <v>317178421</v>
      </c>
      <c r="G94" s="247">
        <v>1730</v>
      </c>
      <c r="H94" s="247" t="s">
        <v>1335</v>
      </c>
      <c r="I94" s="247" t="s">
        <v>2059</v>
      </c>
      <c r="J94" s="14">
        <v>59</v>
      </c>
      <c r="K94" s="14">
        <v>59</v>
      </c>
      <c r="L94" s="14">
        <v>54</v>
      </c>
      <c r="M94" s="14">
        <v>58</v>
      </c>
      <c r="N94" s="227"/>
      <c r="O94" s="631">
        <v>75</v>
      </c>
      <c r="P94" s="631">
        <v>82</v>
      </c>
      <c r="Q94" s="631">
        <v>85</v>
      </c>
      <c r="R94" s="631">
        <v>88</v>
      </c>
      <c r="S94" s="3">
        <f t="shared" si="1"/>
        <v>330</v>
      </c>
    </row>
    <row r="95" spans="1:19" ht="21">
      <c r="A95" s="335" t="s">
        <v>3150</v>
      </c>
      <c r="B95" s="247" t="s">
        <v>1650</v>
      </c>
      <c r="C95" s="247" t="s">
        <v>1016</v>
      </c>
      <c r="D95" s="247" t="s">
        <v>1017</v>
      </c>
      <c r="E95" s="248" t="s">
        <v>1018</v>
      </c>
      <c r="F95" s="247">
        <v>317099955</v>
      </c>
      <c r="G95" s="247">
        <v>1604</v>
      </c>
      <c r="H95" s="247" t="s">
        <v>1335</v>
      </c>
      <c r="I95" s="247" t="s">
        <v>2059</v>
      </c>
      <c r="J95" s="14">
        <v>59</v>
      </c>
      <c r="K95" s="14">
        <v>60</v>
      </c>
      <c r="L95" s="14">
        <v>58</v>
      </c>
      <c r="M95" s="14">
        <v>57</v>
      </c>
      <c r="N95" s="227"/>
      <c r="O95" s="816"/>
      <c r="P95" s="816"/>
      <c r="Q95" s="816"/>
      <c r="R95" s="816"/>
      <c r="S95" s="3">
        <f t="shared" si="1"/>
        <v>0</v>
      </c>
    </row>
    <row r="96" spans="1:19" ht="21">
      <c r="A96" s="335" t="s">
        <v>3151</v>
      </c>
      <c r="B96" s="247" t="s">
        <v>2161</v>
      </c>
      <c r="C96" s="247" t="s">
        <v>2162</v>
      </c>
      <c r="D96" s="247" t="s">
        <v>2163</v>
      </c>
      <c r="E96" s="248" t="s">
        <v>2164</v>
      </c>
      <c r="F96" s="6"/>
      <c r="G96" s="247">
        <v>1777</v>
      </c>
      <c r="H96" s="247" t="s">
        <v>1335</v>
      </c>
      <c r="I96" s="247" t="s">
        <v>2059</v>
      </c>
      <c r="J96" s="14">
        <v>44</v>
      </c>
      <c r="K96" s="14">
        <v>52</v>
      </c>
      <c r="L96" s="14">
        <v>54</v>
      </c>
      <c r="M96" s="14">
        <v>54</v>
      </c>
      <c r="N96" s="227"/>
      <c r="O96" s="631">
        <v>70</v>
      </c>
      <c r="P96" s="631">
        <v>81</v>
      </c>
      <c r="Q96" s="631">
        <v>83</v>
      </c>
      <c r="R96" s="631">
        <v>80</v>
      </c>
      <c r="S96" s="3">
        <f t="shared" si="1"/>
        <v>314</v>
      </c>
    </row>
    <row r="97" spans="1:19" ht="21">
      <c r="A97" s="335" t="s">
        <v>3152</v>
      </c>
      <c r="B97" s="247" t="s">
        <v>2165</v>
      </c>
      <c r="C97" s="247" t="s">
        <v>2166</v>
      </c>
      <c r="D97" s="247" t="s">
        <v>2167</v>
      </c>
      <c r="E97" s="248" t="s">
        <v>2168</v>
      </c>
      <c r="F97" s="247">
        <v>317178367</v>
      </c>
      <c r="G97" s="247">
        <v>1737</v>
      </c>
      <c r="H97" s="247" t="s">
        <v>1335</v>
      </c>
      <c r="I97" s="247" t="s">
        <v>2059</v>
      </c>
      <c r="J97" s="14">
        <v>56</v>
      </c>
      <c r="K97" s="14">
        <v>58</v>
      </c>
      <c r="L97" s="14">
        <v>58</v>
      </c>
      <c r="M97" s="14">
        <v>60</v>
      </c>
      <c r="N97" s="227"/>
      <c r="O97" s="631">
        <v>70</v>
      </c>
      <c r="P97" s="631">
        <v>83</v>
      </c>
      <c r="Q97" s="631">
        <v>78</v>
      </c>
      <c r="R97" s="631">
        <v>85</v>
      </c>
      <c r="S97" s="3">
        <f t="shared" si="1"/>
        <v>316</v>
      </c>
    </row>
    <row r="98" spans="1:19" ht="21">
      <c r="A98" s="335" t="s">
        <v>3153</v>
      </c>
      <c r="B98" s="247" t="s">
        <v>1034</v>
      </c>
      <c r="C98" s="247" t="s">
        <v>1037</v>
      </c>
      <c r="D98" s="247" t="s">
        <v>1036</v>
      </c>
      <c r="E98" s="248" t="s">
        <v>1038</v>
      </c>
      <c r="F98" s="247">
        <v>318350656</v>
      </c>
      <c r="G98" s="247">
        <v>1615</v>
      </c>
      <c r="H98" s="247" t="s">
        <v>1335</v>
      </c>
      <c r="I98" s="247" t="s">
        <v>2059</v>
      </c>
      <c r="J98" s="14">
        <v>59</v>
      </c>
      <c r="K98" s="14">
        <v>58</v>
      </c>
      <c r="L98" s="14">
        <v>60</v>
      </c>
      <c r="M98" s="14">
        <v>52</v>
      </c>
      <c r="N98" s="227"/>
      <c r="O98" s="631">
        <v>80</v>
      </c>
      <c r="P98" s="631">
        <v>85</v>
      </c>
      <c r="Q98" s="631">
        <v>81</v>
      </c>
      <c r="R98" s="631">
        <v>86</v>
      </c>
      <c r="S98" s="3">
        <f t="shared" si="1"/>
        <v>332</v>
      </c>
    </row>
  </sheetData>
  <mergeCells count="1">
    <mergeCell ref="J1:M1"/>
  </mergeCells>
  <phoneticPr fontId="77" type="noConversion"/>
  <pageMargins left="0" right="0" top="0" bottom="0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rgb="FF002060"/>
  </sheetPr>
  <dimension ref="A1:AC121"/>
  <sheetViews>
    <sheetView topLeftCell="N1" zoomScale="106" zoomScaleNormal="106" workbookViewId="0">
      <selection activeCell="AC8" sqref="AC8"/>
    </sheetView>
  </sheetViews>
  <sheetFormatPr defaultRowHeight="14.5"/>
  <cols>
    <col min="1" max="1" width="7.453125" style="12" customWidth="1"/>
    <col min="2" max="2" width="25.453125" customWidth="1"/>
    <col min="3" max="3" width="29.453125" customWidth="1"/>
    <col min="4" max="4" width="28.26953125" customWidth="1"/>
    <col min="5" max="5" width="18.453125" style="3" customWidth="1"/>
    <col min="6" max="6" width="18.453125" style="12" customWidth="1"/>
    <col min="7" max="7" width="8.453125" style="3" customWidth="1"/>
    <col min="8" max="8" width="7.453125" style="12" customWidth="1"/>
    <col min="9" max="9" width="8.54296875" style="12" customWidth="1"/>
    <col min="10" max="10" width="13.54296875" bestFit="1" customWidth="1"/>
    <col min="27" max="27" width="22.54296875" customWidth="1"/>
  </cols>
  <sheetData>
    <row r="1" spans="1:29" s="643" customFormat="1">
      <c r="A1" s="643">
        <v>1</v>
      </c>
      <c r="B1" s="643">
        <v>2</v>
      </c>
      <c r="C1" s="643">
        <v>3</v>
      </c>
      <c r="D1" s="643">
        <v>4</v>
      </c>
      <c r="E1" s="643">
        <v>5</v>
      </c>
      <c r="F1" s="643">
        <v>6</v>
      </c>
      <c r="G1" s="643">
        <v>7</v>
      </c>
      <c r="H1" s="643">
        <v>8</v>
      </c>
      <c r="I1" s="643">
        <v>9</v>
      </c>
      <c r="J1" s="643">
        <v>10</v>
      </c>
      <c r="K1" s="643">
        <v>11</v>
      </c>
      <c r="L1" s="643">
        <v>12</v>
      </c>
      <c r="M1" s="643">
        <v>13</v>
      </c>
      <c r="N1" s="643">
        <v>14</v>
      </c>
      <c r="O1" s="643">
        <v>15</v>
      </c>
      <c r="P1" s="643">
        <v>16</v>
      </c>
      <c r="Q1" s="643">
        <v>17</v>
      </c>
      <c r="R1" s="643">
        <v>18</v>
      </c>
      <c r="S1" s="643">
        <v>19</v>
      </c>
      <c r="T1" s="643">
        <v>20</v>
      </c>
      <c r="U1" s="643">
        <v>21</v>
      </c>
      <c r="V1" s="643">
        <v>22</v>
      </c>
      <c r="W1" s="643">
        <v>23</v>
      </c>
      <c r="X1" s="643">
        <v>24</v>
      </c>
      <c r="Y1" s="643">
        <v>25</v>
      </c>
      <c r="Z1" s="643">
        <v>26</v>
      </c>
    </row>
    <row r="2" spans="1:29" ht="21.5" thickBot="1">
      <c r="A2" s="1217" t="s">
        <v>3023</v>
      </c>
      <c r="B2" s="1217"/>
      <c r="C2" s="1217"/>
      <c r="D2" s="1217"/>
      <c r="E2" s="1217"/>
      <c r="F2" s="1217"/>
      <c r="G2" s="1217"/>
      <c r="H2" s="1217"/>
      <c r="I2" s="1217"/>
      <c r="J2" s="1217"/>
    </row>
    <row r="3" spans="1:29" ht="21.5" thickBot="1">
      <c r="A3" s="1217" t="s">
        <v>3039</v>
      </c>
      <c r="B3" s="1217"/>
      <c r="C3" s="1217"/>
      <c r="D3" s="1217"/>
      <c r="E3" s="1217"/>
      <c r="F3" s="1217"/>
      <c r="G3" s="1217"/>
      <c r="H3" s="1217"/>
      <c r="I3" s="1217"/>
      <c r="J3" s="1218" t="s">
        <v>75</v>
      </c>
      <c r="K3" s="1218"/>
      <c r="L3" s="1218"/>
      <c r="M3" s="1218"/>
      <c r="N3" s="1218"/>
      <c r="P3" s="576"/>
      <c r="Q3" s="1219" t="s">
        <v>3455</v>
      </c>
      <c r="R3" s="1219"/>
      <c r="S3" s="1219"/>
      <c r="T3" s="1219"/>
      <c r="U3" s="1219"/>
      <c r="V3" s="1219"/>
      <c r="W3" s="1219"/>
      <c r="X3" s="1219"/>
      <c r="Y3" s="577"/>
      <c r="Z3" s="578"/>
    </row>
    <row r="4" spans="1:29" ht="26" thickTop="1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4" t="s">
        <v>6</v>
      </c>
      <c r="H4" s="244" t="s">
        <v>7</v>
      </c>
      <c r="I4" s="244" t="s">
        <v>8</v>
      </c>
      <c r="J4" s="498" t="s">
        <v>3440</v>
      </c>
      <c r="K4" s="498" t="s">
        <v>10</v>
      </c>
      <c r="L4" s="498" t="s">
        <v>3251</v>
      </c>
      <c r="M4" s="498" t="s">
        <v>3254</v>
      </c>
      <c r="N4" s="498" t="s">
        <v>3437</v>
      </c>
      <c r="O4" s="574" t="s">
        <v>513</v>
      </c>
      <c r="P4" s="579" t="s">
        <v>3440</v>
      </c>
      <c r="Q4" s="573" t="s">
        <v>74</v>
      </c>
      <c r="R4" s="573" t="s">
        <v>3445</v>
      </c>
      <c r="S4" s="573" t="s">
        <v>74</v>
      </c>
      <c r="T4" s="573" t="s">
        <v>3251</v>
      </c>
      <c r="U4" s="573" t="s">
        <v>74</v>
      </c>
      <c r="V4" s="573" t="s">
        <v>3254</v>
      </c>
      <c r="W4" s="573" t="s">
        <v>74</v>
      </c>
      <c r="X4" s="573" t="s">
        <v>3454</v>
      </c>
      <c r="Y4" s="573" t="s">
        <v>74</v>
      </c>
      <c r="Z4" s="580" t="s">
        <v>3448</v>
      </c>
      <c r="AA4" s="1" t="s">
        <v>1</v>
      </c>
      <c r="AB4" s="941" t="s">
        <v>3564</v>
      </c>
      <c r="AC4" s="941" t="s">
        <v>3565</v>
      </c>
    </row>
    <row r="5" spans="1:29" s="556" customFormat="1" ht="15">
      <c r="A5" s="547">
        <v>101</v>
      </c>
      <c r="B5" s="548" t="s">
        <v>3272</v>
      </c>
      <c r="C5" s="548" t="s">
        <v>1336</v>
      </c>
      <c r="D5" s="548" t="s">
        <v>1337</v>
      </c>
      <c r="E5" s="549" t="s">
        <v>3273</v>
      </c>
      <c r="F5" s="550">
        <v>311037707</v>
      </c>
      <c r="G5" s="547">
        <v>1308</v>
      </c>
      <c r="H5" s="550" t="s">
        <v>2242</v>
      </c>
      <c r="I5" s="551" t="s">
        <v>2059</v>
      </c>
      <c r="J5" s="552">
        <v>48</v>
      </c>
      <c r="K5" s="553">
        <v>48</v>
      </c>
      <c r="L5" s="553">
        <v>47</v>
      </c>
      <c r="M5" s="553">
        <v>45</v>
      </c>
      <c r="N5" s="554">
        <v>58</v>
      </c>
      <c r="O5" s="575">
        <f>SUM(J5:M5)</f>
        <v>188</v>
      </c>
      <c r="P5" s="557">
        <v>46</v>
      </c>
      <c r="Q5" s="555">
        <v>34</v>
      </c>
      <c r="R5" s="555">
        <v>54</v>
      </c>
      <c r="S5" s="555">
        <v>34</v>
      </c>
      <c r="T5" s="555">
        <v>53</v>
      </c>
      <c r="U5" s="555">
        <v>33</v>
      </c>
      <c r="V5" s="555">
        <v>47</v>
      </c>
      <c r="W5" s="555">
        <v>33</v>
      </c>
      <c r="X5" s="555">
        <v>58</v>
      </c>
      <c r="Y5" s="555">
        <v>38</v>
      </c>
      <c r="Z5" s="942">
        <f>SUM(P5:Y5)</f>
        <v>430</v>
      </c>
      <c r="AA5" s="548" t="s">
        <v>1447</v>
      </c>
      <c r="AB5" s="944">
        <f t="shared" ref="AB5:AB36" si="0">Z5/5</f>
        <v>86</v>
      </c>
      <c r="AC5" s="548">
        <f>RANK(AB5,AB5:AB117)</f>
        <v>72</v>
      </c>
    </row>
    <row r="6" spans="1:29" s="556" customFormat="1" ht="15">
      <c r="A6" s="547">
        <v>102</v>
      </c>
      <c r="B6" s="548" t="s">
        <v>1338</v>
      </c>
      <c r="C6" s="548" t="s">
        <v>1339</v>
      </c>
      <c r="D6" s="548" t="s">
        <v>763</v>
      </c>
      <c r="E6" s="549" t="s">
        <v>1340</v>
      </c>
      <c r="F6" s="550">
        <v>323025668</v>
      </c>
      <c r="G6" s="547">
        <v>1483</v>
      </c>
      <c r="H6" s="550" t="s">
        <v>2242</v>
      </c>
      <c r="I6" s="551" t="s">
        <v>2059</v>
      </c>
      <c r="J6" s="557">
        <v>56</v>
      </c>
      <c r="K6" s="555">
        <v>50</v>
      </c>
      <c r="L6" s="555">
        <v>58</v>
      </c>
      <c r="M6" s="555">
        <v>46</v>
      </c>
      <c r="N6" s="558">
        <v>59</v>
      </c>
      <c r="O6" s="575">
        <f t="shared" ref="O6:O69" si="1">SUM(J6:M6)</f>
        <v>210</v>
      </c>
      <c r="P6" s="557">
        <v>55</v>
      </c>
      <c r="Q6" s="555">
        <v>37</v>
      </c>
      <c r="R6" s="555">
        <v>56</v>
      </c>
      <c r="S6" s="555">
        <v>35</v>
      </c>
      <c r="T6" s="555">
        <v>53</v>
      </c>
      <c r="U6" s="555">
        <v>37</v>
      </c>
      <c r="V6" s="555">
        <v>50</v>
      </c>
      <c r="W6" s="555">
        <v>35</v>
      </c>
      <c r="X6" s="555">
        <v>59</v>
      </c>
      <c r="Y6" s="555">
        <v>38</v>
      </c>
      <c r="Z6" s="942">
        <f t="shared" ref="Z6:Z69" si="2">SUM(P6:Y6)</f>
        <v>455</v>
      </c>
      <c r="AA6" s="548" t="s">
        <v>1231</v>
      </c>
      <c r="AB6" s="944">
        <f t="shared" si="0"/>
        <v>91</v>
      </c>
      <c r="AC6" s="548">
        <f t="shared" ref="AC6:AC69" si="3">RANK(AB6,AB6:AB118)</f>
        <v>30</v>
      </c>
    </row>
    <row r="7" spans="1:29" s="556" customFormat="1" ht="15">
      <c r="A7" s="547">
        <v>103</v>
      </c>
      <c r="B7" s="548" t="s">
        <v>1668</v>
      </c>
      <c r="C7" s="548" t="s">
        <v>1341</v>
      </c>
      <c r="D7" s="548" t="s">
        <v>1342</v>
      </c>
      <c r="E7" s="549" t="s">
        <v>1343</v>
      </c>
      <c r="F7" s="550">
        <v>314351461</v>
      </c>
      <c r="G7" s="547">
        <v>1418</v>
      </c>
      <c r="H7" s="550" t="s">
        <v>2242</v>
      </c>
      <c r="I7" s="551" t="s">
        <v>2059</v>
      </c>
      <c r="J7" s="557">
        <v>56</v>
      </c>
      <c r="K7" s="555">
        <v>53</v>
      </c>
      <c r="L7" s="555">
        <v>59</v>
      </c>
      <c r="M7" s="555">
        <v>49</v>
      </c>
      <c r="N7" s="558">
        <v>59</v>
      </c>
      <c r="O7" s="575">
        <f t="shared" si="1"/>
        <v>217</v>
      </c>
      <c r="P7" s="557">
        <v>57</v>
      </c>
      <c r="Q7" s="555">
        <v>38</v>
      </c>
      <c r="R7" s="555">
        <v>54</v>
      </c>
      <c r="S7" s="555">
        <v>37</v>
      </c>
      <c r="T7" s="555">
        <v>55</v>
      </c>
      <c r="U7" s="555">
        <v>39</v>
      </c>
      <c r="V7" s="555">
        <v>53</v>
      </c>
      <c r="W7" s="555">
        <v>36</v>
      </c>
      <c r="X7" s="555">
        <v>59</v>
      </c>
      <c r="Y7" s="555">
        <v>38</v>
      </c>
      <c r="Z7" s="942">
        <f t="shared" si="2"/>
        <v>466</v>
      </c>
      <c r="AA7" s="548" t="s">
        <v>1303</v>
      </c>
      <c r="AB7" s="944">
        <f t="shared" si="0"/>
        <v>93.2</v>
      </c>
      <c r="AC7" s="548">
        <f t="shared" si="3"/>
        <v>15</v>
      </c>
    </row>
    <row r="8" spans="1:29" s="556" customFormat="1" ht="15">
      <c r="A8" s="547">
        <v>104</v>
      </c>
      <c r="B8" s="548" t="s">
        <v>1347</v>
      </c>
      <c r="C8" s="548" t="s">
        <v>1667</v>
      </c>
      <c r="D8" s="548" t="s">
        <v>477</v>
      </c>
      <c r="E8" s="549" t="s">
        <v>1348</v>
      </c>
      <c r="F8" s="550">
        <v>320380415</v>
      </c>
      <c r="G8" s="547">
        <v>1457</v>
      </c>
      <c r="H8" s="550" t="s">
        <v>2242</v>
      </c>
      <c r="I8" s="551" t="s">
        <v>2059</v>
      </c>
      <c r="J8" s="557">
        <v>57</v>
      </c>
      <c r="K8" s="555">
        <v>58</v>
      </c>
      <c r="L8" s="555">
        <v>57</v>
      </c>
      <c r="M8" s="555">
        <v>59</v>
      </c>
      <c r="N8" s="558">
        <v>58</v>
      </c>
      <c r="O8" s="575">
        <f t="shared" si="1"/>
        <v>231</v>
      </c>
      <c r="P8" s="557">
        <v>59</v>
      </c>
      <c r="Q8" s="555">
        <v>38</v>
      </c>
      <c r="R8" s="555">
        <v>58</v>
      </c>
      <c r="S8" s="555">
        <v>38</v>
      </c>
      <c r="T8" s="555">
        <v>58</v>
      </c>
      <c r="U8" s="555">
        <v>39</v>
      </c>
      <c r="V8" s="555">
        <v>59</v>
      </c>
      <c r="W8" s="555">
        <v>39</v>
      </c>
      <c r="X8" s="555">
        <v>58</v>
      </c>
      <c r="Y8" s="555">
        <v>38</v>
      </c>
      <c r="Z8" s="942">
        <f t="shared" si="2"/>
        <v>484</v>
      </c>
      <c r="AA8" s="548" t="s">
        <v>1668</v>
      </c>
      <c r="AB8" s="944">
        <f t="shared" si="0"/>
        <v>96.8</v>
      </c>
      <c r="AC8" s="548">
        <f t="shared" si="3"/>
        <v>1</v>
      </c>
    </row>
    <row r="9" spans="1:29" s="556" customFormat="1" ht="15">
      <c r="A9" s="547">
        <v>105</v>
      </c>
      <c r="B9" s="548" t="s">
        <v>1183</v>
      </c>
      <c r="C9" s="548" t="s">
        <v>1186</v>
      </c>
      <c r="D9" s="548" t="s">
        <v>1185</v>
      </c>
      <c r="E9" s="549" t="s">
        <v>1184</v>
      </c>
      <c r="F9" s="559">
        <v>310457143</v>
      </c>
      <c r="G9" s="547">
        <v>1435</v>
      </c>
      <c r="H9" s="550" t="s">
        <v>2242</v>
      </c>
      <c r="I9" s="551" t="s">
        <v>2059</v>
      </c>
      <c r="J9" s="557">
        <v>55</v>
      </c>
      <c r="K9" s="555">
        <v>58</v>
      </c>
      <c r="L9" s="555">
        <v>59</v>
      </c>
      <c r="M9" s="555">
        <v>54</v>
      </c>
      <c r="N9" s="558">
        <v>58</v>
      </c>
      <c r="O9" s="575">
        <f t="shared" si="1"/>
        <v>226</v>
      </c>
      <c r="P9" s="557">
        <v>55</v>
      </c>
      <c r="Q9" s="555">
        <v>36</v>
      </c>
      <c r="R9" s="555">
        <v>57</v>
      </c>
      <c r="S9" s="555">
        <v>36</v>
      </c>
      <c r="T9" s="555">
        <v>59</v>
      </c>
      <c r="U9" s="555">
        <v>37</v>
      </c>
      <c r="V9" s="555">
        <v>58</v>
      </c>
      <c r="W9" s="555">
        <v>38</v>
      </c>
      <c r="X9" s="555">
        <v>58</v>
      </c>
      <c r="Y9" s="555">
        <v>38</v>
      </c>
      <c r="Z9" s="942">
        <f t="shared" si="2"/>
        <v>472</v>
      </c>
      <c r="AA9" s="548" t="s">
        <v>1253</v>
      </c>
      <c r="AB9" s="944">
        <f t="shared" si="0"/>
        <v>94.4</v>
      </c>
      <c r="AC9" s="548">
        <f t="shared" si="3"/>
        <v>9</v>
      </c>
    </row>
    <row r="10" spans="1:29" s="556" customFormat="1" ht="15">
      <c r="A10" s="547">
        <v>106</v>
      </c>
      <c r="B10" s="548" t="s">
        <v>1187</v>
      </c>
      <c r="C10" s="548" t="s">
        <v>1188</v>
      </c>
      <c r="D10" s="548" t="s">
        <v>1189</v>
      </c>
      <c r="E10" s="549" t="s">
        <v>1190</v>
      </c>
      <c r="F10" s="550">
        <v>316521320</v>
      </c>
      <c r="G10" s="547">
        <v>1385</v>
      </c>
      <c r="H10" s="550" t="s">
        <v>2242</v>
      </c>
      <c r="I10" s="551" t="s">
        <v>2059</v>
      </c>
      <c r="J10" s="557">
        <v>59</v>
      </c>
      <c r="K10" s="555">
        <v>53</v>
      </c>
      <c r="L10" s="555">
        <v>52</v>
      </c>
      <c r="M10" s="555">
        <v>53</v>
      </c>
      <c r="N10" s="558">
        <v>54</v>
      </c>
      <c r="O10" s="575">
        <f t="shared" si="1"/>
        <v>217</v>
      </c>
      <c r="P10" s="557">
        <v>57</v>
      </c>
      <c r="Q10" s="555">
        <v>39</v>
      </c>
      <c r="R10" s="555">
        <v>54</v>
      </c>
      <c r="S10" s="555">
        <v>37</v>
      </c>
      <c r="T10" s="555">
        <v>57</v>
      </c>
      <c r="U10" s="555">
        <v>36</v>
      </c>
      <c r="V10" s="555">
        <v>43</v>
      </c>
      <c r="W10" s="555">
        <v>34</v>
      </c>
      <c r="X10" s="555">
        <v>54</v>
      </c>
      <c r="Y10" s="555">
        <v>35</v>
      </c>
      <c r="Z10" s="942">
        <f t="shared" si="2"/>
        <v>446</v>
      </c>
      <c r="AA10" s="548" t="s">
        <v>1396</v>
      </c>
      <c r="AB10" s="944">
        <f t="shared" si="0"/>
        <v>89.2</v>
      </c>
      <c r="AC10" s="548">
        <f t="shared" si="3"/>
        <v>40</v>
      </c>
    </row>
    <row r="11" spans="1:29" s="556" customFormat="1" ht="15">
      <c r="A11" s="547">
        <v>107</v>
      </c>
      <c r="B11" s="548" t="s">
        <v>1216</v>
      </c>
      <c r="C11" s="548" t="s">
        <v>1659</v>
      </c>
      <c r="D11" s="548" t="s">
        <v>973</v>
      </c>
      <c r="E11" s="549" t="s">
        <v>1217</v>
      </c>
      <c r="F11" s="550">
        <v>313842198</v>
      </c>
      <c r="G11" s="547">
        <v>1607</v>
      </c>
      <c r="H11" s="550" t="s">
        <v>2242</v>
      </c>
      <c r="I11" s="551" t="s">
        <v>2059</v>
      </c>
      <c r="J11" s="557">
        <v>57</v>
      </c>
      <c r="K11" s="555">
        <v>56</v>
      </c>
      <c r="L11" s="555">
        <v>53</v>
      </c>
      <c r="M11" s="555">
        <v>59</v>
      </c>
      <c r="N11" s="558">
        <v>56</v>
      </c>
      <c r="O11" s="575">
        <f t="shared" si="1"/>
        <v>225</v>
      </c>
      <c r="P11" s="557">
        <v>57</v>
      </c>
      <c r="Q11" s="555">
        <v>38</v>
      </c>
      <c r="R11" s="555">
        <v>57</v>
      </c>
      <c r="S11" s="555">
        <v>38</v>
      </c>
      <c r="T11" s="555">
        <v>58</v>
      </c>
      <c r="U11" s="555">
        <v>37</v>
      </c>
      <c r="V11" s="555">
        <v>58</v>
      </c>
      <c r="W11" s="555">
        <v>39</v>
      </c>
      <c r="X11" s="555">
        <v>56</v>
      </c>
      <c r="Y11" s="555">
        <v>35</v>
      </c>
      <c r="Z11" s="942">
        <f t="shared" si="2"/>
        <v>473</v>
      </c>
      <c r="AA11" s="548" t="s">
        <v>2272</v>
      </c>
      <c r="AB11" s="944">
        <f t="shared" si="0"/>
        <v>94.6</v>
      </c>
      <c r="AC11" s="548">
        <f t="shared" si="3"/>
        <v>8</v>
      </c>
    </row>
    <row r="12" spans="1:29" s="556" customFormat="1" ht="15">
      <c r="A12" s="547">
        <v>108</v>
      </c>
      <c r="B12" s="548" t="s">
        <v>1191</v>
      </c>
      <c r="C12" s="548" t="s">
        <v>3291</v>
      </c>
      <c r="D12" s="548" t="s">
        <v>488</v>
      </c>
      <c r="E12" s="549" t="s">
        <v>1192</v>
      </c>
      <c r="F12" s="550">
        <v>316953832</v>
      </c>
      <c r="G12" s="547">
        <v>1307</v>
      </c>
      <c r="H12" s="550" t="s">
        <v>2242</v>
      </c>
      <c r="I12" s="551" t="s">
        <v>2059</v>
      </c>
      <c r="J12" s="557">
        <v>56</v>
      </c>
      <c r="K12" s="555">
        <v>52</v>
      </c>
      <c r="L12" s="555">
        <v>57</v>
      </c>
      <c r="M12" s="555">
        <v>53</v>
      </c>
      <c r="N12" s="558">
        <v>57</v>
      </c>
      <c r="O12" s="575">
        <f t="shared" si="1"/>
        <v>218</v>
      </c>
      <c r="P12" s="557">
        <v>54</v>
      </c>
      <c r="Q12" s="555">
        <v>38</v>
      </c>
      <c r="R12" s="555">
        <v>55</v>
      </c>
      <c r="S12" s="555">
        <v>35</v>
      </c>
      <c r="T12" s="555">
        <v>53</v>
      </c>
      <c r="U12" s="555">
        <v>36</v>
      </c>
      <c r="V12" s="555">
        <v>51</v>
      </c>
      <c r="W12" s="555">
        <v>35</v>
      </c>
      <c r="X12" s="555">
        <v>57</v>
      </c>
      <c r="Y12" s="555">
        <v>35</v>
      </c>
      <c r="Z12" s="942">
        <f t="shared" si="2"/>
        <v>449</v>
      </c>
      <c r="AA12" s="548" t="s">
        <v>1246</v>
      </c>
      <c r="AB12" s="944">
        <f t="shared" si="0"/>
        <v>89.8</v>
      </c>
      <c r="AC12" s="548">
        <f t="shared" si="3"/>
        <v>33</v>
      </c>
    </row>
    <row r="13" spans="1:29" s="556" customFormat="1" ht="15">
      <c r="A13" s="547">
        <v>109</v>
      </c>
      <c r="B13" s="548" t="s">
        <v>1353</v>
      </c>
      <c r="C13" s="548" t="s">
        <v>1354</v>
      </c>
      <c r="D13" s="548" t="s">
        <v>1355</v>
      </c>
      <c r="E13" s="549" t="s">
        <v>1356</v>
      </c>
      <c r="F13" s="550">
        <v>309632593</v>
      </c>
      <c r="G13" s="547">
        <v>1390</v>
      </c>
      <c r="H13" s="550" t="s">
        <v>2242</v>
      </c>
      <c r="I13" s="551" t="s">
        <v>2059</v>
      </c>
      <c r="J13" s="557">
        <v>59</v>
      </c>
      <c r="K13" s="555">
        <v>59</v>
      </c>
      <c r="L13" s="555">
        <v>60</v>
      </c>
      <c r="M13" s="555">
        <v>60</v>
      </c>
      <c r="N13" s="558">
        <v>59</v>
      </c>
      <c r="O13" s="575">
        <f t="shared" si="1"/>
        <v>238</v>
      </c>
      <c r="P13" s="557">
        <v>57</v>
      </c>
      <c r="Q13" s="555">
        <v>38</v>
      </c>
      <c r="R13" s="555">
        <v>58</v>
      </c>
      <c r="S13" s="555">
        <v>39</v>
      </c>
      <c r="T13" s="555">
        <v>58</v>
      </c>
      <c r="U13" s="555">
        <v>38</v>
      </c>
      <c r="V13" s="555">
        <v>56</v>
      </c>
      <c r="W13" s="555">
        <v>38</v>
      </c>
      <c r="X13" s="555">
        <v>59</v>
      </c>
      <c r="Y13" s="555">
        <v>38</v>
      </c>
      <c r="Z13" s="942">
        <f t="shared" si="2"/>
        <v>479</v>
      </c>
      <c r="AA13" s="548" t="s">
        <v>1249</v>
      </c>
      <c r="AB13" s="944">
        <f t="shared" si="0"/>
        <v>95.8</v>
      </c>
      <c r="AC13" s="548">
        <f t="shared" si="3"/>
        <v>4</v>
      </c>
    </row>
    <row r="14" spans="1:29" s="556" customFormat="1" ht="15">
      <c r="A14" s="547">
        <v>110</v>
      </c>
      <c r="B14" s="548" t="s">
        <v>1193</v>
      </c>
      <c r="C14" s="548" t="s">
        <v>1194</v>
      </c>
      <c r="D14" s="548" t="s">
        <v>1195</v>
      </c>
      <c r="E14" s="549" t="s">
        <v>1196</v>
      </c>
      <c r="F14" s="550">
        <v>309844407</v>
      </c>
      <c r="G14" s="547">
        <v>1334</v>
      </c>
      <c r="H14" s="550" t="s">
        <v>2242</v>
      </c>
      <c r="I14" s="551" t="s">
        <v>2059</v>
      </c>
      <c r="J14" s="557">
        <v>59</v>
      </c>
      <c r="K14" s="555">
        <v>57</v>
      </c>
      <c r="L14" s="555">
        <v>59</v>
      </c>
      <c r="M14" s="555">
        <v>59</v>
      </c>
      <c r="N14" s="558">
        <v>59</v>
      </c>
      <c r="O14" s="575">
        <f t="shared" si="1"/>
        <v>234</v>
      </c>
      <c r="P14" s="557">
        <v>59</v>
      </c>
      <c r="Q14" s="555">
        <v>39</v>
      </c>
      <c r="R14" s="555">
        <v>58</v>
      </c>
      <c r="S14" s="555">
        <v>38</v>
      </c>
      <c r="T14" s="555">
        <v>57</v>
      </c>
      <c r="U14" s="555">
        <v>37</v>
      </c>
      <c r="V14" s="555">
        <v>59</v>
      </c>
      <c r="W14" s="555">
        <v>39</v>
      </c>
      <c r="X14" s="555">
        <v>59</v>
      </c>
      <c r="Y14" s="555">
        <v>38</v>
      </c>
      <c r="Z14" s="942">
        <f t="shared" si="2"/>
        <v>483</v>
      </c>
      <c r="AA14" s="945" t="s">
        <v>1400</v>
      </c>
      <c r="AB14" s="944">
        <f t="shared" si="0"/>
        <v>96.6</v>
      </c>
      <c r="AC14" s="548">
        <f t="shared" si="3"/>
        <v>2</v>
      </c>
    </row>
    <row r="15" spans="1:29" s="556" customFormat="1" ht="15">
      <c r="A15" s="547">
        <v>111</v>
      </c>
      <c r="B15" s="548" t="s">
        <v>1218</v>
      </c>
      <c r="C15" s="548" t="s">
        <v>1660</v>
      </c>
      <c r="D15" s="548" t="s">
        <v>1219</v>
      </c>
      <c r="E15" s="549" t="s">
        <v>1220</v>
      </c>
      <c r="F15" s="550">
        <v>311177559</v>
      </c>
      <c r="G15" s="547">
        <v>1609</v>
      </c>
      <c r="H15" s="550" t="s">
        <v>2242</v>
      </c>
      <c r="I15" s="551" t="s">
        <v>2059</v>
      </c>
      <c r="J15" s="557">
        <v>60</v>
      </c>
      <c r="K15" s="555">
        <v>55</v>
      </c>
      <c r="L15" s="555">
        <v>55</v>
      </c>
      <c r="M15" s="555">
        <v>58</v>
      </c>
      <c r="N15" s="558">
        <v>56</v>
      </c>
      <c r="O15" s="575">
        <f t="shared" si="1"/>
        <v>228</v>
      </c>
      <c r="P15" s="557">
        <v>55</v>
      </c>
      <c r="Q15" s="555">
        <v>37</v>
      </c>
      <c r="R15" s="555">
        <v>56</v>
      </c>
      <c r="S15" s="555">
        <v>36</v>
      </c>
      <c r="T15" s="555">
        <v>58</v>
      </c>
      <c r="U15" s="555">
        <v>35</v>
      </c>
      <c r="V15" s="555">
        <v>56</v>
      </c>
      <c r="W15" s="555">
        <v>38</v>
      </c>
      <c r="X15" s="555">
        <v>56</v>
      </c>
      <c r="Y15" s="555">
        <v>36</v>
      </c>
      <c r="Z15" s="942">
        <f t="shared" si="2"/>
        <v>463</v>
      </c>
      <c r="AA15" s="548" t="s">
        <v>1349</v>
      </c>
      <c r="AB15" s="944">
        <f t="shared" si="0"/>
        <v>92.6</v>
      </c>
      <c r="AC15" s="548">
        <f t="shared" si="3"/>
        <v>10</v>
      </c>
    </row>
    <row r="16" spans="1:29" s="556" customFormat="1" ht="15">
      <c r="A16" s="547">
        <v>112</v>
      </c>
      <c r="B16" s="548" t="s">
        <v>58</v>
      </c>
      <c r="C16" s="548" t="s">
        <v>1358</v>
      </c>
      <c r="D16" s="548" t="s">
        <v>1337</v>
      </c>
      <c r="E16" s="549" t="s">
        <v>1359</v>
      </c>
      <c r="F16" s="550">
        <v>313812085</v>
      </c>
      <c r="G16" s="547">
        <v>1359</v>
      </c>
      <c r="H16" s="550" t="s">
        <v>2242</v>
      </c>
      <c r="I16" s="551" t="s">
        <v>2059</v>
      </c>
      <c r="J16" s="557">
        <v>60</v>
      </c>
      <c r="K16" s="555">
        <v>59</v>
      </c>
      <c r="L16" s="555">
        <v>60</v>
      </c>
      <c r="M16" s="555">
        <v>60</v>
      </c>
      <c r="N16" s="558">
        <v>57</v>
      </c>
      <c r="O16" s="575">
        <f t="shared" si="1"/>
        <v>239</v>
      </c>
      <c r="P16" s="557">
        <v>58</v>
      </c>
      <c r="Q16" s="555">
        <v>39</v>
      </c>
      <c r="R16" s="555">
        <v>58</v>
      </c>
      <c r="S16" s="555">
        <v>38</v>
      </c>
      <c r="T16" s="555">
        <v>59</v>
      </c>
      <c r="U16" s="555">
        <v>37</v>
      </c>
      <c r="V16" s="555">
        <v>57</v>
      </c>
      <c r="W16" s="555">
        <v>38</v>
      </c>
      <c r="X16" s="555">
        <v>57</v>
      </c>
      <c r="Y16" s="555">
        <v>36</v>
      </c>
      <c r="Z16" s="942">
        <f t="shared" si="2"/>
        <v>477</v>
      </c>
      <c r="AA16" s="548" t="s">
        <v>380</v>
      </c>
      <c r="AB16" s="944">
        <f t="shared" si="0"/>
        <v>95.4</v>
      </c>
      <c r="AC16" s="548">
        <f t="shared" si="3"/>
        <v>4</v>
      </c>
    </row>
    <row r="17" spans="1:29" s="556" customFormat="1" ht="15">
      <c r="A17" s="547">
        <v>113</v>
      </c>
      <c r="B17" s="548" t="s">
        <v>1228</v>
      </c>
      <c r="C17" s="548" t="s">
        <v>1229</v>
      </c>
      <c r="D17" s="548" t="s">
        <v>1230</v>
      </c>
      <c r="E17" s="549" t="s">
        <v>1211</v>
      </c>
      <c r="F17" s="550">
        <v>310873887</v>
      </c>
      <c r="G17" s="547">
        <v>1649</v>
      </c>
      <c r="H17" s="550" t="s">
        <v>2242</v>
      </c>
      <c r="I17" s="551" t="s">
        <v>2059</v>
      </c>
      <c r="J17" s="557">
        <v>57</v>
      </c>
      <c r="K17" s="555">
        <v>59</v>
      </c>
      <c r="L17" s="555">
        <v>58</v>
      </c>
      <c r="M17" s="555">
        <v>57</v>
      </c>
      <c r="N17" s="558">
        <v>56</v>
      </c>
      <c r="O17" s="575">
        <f t="shared" si="1"/>
        <v>231</v>
      </c>
      <c r="P17" s="557">
        <v>55</v>
      </c>
      <c r="Q17" s="555">
        <v>38</v>
      </c>
      <c r="R17" s="555">
        <v>57</v>
      </c>
      <c r="S17" s="555">
        <v>37</v>
      </c>
      <c r="T17" s="555">
        <v>58</v>
      </c>
      <c r="U17" s="555">
        <v>39</v>
      </c>
      <c r="V17" s="555">
        <v>56</v>
      </c>
      <c r="W17" s="555">
        <v>36</v>
      </c>
      <c r="X17" s="555">
        <v>56</v>
      </c>
      <c r="Y17" s="555">
        <v>36</v>
      </c>
      <c r="Z17" s="942">
        <f t="shared" si="2"/>
        <v>468</v>
      </c>
      <c r="AA17" s="548" t="s">
        <v>1327</v>
      </c>
      <c r="AB17" s="944">
        <f t="shared" si="0"/>
        <v>93.6</v>
      </c>
      <c r="AC17" s="548">
        <f t="shared" si="3"/>
        <v>8</v>
      </c>
    </row>
    <row r="18" spans="1:29" s="556" customFormat="1" ht="15">
      <c r="A18" s="547">
        <v>114</v>
      </c>
      <c r="B18" s="548" t="s">
        <v>1197</v>
      </c>
      <c r="C18" s="548" t="s">
        <v>1259</v>
      </c>
      <c r="D18" s="548" t="s">
        <v>1198</v>
      </c>
      <c r="E18" s="549" t="s">
        <v>1199</v>
      </c>
      <c r="F18" s="550">
        <v>313429846</v>
      </c>
      <c r="G18" s="547">
        <v>1336</v>
      </c>
      <c r="H18" s="550" t="s">
        <v>2242</v>
      </c>
      <c r="I18" s="551" t="s">
        <v>2059</v>
      </c>
      <c r="J18" s="557">
        <v>58</v>
      </c>
      <c r="K18" s="555">
        <v>55</v>
      </c>
      <c r="L18" s="555">
        <v>58</v>
      </c>
      <c r="M18" s="555">
        <v>57</v>
      </c>
      <c r="N18" s="558">
        <v>58</v>
      </c>
      <c r="O18" s="575">
        <f t="shared" si="1"/>
        <v>228</v>
      </c>
      <c r="P18" s="557">
        <v>59</v>
      </c>
      <c r="Q18" s="555">
        <v>38</v>
      </c>
      <c r="R18" s="555">
        <v>58</v>
      </c>
      <c r="S18" s="555">
        <v>39</v>
      </c>
      <c r="T18" s="555">
        <v>58</v>
      </c>
      <c r="U18" s="555">
        <v>38</v>
      </c>
      <c r="V18" s="555">
        <v>59</v>
      </c>
      <c r="W18" s="555">
        <v>37</v>
      </c>
      <c r="X18" s="560">
        <v>56</v>
      </c>
      <c r="Y18" s="581">
        <v>37</v>
      </c>
      <c r="Z18" s="942">
        <f t="shared" si="2"/>
        <v>479</v>
      </c>
      <c r="AA18" s="548" t="s">
        <v>1187</v>
      </c>
      <c r="AB18" s="944">
        <f t="shared" si="0"/>
        <v>95.8</v>
      </c>
      <c r="AC18" s="548">
        <f t="shared" si="3"/>
        <v>3</v>
      </c>
    </row>
    <row r="19" spans="1:29" s="556" customFormat="1" ht="15">
      <c r="A19" s="547">
        <v>115</v>
      </c>
      <c r="B19" s="548" t="s">
        <v>2238</v>
      </c>
      <c r="C19" s="548" t="s">
        <v>2239</v>
      </c>
      <c r="D19" s="548" t="s">
        <v>2240</v>
      </c>
      <c r="E19" s="547" t="s">
        <v>2241</v>
      </c>
      <c r="F19" s="550">
        <v>311095517</v>
      </c>
      <c r="G19" s="547">
        <v>1304</v>
      </c>
      <c r="H19" s="550" t="s">
        <v>2242</v>
      </c>
      <c r="I19" s="551" t="s">
        <v>2059</v>
      </c>
      <c r="J19" s="557"/>
      <c r="K19" s="555"/>
      <c r="L19" s="555"/>
      <c r="M19" s="555"/>
      <c r="N19" s="558"/>
      <c r="O19" s="575">
        <f t="shared" si="1"/>
        <v>0</v>
      </c>
      <c r="P19" s="557"/>
      <c r="Q19" s="555"/>
      <c r="R19" s="555"/>
      <c r="S19" s="555"/>
      <c r="T19" s="555"/>
      <c r="U19" s="555"/>
      <c r="V19" s="555"/>
      <c r="W19" s="555"/>
      <c r="X19" s="555"/>
      <c r="Y19" s="555"/>
      <c r="Z19" s="942">
        <f t="shared" si="2"/>
        <v>0</v>
      </c>
      <c r="AA19" s="548" t="s">
        <v>1344</v>
      </c>
      <c r="AB19" s="944">
        <f t="shared" si="0"/>
        <v>0</v>
      </c>
      <c r="AC19" s="548">
        <f t="shared" si="3"/>
        <v>97</v>
      </c>
    </row>
    <row r="20" spans="1:29" s="556" customFormat="1" ht="15">
      <c r="A20" s="547">
        <v>116</v>
      </c>
      <c r="B20" s="548" t="s">
        <v>1363</v>
      </c>
      <c r="C20" s="548" t="s">
        <v>3292</v>
      </c>
      <c r="D20" s="548" t="s">
        <v>1364</v>
      </c>
      <c r="E20" s="549" t="s">
        <v>1365</v>
      </c>
      <c r="F20" s="561">
        <v>310084316</v>
      </c>
      <c r="G20" s="547">
        <v>1329</v>
      </c>
      <c r="H20" s="550" t="s">
        <v>2242</v>
      </c>
      <c r="I20" s="551" t="s">
        <v>2059</v>
      </c>
      <c r="J20" s="557">
        <v>60</v>
      </c>
      <c r="K20" s="555">
        <v>55</v>
      </c>
      <c r="L20" s="555">
        <v>55</v>
      </c>
      <c r="M20" s="555">
        <v>56</v>
      </c>
      <c r="N20" s="558">
        <v>58</v>
      </c>
      <c r="O20" s="575">
        <f t="shared" si="1"/>
        <v>226</v>
      </c>
      <c r="P20" s="557">
        <v>57</v>
      </c>
      <c r="Q20" s="555">
        <v>39</v>
      </c>
      <c r="R20" s="555">
        <v>55</v>
      </c>
      <c r="S20" s="555">
        <v>38</v>
      </c>
      <c r="T20" s="555">
        <v>59</v>
      </c>
      <c r="U20" s="555">
        <v>36</v>
      </c>
      <c r="V20" s="555">
        <v>58</v>
      </c>
      <c r="W20" s="555">
        <v>37</v>
      </c>
      <c r="X20" s="555">
        <v>56</v>
      </c>
      <c r="Y20" s="555">
        <v>35</v>
      </c>
      <c r="Z20" s="942">
        <f t="shared" si="2"/>
        <v>470</v>
      </c>
      <c r="AA20" s="548" t="s">
        <v>1244</v>
      </c>
      <c r="AB20" s="944">
        <f t="shared" si="0"/>
        <v>94</v>
      </c>
      <c r="AC20" s="548">
        <f t="shared" si="3"/>
        <v>5</v>
      </c>
    </row>
    <row r="21" spans="1:29" s="556" customFormat="1" ht="15">
      <c r="A21" s="547">
        <v>117</v>
      </c>
      <c r="B21" s="548" t="s">
        <v>1366</v>
      </c>
      <c r="C21" s="548" t="s">
        <v>1368</v>
      </c>
      <c r="D21" s="548" t="s">
        <v>1367</v>
      </c>
      <c r="E21" s="549" t="s">
        <v>1369</v>
      </c>
      <c r="F21" s="550">
        <v>316953935</v>
      </c>
      <c r="G21" s="547">
        <v>1306</v>
      </c>
      <c r="H21" s="550" t="s">
        <v>2242</v>
      </c>
      <c r="I21" s="551" t="s">
        <v>2059</v>
      </c>
      <c r="J21" s="557">
        <v>57</v>
      </c>
      <c r="K21" s="555">
        <v>57</v>
      </c>
      <c r="L21" s="555">
        <v>59</v>
      </c>
      <c r="M21" s="555">
        <v>60</v>
      </c>
      <c r="N21" s="558">
        <v>60</v>
      </c>
      <c r="O21" s="575">
        <f t="shared" si="1"/>
        <v>233</v>
      </c>
      <c r="P21" s="557">
        <v>56</v>
      </c>
      <c r="Q21" s="555">
        <v>38</v>
      </c>
      <c r="R21" s="555">
        <v>55</v>
      </c>
      <c r="S21" s="555">
        <v>37</v>
      </c>
      <c r="T21" s="555">
        <v>58</v>
      </c>
      <c r="U21" s="555">
        <v>39</v>
      </c>
      <c r="V21" s="555">
        <v>57</v>
      </c>
      <c r="W21" s="555">
        <v>39</v>
      </c>
      <c r="X21" s="555">
        <v>56</v>
      </c>
      <c r="Y21" s="555">
        <v>35</v>
      </c>
      <c r="Z21" s="942">
        <f t="shared" si="2"/>
        <v>470</v>
      </c>
      <c r="AA21" s="548" t="s">
        <v>1433</v>
      </c>
      <c r="AB21" s="944">
        <f t="shared" si="0"/>
        <v>94</v>
      </c>
      <c r="AC21" s="548">
        <f t="shared" si="3"/>
        <v>5</v>
      </c>
    </row>
    <row r="22" spans="1:29" s="556" customFormat="1" ht="15">
      <c r="A22" s="547">
        <v>118</v>
      </c>
      <c r="B22" s="548" t="s">
        <v>1390</v>
      </c>
      <c r="C22" s="548" t="s">
        <v>1391</v>
      </c>
      <c r="D22" s="548" t="s">
        <v>1392</v>
      </c>
      <c r="E22" s="549" t="s">
        <v>1393</v>
      </c>
      <c r="F22" s="550">
        <v>312701003</v>
      </c>
      <c r="G22" s="547">
        <v>1554</v>
      </c>
      <c r="H22" s="550" t="s">
        <v>2242</v>
      </c>
      <c r="I22" s="551" t="s">
        <v>2059</v>
      </c>
      <c r="J22" s="557">
        <v>57</v>
      </c>
      <c r="K22" s="555">
        <v>53</v>
      </c>
      <c r="L22" s="555">
        <v>55</v>
      </c>
      <c r="M22" s="555">
        <v>53</v>
      </c>
      <c r="N22" s="558">
        <v>57</v>
      </c>
      <c r="O22" s="575">
        <f t="shared" si="1"/>
        <v>218</v>
      </c>
      <c r="P22" s="582">
        <v>57</v>
      </c>
      <c r="Q22" s="560">
        <v>38</v>
      </c>
      <c r="R22" s="560">
        <v>55</v>
      </c>
      <c r="S22" s="560">
        <v>36</v>
      </c>
      <c r="T22" s="560">
        <v>53</v>
      </c>
      <c r="U22" s="560">
        <v>36</v>
      </c>
      <c r="V22" s="560">
        <v>57</v>
      </c>
      <c r="W22" s="560">
        <v>37</v>
      </c>
      <c r="X22" s="560">
        <v>55</v>
      </c>
      <c r="Y22" s="560">
        <v>35</v>
      </c>
      <c r="Z22" s="942">
        <f t="shared" si="2"/>
        <v>459</v>
      </c>
      <c r="AA22" s="548" t="s">
        <v>1347</v>
      </c>
      <c r="AB22" s="944">
        <f t="shared" si="0"/>
        <v>91.8</v>
      </c>
      <c r="AC22" s="548">
        <f t="shared" si="3"/>
        <v>10</v>
      </c>
    </row>
    <row r="23" spans="1:29" s="556" customFormat="1" ht="15">
      <c r="A23" s="547">
        <v>119</v>
      </c>
      <c r="B23" s="548" t="s">
        <v>1209</v>
      </c>
      <c r="C23" s="548" t="s">
        <v>1238</v>
      </c>
      <c r="D23" s="548" t="s">
        <v>1210</v>
      </c>
      <c r="E23" s="549" t="s">
        <v>1211</v>
      </c>
      <c r="F23" s="550">
        <v>316521195</v>
      </c>
      <c r="G23" s="547">
        <v>1489</v>
      </c>
      <c r="H23" s="550" t="s">
        <v>2242</v>
      </c>
      <c r="I23" s="551" t="s">
        <v>2059</v>
      </c>
      <c r="J23" s="557">
        <v>59</v>
      </c>
      <c r="K23" s="555">
        <v>54</v>
      </c>
      <c r="L23" s="555">
        <v>59</v>
      </c>
      <c r="M23" s="555">
        <v>59</v>
      </c>
      <c r="N23" s="558">
        <v>58</v>
      </c>
      <c r="O23" s="575">
        <f t="shared" si="1"/>
        <v>231</v>
      </c>
      <c r="P23" s="557">
        <v>55</v>
      </c>
      <c r="Q23" s="555">
        <v>38</v>
      </c>
      <c r="R23" s="555">
        <v>53</v>
      </c>
      <c r="S23" s="555">
        <v>36</v>
      </c>
      <c r="T23" s="555">
        <v>57</v>
      </c>
      <c r="U23" s="555">
        <v>35</v>
      </c>
      <c r="V23" s="555">
        <v>58</v>
      </c>
      <c r="W23" s="555">
        <v>39</v>
      </c>
      <c r="X23" s="555">
        <v>53</v>
      </c>
      <c r="Y23" s="555">
        <v>33</v>
      </c>
      <c r="Z23" s="942">
        <f t="shared" si="2"/>
        <v>457</v>
      </c>
      <c r="AA23" s="548" t="s">
        <v>1338</v>
      </c>
      <c r="AB23" s="944">
        <f t="shared" si="0"/>
        <v>91.4</v>
      </c>
      <c r="AC23" s="548">
        <f t="shared" si="3"/>
        <v>14</v>
      </c>
    </row>
    <row r="24" spans="1:29" s="556" customFormat="1" ht="15">
      <c r="A24" s="854">
        <v>120</v>
      </c>
      <c r="B24" s="548" t="s">
        <v>1386</v>
      </c>
      <c r="C24" s="548" t="s">
        <v>1669</v>
      </c>
      <c r="D24" s="548" t="s">
        <v>3486</v>
      </c>
      <c r="E24" s="549" t="s">
        <v>717</v>
      </c>
      <c r="F24" s="550">
        <v>313276031</v>
      </c>
      <c r="G24" s="547">
        <v>1513</v>
      </c>
      <c r="H24" s="550" t="s">
        <v>2242</v>
      </c>
      <c r="I24" s="551" t="s">
        <v>2059</v>
      </c>
      <c r="J24" s="557">
        <v>57</v>
      </c>
      <c r="K24" s="555">
        <v>53</v>
      </c>
      <c r="L24" s="555">
        <v>55</v>
      </c>
      <c r="M24" s="555">
        <v>56</v>
      </c>
      <c r="N24" s="558">
        <v>54</v>
      </c>
      <c r="O24" s="575">
        <f t="shared" si="1"/>
        <v>221</v>
      </c>
      <c r="P24" s="557">
        <v>53</v>
      </c>
      <c r="Q24" s="555">
        <v>36</v>
      </c>
      <c r="R24" s="555">
        <v>51</v>
      </c>
      <c r="S24" s="555">
        <v>35</v>
      </c>
      <c r="T24" s="555">
        <v>58</v>
      </c>
      <c r="U24" s="555">
        <v>37</v>
      </c>
      <c r="V24" s="555">
        <v>50</v>
      </c>
      <c r="W24" s="555">
        <v>36</v>
      </c>
      <c r="X24" s="555">
        <v>54</v>
      </c>
      <c r="Y24" s="555">
        <v>33</v>
      </c>
      <c r="Z24" s="942">
        <f t="shared" si="2"/>
        <v>443</v>
      </c>
      <c r="AA24" s="548" t="s">
        <v>3272</v>
      </c>
      <c r="AB24" s="944">
        <f t="shared" si="0"/>
        <v>88.6</v>
      </c>
      <c r="AC24" s="548">
        <f t="shared" si="3"/>
        <v>32</v>
      </c>
    </row>
    <row r="25" spans="1:29" s="556" customFormat="1" ht="15">
      <c r="A25" s="547">
        <v>121</v>
      </c>
      <c r="B25" s="548" t="s">
        <v>1203</v>
      </c>
      <c r="C25" s="548" t="s">
        <v>1661</v>
      </c>
      <c r="D25" s="548" t="s">
        <v>3293</v>
      </c>
      <c r="E25" s="549" t="s">
        <v>1204</v>
      </c>
      <c r="F25" s="550">
        <v>312029278</v>
      </c>
      <c r="G25" s="547">
        <v>1318</v>
      </c>
      <c r="H25" s="550" t="s">
        <v>2242</v>
      </c>
      <c r="I25" s="551" t="s">
        <v>2059</v>
      </c>
      <c r="J25" s="557">
        <v>57</v>
      </c>
      <c r="K25" s="555">
        <v>54</v>
      </c>
      <c r="L25" s="555">
        <v>54</v>
      </c>
      <c r="M25" s="555">
        <v>50</v>
      </c>
      <c r="N25" s="558">
        <v>60</v>
      </c>
      <c r="O25" s="575">
        <f t="shared" si="1"/>
        <v>215</v>
      </c>
      <c r="P25" s="557">
        <v>57</v>
      </c>
      <c r="Q25" s="555">
        <v>38</v>
      </c>
      <c r="R25" s="555">
        <v>50</v>
      </c>
      <c r="S25" s="555">
        <v>36</v>
      </c>
      <c r="T25" s="555">
        <v>58</v>
      </c>
      <c r="U25" s="555">
        <v>35</v>
      </c>
      <c r="V25" s="555">
        <v>49</v>
      </c>
      <c r="W25" s="555">
        <v>37</v>
      </c>
      <c r="X25" s="555">
        <v>53</v>
      </c>
      <c r="Y25" s="555">
        <v>33</v>
      </c>
      <c r="Z25" s="942">
        <f t="shared" si="2"/>
        <v>446</v>
      </c>
      <c r="AA25" s="548" t="s">
        <v>2246</v>
      </c>
      <c r="AB25" s="944">
        <f t="shared" si="0"/>
        <v>89.2</v>
      </c>
      <c r="AC25" s="548">
        <f t="shared" si="3"/>
        <v>28</v>
      </c>
    </row>
    <row r="26" spans="1:29" s="556" customFormat="1" ht="15">
      <c r="A26" s="547">
        <v>122</v>
      </c>
      <c r="B26" s="548" t="s">
        <v>1205</v>
      </c>
      <c r="C26" s="548" t="s">
        <v>1307</v>
      </c>
      <c r="D26" s="548" t="s">
        <v>1206</v>
      </c>
      <c r="E26" s="549" t="s">
        <v>1094</v>
      </c>
      <c r="F26" s="562">
        <v>316364056</v>
      </c>
      <c r="G26" s="547">
        <v>1321</v>
      </c>
      <c r="H26" s="550" t="s">
        <v>2242</v>
      </c>
      <c r="I26" s="551" t="s">
        <v>2059</v>
      </c>
      <c r="J26" s="557">
        <v>55</v>
      </c>
      <c r="K26" s="555">
        <v>57</v>
      </c>
      <c r="L26" s="555">
        <v>54</v>
      </c>
      <c r="M26" s="555">
        <v>57</v>
      </c>
      <c r="N26" s="558">
        <v>59</v>
      </c>
      <c r="O26" s="575">
        <f t="shared" si="1"/>
        <v>223</v>
      </c>
      <c r="P26" s="557">
        <v>52</v>
      </c>
      <c r="Q26" s="555">
        <v>35</v>
      </c>
      <c r="R26" s="555">
        <v>48</v>
      </c>
      <c r="S26" s="555">
        <v>36</v>
      </c>
      <c r="T26" s="555">
        <v>57</v>
      </c>
      <c r="U26" s="555">
        <v>37</v>
      </c>
      <c r="V26" s="555">
        <v>48</v>
      </c>
      <c r="W26" s="555">
        <v>35</v>
      </c>
      <c r="X26" s="555">
        <v>52</v>
      </c>
      <c r="Y26" s="555">
        <v>34</v>
      </c>
      <c r="Z26" s="942">
        <f t="shared" si="2"/>
        <v>434</v>
      </c>
      <c r="AA26" s="548" t="s">
        <v>1118</v>
      </c>
      <c r="AB26" s="944">
        <f t="shared" si="0"/>
        <v>86.8</v>
      </c>
      <c r="AC26" s="548">
        <f t="shared" si="3"/>
        <v>47</v>
      </c>
    </row>
    <row r="27" spans="1:29" s="556" customFormat="1" ht="15">
      <c r="A27" s="547">
        <v>123</v>
      </c>
      <c r="B27" s="548" t="s">
        <v>1374</v>
      </c>
      <c r="C27" s="548" t="s">
        <v>235</v>
      </c>
      <c r="D27" s="548" t="s">
        <v>236</v>
      </c>
      <c r="E27" s="549" t="s">
        <v>873</v>
      </c>
      <c r="F27" s="550">
        <v>311630044</v>
      </c>
      <c r="G27" s="547">
        <v>1330</v>
      </c>
      <c r="H27" s="550" t="s">
        <v>2242</v>
      </c>
      <c r="I27" s="551" t="s">
        <v>2059</v>
      </c>
      <c r="J27" s="557">
        <v>60</v>
      </c>
      <c r="K27" s="555">
        <v>58</v>
      </c>
      <c r="L27" s="555">
        <v>58</v>
      </c>
      <c r="M27" s="555">
        <v>56</v>
      </c>
      <c r="N27" s="558">
        <v>57</v>
      </c>
      <c r="O27" s="575">
        <f t="shared" si="1"/>
        <v>232</v>
      </c>
      <c r="P27" s="557">
        <v>55</v>
      </c>
      <c r="Q27" s="555">
        <v>39</v>
      </c>
      <c r="R27" s="555">
        <v>56</v>
      </c>
      <c r="S27" s="555">
        <v>37</v>
      </c>
      <c r="T27" s="555">
        <v>54</v>
      </c>
      <c r="U27" s="555">
        <v>36</v>
      </c>
      <c r="V27" s="555">
        <v>53</v>
      </c>
      <c r="W27" s="555">
        <v>37</v>
      </c>
      <c r="X27" s="555">
        <v>52</v>
      </c>
      <c r="Y27" s="555">
        <v>33</v>
      </c>
      <c r="Z27" s="942">
        <f t="shared" si="2"/>
        <v>452</v>
      </c>
      <c r="AA27" s="548" t="s">
        <v>1183</v>
      </c>
      <c r="AB27" s="944">
        <f t="shared" si="0"/>
        <v>90.4</v>
      </c>
      <c r="AC27" s="548">
        <f t="shared" si="3"/>
        <v>20</v>
      </c>
    </row>
    <row r="28" spans="1:29" s="556" customFormat="1" ht="15">
      <c r="A28" s="547">
        <v>124</v>
      </c>
      <c r="B28" s="548" t="s">
        <v>1375</v>
      </c>
      <c r="C28" s="548" t="s">
        <v>1376</v>
      </c>
      <c r="D28" s="548" t="s">
        <v>378</v>
      </c>
      <c r="E28" s="549" t="s">
        <v>1377</v>
      </c>
      <c r="F28" s="550">
        <v>318751988</v>
      </c>
      <c r="G28" s="547">
        <v>1367</v>
      </c>
      <c r="H28" s="550" t="s">
        <v>2242</v>
      </c>
      <c r="I28" s="551" t="s">
        <v>2059</v>
      </c>
      <c r="J28" s="557">
        <v>59</v>
      </c>
      <c r="K28" s="555">
        <v>51</v>
      </c>
      <c r="L28" s="555">
        <v>45</v>
      </c>
      <c r="M28" s="555">
        <v>48</v>
      </c>
      <c r="N28" s="558">
        <v>58</v>
      </c>
      <c r="O28" s="575">
        <f t="shared" si="1"/>
        <v>203</v>
      </c>
      <c r="P28" s="557">
        <v>55</v>
      </c>
      <c r="Q28" s="555">
        <v>38</v>
      </c>
      <c r="R28" s="555">
        <v>55</v>
      </c>
      <c r="S28" s="555">
        <v>36</v>
      </c>
      <c r="T28" s="555">
        <v>57</v>
      </c>
      <c r="U28" s="555">
        <v>35</v>
      </c>
      <c r="V28" s="555">
        <v>53</v>
      </c>
      <c r="W28" s="555">
        <v>36</v>
      </c>
      <c r="X28" s="555">
        <v>51</v>
      </c>
      <c r="Y28" s="555">
        <v>32</v>
      </c>
      <c r="Z28" s="942">
        <f t="shared" si="2"/>
        <v>448</v>
      </c>
      <c r="AA28" s="548" t="s">
        <v>983</v>
      </c>
      <c r="AB28" s="944">
        <f t="shared" si="0"/>
        <v>89.6</v>
      </c>
      <c r="AC28" s="548">
        <f t="shared" si="3"/>
        <v>22</v>
      </c>
    </row>
    <row r="29" spans="1:29" s="556" customFormat="1" ht="15">
      <c r="A29" s="547">
        <v>125</v>
      </c>
      <c r="B29" s="548" t="s">
        <v>1378</v>
      </c>
      <c r="C29" s="548" t="s">
        <v>1670</v>
      </c>
      <c r="D29" s="548" t="s">
        <v>1379</v>
      </c>
      <c r="E29" s="549" t="s">
        <v>1380</v>
      </c>
      <c r="F29" s="550">
        <v>310879260</v>
      </c>
      <c r="G29" s="547">
        <v>1378</v>
      </c>
      <c r="H29" s="550" t="s">
        <v>2242</v>
      </c>
      <c r="I29" s="551" t="s">
        <v>2059</v>
      </c>
      <c r="J29" s="557">
        <v>50</v>
      </c>
      <c r="K29" s="555">
        <v>52</v>
      </c>
      <c r="L29" s="555">
        <v>52</v>
      </c>
      <c r="M29" s="555">
        <v>54</v>
      </c>
      <c r="N29" s="558">
        <v>58</v>
      </c>
      <c r="O29" s="575">
        <f t="shared" si="1"/>
        <v>208</v>
      </c>
      <c r="P29" s="557">
        <v>56</v>
      </c>
      <c r="Q29" s="555">
        <v>36</v>
      </c>
      <c r="R29" s="555">
        <v>53</v>
      </c>
      <c r="S29" s="555">
        <v>35</v>
      </c>
      <c r="T29" s="555">
        <v>56</v>
      </c>
      <c r="U29" s="555">
        <v>37</v>
      </c>
      <c r="V29" s="555">
        <v>51</v>
      </c>
      <c r="W29" s="555">
        <v>38</v>
      </c>
      <c r="X29" s="555">
        <v>49</v>
      </c>
      <c r="Y29" s="555">
        <v>32</v>
      </c>
      <c r="Z29" s="942">
        <f t="shared" si="2"/>
        <v>443</v>
      </c>
      <c r="AA29" s="548" t="s">
        <v>1315</v>
      </c>
      <c r="AB29" s="944">
        <f t="shared" si="0"/>
        <v>88.6</v>
      </c>
      <c r="AC29" s="548">
        <f t="shared" si="3"/>
        <v>29</v>
      </c>
    </row>
    <row r="30" spans="1:29" s="556" customFormat="1" ht="15">
      <c r="A30" s="854">
        <v>126</v>
      </c>
      <c r="B30" s="548" t="s">
        <v>1382</v>
      </c>
      <c r="C30" s="548" t="s">
        <v>1383</v>
      </c>
      <c r="D30" s="548" t="s">
        <v>1384</v>
      </c>
      <c r="E30" s="549" t="s">
        <v>1385</v>
      </c>
      <c r="F30" s="550">
        <v>314190601</v>
      </c>
      <c r="G30" s="547">
        <v>1453</v>
      </c>
      <c r="H30" s="550" t="s">
        <v>2242</v>
      </c>
      <c r="I30" s="551" t="s">
        <v>2059</v>
      </c>
      <c r="J30" s="557">
        <v>56</v>
      </c>
      <c r="K30" s="555">
        <v>53</v>
      </c>
      <c r="L30" s="555">
        <v>59</v>
      </c>
      <c r="M30" s="555">
        <v>52</v>
      </c>
      <c r="N30" s="558">
        <v>57</v>
      </c>
      <c r="O30" s="575">
        <f t="shared" si="1"/>
        <v>220</v>
      </c>
      <c r="P30" s="557">
        <v>55</v>
      </c>
      <c r="Q30" s="555">
        <v>38</v>
      </c>
      <c r="R30" s="555">
        <v>48</v>
      </c>
      <c r="S30" s="555">
        <v>37</v>
      </c>
      <c r="T30" s="555">
        <v>59</v>
      </c>
      <c r="U30" s="555">
        <v>36</v>
      </c>
      <c r="V30" s="555">
        <v>48</v>
      </c>
      <c r="W30" s="555">
        <v>36</v>
      </c>
      <c r="X30" s="555">
        <v>49</v>
      </c>
      <c r="Y30" s="555">
        <v>32</v>
      </c>
      <c r="Z30" s="942">
        <f t="shared" si="2"/>
        <v>438</v>
      </c>
      <c r="AA30" s="548" t="s">
        <v>3283</v>
      </c>
      <c r="AB30" s="944">
        <f t="shared" si="0"/>
        <v>87.6</v>
      </c>
      <c r="AC30" s="548">
        <f t="shared" si="3"/>
        <v>38</v>
      </c>
    </row>
    <row r="31" spans="1:29" s="556" customFormat="1" ht="15">
      <c r="A31" s="547">
        <v>127</v>
      </c>
      <c r="B31" s="548" t="s">
        <v>1381</v>
      </c>
      <c r="C31" s="548" t="s">
        <v>1671</v>
      </c>
      <c r="D31" s="548" t="s">
        <v>1672</v>
      </c>
      <c r="E31" s="549" t="s">
        <v>744</v>
      </c>
      <c r="F31" s="550">
        <v>316953865</v>
      </c>
      <c r="G31" s="547">
        <v>1450</v>
      </c>
      <c r="H31" s="550" t="s">
        <v>2242</v>
      </c>
      <c r="I31" s="551" t="s">
        <v>2059</v>
      </c>
      <c r="J31" s="557">
        <v>55</v>
      </c>
      <c r="K31" s="555">
        <v>51</v>
      </c>
      <c r="L31" s="555">
        <v>54</v>
      </c>
      <c r="M31" s="555">
        <v>60</v>
      </c>
      <c r="N31" s="558">
        <v>57</v>
      </c>
      <c r="O31" s="575">
        <f t="shared" si="1"/>
        <v>220</v>
      </c>
      <c r="P31" s="557">
        <v>51</v>
      </c>
      <c r="Q31" s="555">
        <v>38</v>
      </c>
      <c r="R31" s="555">
        <v>43</v>
      </c>
      <c r="S31" s="555">
        <v>37</v>
      </c>
      <c r="T31" s="555">
        <v>52</v>
      </c>
      <c r="U31" s="555">
        <v>36</v>
      </c>
      <c r="V31" s="555">
        <v>48</v>
      </c>
      <c r="W31" s="555">
        <v>37</v>
      </c>
      <c r="X31" s="555">
        <v>43</v>
      </c>
      <c r="Y31" s="555">
        <v>33</v>
      </c>
      <c r="Z31" s="942">
        <f t="shared" si="2"/>
        <v>418</v>
      </c>
      <c r="AA31" s="548" t="s">
        <v>1213</v>
      </c>
      <c r="AB31" s="944">
        <f t="shared" si="0"/>
        <v>83.6</v>
      </c>
      <c r="AC31" s="548">
        <f t="shared" si="3"/>
        <v>62</v>
      </c>
    </row>
    <row r="32" spans="1:29" s="556" customFormat="1" ht="15">
      <c r="A32" s="547">
        <v>128</v>
      </c>
      <c r="B32" s="548" t="s">
        <v>1225</v>
      </c>
      <c r="C32" s="548" t="s">
        <v>1226</v>
      </c>
      <c r="D32" s="548" t="s">
        <v>333</v>
      </c>
      <c r="E32" s="549" t="s">
        <v>1227</v>
      </c>
      <c r="F32" s="550">
        <v>318919668</v>
      </c>
      <c r="G32" s="547">
        <v>1646</v>
      </c>
      <c r="H32" s="550" t="s">
        <v>2242</v>
      </c>
      <c r="I32" s="551" t="s">
        <v>2059</v>
      </c>
      <c r="J32" s="557">
        <v>58</v>
      </c>
      <c r="K32" s="555">
        <v>54</v>
      </c>
      <c r="L32" s="555">
        <v>56</v>
      </c>
      <c r="M32" s="555">
        <v>58</v>
      </c>
      <c r="N32" s="558">
        <v>57</v>
      </c>
      <c r="O32" s="575">
        <f t="shared" si="1"/>
        <v>226</v>
      </c>
      <c r="P32" s="557">
        <v>55</v>
      </c>
      <c r="Q32" s="555">
        <v>37</v>
      </c>
      <c r="R32" s="555">
        <v>50</v>
      </c>
      <c r="S32" s="555">
        <v>36</v>
      </c>
      <c r="T32" s="555">
        <v>57</v>
      </c>
      <c r="U32" s="555">
        <v>37</v>
      </c>
      <c r="V32" s="555">
        <v>49</v>
      </c>
      <c r="W32" s="555">
        <v>35</v>
      </c>
      <c r="X32" s="555">
        <v>45</v>
      </c>
      <c r="Y32" s="555">
        <v>33</v>
      </c>
      <c r="Z32" s="942">
        <f t="shared" si="2"/>
        <v>434</v>
      </c>
      <c r="AA32" s="548" t="s">
        <v>1298</v>
      </c>
      <c r="AB32" s="944">
        <f t="shared" si="0"/>
        <v>86.8</v>
      </c>
      <c r="AC32" s="548">
        <f t="shared" si="3"/>
        <v>43</v>
      </c>
    </row>
    <row r="33" spans="1:29" s="556" customFormat="1" ht="15">
      <c r="A33" s="547">
        <v>129</v>
      </c>
      <c r="B33" s="548" t="s">
        <v>1456</v>
      </c>
      <c r="C33" s="548" t="s">
        <v>1319</v>
      </c>
      <c r="D33" s="548" t="s">
        <v>895</v>
      </c>
      <c r="E33" s="549" t="s">
        <v>1207</v>
      </c>
      <c r="F33" s="550">
        <v>310612810</v>
      </c>
      <c r="G33" s="547">
        <v>1386</v>
      </c>
      <c r="H33" s="550" t="s">
        <v>2242</v>
      </c>
      <c r="I33" s="551" t="s">
        <v>2059</v>
      </c>
      <c r="J33" s="557">
        <v>59</v>
      </c>
      <c r="K33" s="555">
        <v>52</v>
      </c>
      <c r="L33" s="555">
        <v>60</v>
      </c>
      <c r="M33" s="555">
        <v>60</v>
      </c>
      <c r="N33" s="558">
        <v>58</v>
      </c>
      <c r="O33" s="575">
        <f t="shared" si="1"/>
        <v>231</v>
      </c>
      <c r="P33" s="557">
        <v>53</v>
      </c>
      <c r="Q33" s="555">
        <v>39</v>
      </c>
      <c r="R33" s="555">
        <v>57</v>
      </c>
      <c r="S33" s="555">
        <v>38</v>
      </c>
      <c r="T33" s="555">
        <v>56</v>
      </c>
      <c r="U33" s="555">
        <v>39</v>
      </c>
      <c r="V33" s="555">
        <v>48</v>
      </c>
      <c r="W33" s="555">
        <v>37</v>
      </c>
      <c r="X33" s="555">
        <v>50</v>
      </c>
      <c r="Y33" s="555">
        <v>35</v>
      </c>
      <c r="Z33" s="942">
        <f t="shared" si="2"/>
        <v>452</v>
      </c>
      <c r="AA33" s="548" t="s">
        <v>1441</v>
      </c>
      <c r="AB33" s="944">
        <f t="shared" si="0"/>
        <v>90.4</v>
      </c>
      <c r="AC33" s="548">
        <f t="shared" si="3"/>
        <v>20</v>
      </c>
    </row>
    <row r="34" spans="1:29" s="556" customFormat="1" ht="15">
      <c r="A34" s="547">
        <v>130</v>
      </c>
      <c r="B34" s="548" t="s">
        <v>380</v>
      </c>
      <c r="C34" s="548" t="s">
        <v>1454</v>
      </c>
      <c r="D34" s="548" t="s">
        <v>333</v>
      </c>
      <c r="E34" s="549" t="s">
        <v>1399</v>
      </c>
      <c r="F34" s="550">
        <v>318082828</v>
      </c>
      <c r="G34" s="547">
        <v>1302</v>
      </c>
      <c r="H34" s="550" t="s">
        <v>2242</v>
      </c>
      <c r="I34" s="551" t="s">
        <v>2059</v>
      </c>
      <c r="J34" s="557">
        <v>56</v>
      </c>
      <c r="K34" s="555">
        <v>57</v>
      </c>
      <c r="L34" s="555">
        <v>59</v>
      </c>
      <c r="M34" s="555">
        <v>59</v>
      </c>
      <c r="N34" s="558">
        <v>57</v>
      </c>
      <c r="O34" s="575">
        <f t="shared" si="1"/>
        <v>231</v>
      </c>
      <c r="P34" s="557">
        <v>57</v>
      </c>
      <c r="Q34" s="555">
        <v>38</v>
      </c>
      <c r="R34" s="555">
        <v>57</v>
      </c>
      <c r="S34" s="555">
        <v>37</v>
      </c>
      <c r="T34" s="555">
        <v>53</v>
      </c>
      <c r="U34" s="555">
        <v>36</v>
      </c>
      <c r="V34" s="555">
        <v>52</v>
      </c>
      <c r="W34" s="555">
        <v>39</v>
      </c>
      <c r="X34" s="555">
        <v>49</v>
      </c>
      <c r="Y34" s="555">
        <v>35</v>
      </c>
      <c r="Z34" s="942">
        <f t="shared" si="2"/>
        <v>453</v>
      </c>
      <c r="AA34" s="548" t="s">
        <v>1257</v>
      </c>
      <c r="AB34" s="944">
        <f t="shared" si="0"/>
        <v>90.6</v>
      </c>
      <c r="AC34" s="548">
        <f t="shared" si="3"/>
        <v>17</v>
      </c>
    </row>
    <row r="35" spans="1:29" s="556" customFormat="1" ht="15">
      <c r="A35" s="854">
        <v>131</v>
      </c>
      <c r="B35" s="548" t="s">
        <v>1257</v>
      </c>
      <c r="C35" s="548" t="s">
        <v>3482</v>
      </c>
      <c r="D35" s="548" t="s">
        <v>3483</v>
      </c>
      <c r="E35" s="549" t="s">
        <v>3484</v>
      </c>
      <c r="F35" s="853">
        <v>316796989</v>
      </c>
      <c r="G35" s="547">
        <v>1375</v>
      </c>
      <c r="H35" s="550" t="s">
        <v>2242</v>
      </c>
      <c r="I35" s="551" t="s">
        <v>2059</v>
      </c>
      <c r="J35" s="557">
        <v>58</v>
      </c>
      <c r="K35" s="555">
        <v>54</v>
      </c>
      <c r="L35" s="555">
        <v>54</v>
      </c>
      <c r="M35" s="555">
        <v>58</v>
      </c>
      <c r="N35" s="558">
        <v>57</v>
      </c>
      <c r="O35" s="575">
        <f t="shared" si="1"/>
        <v>224</v>
      </c>
      <c r="P35" s="557">
        <v>56</v>
      </c>
      <c r="Q35" s="555">
        <v>38</v>
      </c>
      <c r="R35" s="555">
        <v>59</v>
      </c>
      <c r="S35" s="555">
        <v>38</v>
      </c>
      <c r="T35" s="555">
        <v>56</v>
      </c>
      <c r="U35" s="555">
        <v>37</v>
      </c>
      <c r="V35" s="555">
        <v>50</v>
      </c>
      <c r="W35" s="555">
        <v>36</v>
      </c>
      <c r="X35" s="555">
        <v>56</v>
      </c>
      <c r="Y35" s="555">
        <v>37</v>
      </c>
      <c r="Z35" s="942">
        <f t="shared" si="2"/>
        <v>463</v>
      </c>
      <c r="AA35" s="548" t="s">
        <v>1402</v>
      </c>
      <c r="AB35" s="944">
        <f t="shared" si="0"/>
        <v>92.6</v>
      </c>
      <c r="AC35" s="548">
        <f t="shared" si="3"/>
        <v>5</v>
      </c>
    </row>
    <row r="36" spans="1:29" s="556" customFormat="1" ht="15">
      <c r="A36" s="547">
        <v>132</v>
      </c>
      <c r="B36" s="548" t="s">
        <v>1402</v>
      </c>
      <c r="C36" s="548" t="s">
        <v>24</v>
      </c>
      <c r="D36" s="548" t="s">
        <v>1372</v>
      </c>
      <c r="E36" s="549" t="s">
        <v>1403</v>
      </c>
      <c r="F36" s="550">
        <v>311587416</v>
      </c>
      <c r="G36" s="547">
        <v>1461</v>
      </c>
      <c r="H36" s="550" t="s">
        <v>2242</v>
      </c>
      <c r="I36" s="551" t="s">
        <v>2059</v>
      </c>
      <c r="J36" s="557">
        <v>53</v>
      </c>
      <c r="K36" s="555">
        <v>53</v>
      </c>
      <c r="L36" s="555">
        <v>55</v>
      </c>
      <c r="M36" s="555">
        <v>58</v>
      </c>
      <c r="N36" s="558">
        <v>56</v>
      </c>
      <c r="O36" s="575">
        <f t="shared" si="1"/>
        <v>219</v>
      </c>
      <c r="P36" s="557">
        <v>48</v>
      </c>
      <c r="Q36" s="555">
        <v>36</v>
      </c>
      <c r="R36" s="555">
        <v>51</v>
      </c>
      <c r="S36" s="555">
        <v>35</v>
      </c>
      <c r="T36" s="555">
        <v>54</v>
      </c>
      <c r="U36" s="555">
        <v>36</v>
      </c>
      <c r="V36" s="555">
        <v>42</v>
      </c>
      <c r="W36" s="555">
        <v>37</v>
      </c>
      <c r="X36" s="555">
        <v>45</v>
      </c>
      <c r="Y36" s="555">
        <v>35</v>
      </c>
      <c r="Z36" s="942">
        <f t="shared" si="2"/>
        <v>419</v>
      </c>
      <c r="AA36" s="548" t="s">
        <v>1431</v>
      </c>
      <c r="AB36" s="944">
        <f t="shared" si="0"/>
        <v>83.8</v>
      </c>
      <c r="AC36" s="548">
        <f t="shared" si="3"/>
        <v>56</v>
      </c>
    </row>
    <row r="37" spans="1:29" s="556" customFormat="1" ht="15">
      <c r="A37" s="547">
        <v>133</v>
      </c>
      <c r="B37" s="548" t="s">
        <v>1431</v>
      </c>
      <c r="C37" s="548" t="s">
        <v>1674</v>
      </c>
      <c r="D37" s="548" t="s">
        <v>39</v>
      </c>
      <c r="E37" s="549" t="s">
        <v>1432</v>
      </c>
      <c r="F37" s="550">
        <v>320834752</v>
      </c>
      <c r="G37" s="547">
        <v>1326</v>
      </c>
      <c r="H37" s="550" t="s">
        <v>2242</v>
      </c>
      <c r="I37" s="551" t="s">
        <v>2059</v>
      </c>
      <c r="J37" s="557">
        <v>56</v>
      </c>
      <c r="K37" s="555">
        <v>56</v>
      </c>
      <c r="L37" s="555">
        <v>56</v>
      </c>
      <c r="M37" s="555">
        <v>57</v>
      </c>
      <c r="N37" s="558">
        <v>60</v>
      </c>
      <c r="O37" s="575">
        <f t="shared" si="1"/>
        <v>225</v>
      </c>
      <c r="P37" s="557">
        <v>52</v>
      </c>
      <c r="Q37" s="555">
        <v>37</v>
      </c>
      <c r="R37" s="555">
        <v>54</v>
      </c>
      <c r="S37" s="555">
        <v>36</v>
      </c>
      <c r="T37" s="555">
        <v>57</v>
      </c>
      <c r="U37" s="555">
        <v>38</v>
      </c>
      <c r="V37" s="555">
        <v>50</v>
      </c>
      <c r="W37" s="555">
        <v>35</v>
      </c>
      <c r="X37" s="555">
        <v>49</v>
      </c>
      <c r="Y37" s="555">
        <v>36</v>
      </c>
      <c r="Z37" s="942">
        <f t="shared" si="2"/>
        <v>444</v>
      </c>
      <c r="AA37" s="548" t="s">
        <v>1451</v>
      </c>
      <c r="AB37" s="944">
        <f t="shared" ref="AB37:AB68" si="4">Z37/5</f>
        <v>88.8</v>
      </c>
      <c r="AC37" s="548">
        <f t="shared" si="3"/>
        <v>24</v>
      </c>
    </row>
    <row r="38" spans="1:29" s="556" customFormat="1" ht="15">
      <c r="A38" s="550">
        <v>134</v>
      </c>
      <c r="B38" s="548" t="s">
        <v>1447</v>
      </c>
      <c r="C38" s="548" t="s">
        <v>1448</v>
      </c>
      <c r="D38" s="548" t="s">
        <v>1449</v>
      </c>
      <c r="E38" s="563" t="s">
        <v>1450</v>
      </c>
      <c r="F38" s="550"/>
      <c r="G38" s="547">
        <v>1653</v>
      </c>
      <c r="H38" s="547" t="s">
        <v>2242</v>
      </c>
      <c r="I38" s="551" t="s">
        <v>2059</v>
      </c>
      <c r="J38" s="557">
        <v>60</v>
      </c>
      <c r="K38" s="555">
        <v>60</v>
      </c>
      <c r="L38" s="555">
        <v>60</v>
      </c>
      <c r="M38" s="555">
        <v>60</v>
      </c>
      <c r="N38" s="558">
        <v>60</v>
      </c>
      <c r="O38" s="575">
        <f t="shared" si="1"/>
        <v>240</v>
      </c>
      <c r="P38" s="557">
        <v>58</v>
      </c>
      <c r="Q38" s="555">
        <v>39</v>
      </c>
      <c r="R38" s="555">
        <v>58</v>
      </c>
      <c r="S38" s="555">
        <v>39</v>
      </c>
      <c r="T38" s="555">
        <v>60</v>
      </c>
      <c r="U38" s="555">
        <v>39</v>
      </c>
      <c r="V38" s="555">
        <v>59</v>
      </c>
      <c r="W38" s="555">
        <v>39</v>
      </c>
      <c r="X38" s="555">
        <v>56</v>
      </c>
      <c r="Y38" s="555">
        <v>37</v>
      </c>
      <c r="Z38" s="942">
        <f t="shared" si="2"/>
        <v>484</v>
      </c>
      <c r="AA38" s="548" t="s">
        <v>1305</v>
      </c>
      <c r="AB38" s="944">
        <f t="shared" si="4"/>
        <v>96.8</v>
      </c>
      <c r="AC38" s="548">
        <f t="shared" si="3"/>
        <v>1</v>
      </c>
    </row>
    <row r="39" spans="1:29" s="556" customFormat="1" ht="15">
      <c r="A39" s="854">
        <v>135</v>
      </c>
      <c r="B39" s="548" t="s">
        <v>1451</v>
      </c>
      <c r="C39" s="548" t="s">
        <v>3485</v>
      </c>
      <c r="D39" s="548" t="s">
        <v>1452</v>
      </c>
      <c r="E39" s="549" t="s">
        <v>1453</v>
      </c>
      <c r="F39" s="550">
        <v>315072687</v>
      </c>
      <c r="G39" s="547">
        <v>1651</v>
      </c>
      <c r="H39" s="550" t="s">
        <v>2242</v>
      </c>
      <c r="I39" s="551" t="s">
        <v>2059</v>
      </c>
      <c r="J39" s="557">
        <v>60</v>
      </c>
      <c r="K39" s="555">
        <v>57</v>
      </c>
      <c r="L39" s="555">
        <v>59</v>
      </c>
      <c r="M39" s="555">
        <v>55</v>
      </c>
      <c r="N39" s="558">
        <v>59</v>
      </c>
      <c r="O39" s="575">
        <f t="shared" si="1"/>
        <v>231</v>
      </c>
      <c r="P39" s="557">
        <v>53</v>
      </c>
      <c r="Q39" s="555">
        <v>37</v>
      </c>
      <c r="R39" s="555">
        <v>54</v>
      </c>
      <c r="S39" s="555">
        <v>38</v>
      </c>
      <c r="T39" s="555">
        <v>58</v>
      </c>
      <c r="U39" s="555">
        <v>39</v>
      </c>
      <c r="V39" s="555">
        <v>52</v>
      </c>
      <c r="W39" s="555">
        <v>37</v>
      </c>
      <c r="X39" s="555">
        <v>53</v>
      </c>
      <c r="Y39" s="555">
        <v>35</v>
      </c>
      <c r="Z39" s="942">
        <f t="shared" si="2"/>
        <v>456</v>
      </c>
      <c r="AA39" s="548" t="s">
        <v>1240</v>
      </c>
      <c r="AB39" s="944">
        <f t="shared" si="4"/>
        <v>91.2</v>
      </c>
      <c r="AC39" s="548">
        <f t="shared" si="3"/>
        <v>13</v>
      </c>
    </row>
    <row r="40" spans="1:29" s="556" customFormat="1" ht="15">
      <c r="A40" s="547">
        <v>136</v>
      </c>
      <c r="B40" s="548" t="s">
        <v>1246</v>
      </c>
      <c r="C40" s="548" t="s">
        <v>1662</v>
      </c>
      <c r="D40" s="548" t="s">
        <v>1247</v>
      </c>
      <c r="E40" s="549" t="s">
        <v>1248</v>
      </c>
      <c r="F40" s="550">
        <v>311979256</v>
      </c>
      <c r="G40" s="547">
        <v>1328</v>
      </c>
      <c r="H40" s="550" t="s">
        <v>2242</v>
      </c>
      <c r="I40" s="551" t="s">
        <v>2059</v>
      </c>
      <c r="J40" s="557">
        <v>57</v>
      </c>
      <c r="K40" s="555">
        <v>57</v>
      </c>
      <c r="L40" s="555">
        <v>55</v>
      </c>
      <c r="M40" s="555">
        <v>56</v>
      </c>
      <c r="N40" s="558">
        <v>55</v>
      </c>
      <c r="O40" s="575">
        <f t="shared" si="1"/>
        <v>225</v>
      </c>
      <c r="P40" s="557">
        <v>56</v>
      </c>
      <c r="Q40" s="555">
        <v>39</v>
      </c>
      <c r="R40" s="555">
        <v>51</v>
      </c>
      <c r="S40" s="555">
        <v>39</v>
      </c>
      <c r="T40" s="555">
        <v>58</v>
      </c>
      <c r="U40" s="555">
        <v>36</v>
      </c>
      <c r="V40" s="555">
        <v>51</v>
      </c>
      <c r="W40" s="555">
        <v>38</v>
      </c>
      <c r="X40" s="555">
        <v>46</v>
      </c>
      <c r="Y40" s="555">
        <v>33</v>
      </c>
      <c r="Z40" s="942">
        <f t="shared" si="2"/>
        <v>447</v>
      </c>
      <c r="AA40" s="548" t="s">
        <v>1404</v>
      </c>
      <c r="AB40" s="944">
        <f t="shared" si="4"/>
        <v>89.4</v>
      </c>
      <c r="AC40" s="548">
        <f t="shared" si="3"/>
        <v>17</v>
      </c>
    </row>
    <row r="41" spans="1:29" s="556" customFormat="1" ht="15">
      <c r="A41" s="547">
        <v>137</v>
      </c>
      <c r="B41" s="548" t="s">
        <v>1249</v>
      </c>
      <c r="C41" s="548" t="s">
        <v>1250</v>
      </c>
      <c r="D41" s="548" t="s">
        <v>1251</v>
      </c>
      <c r="E41" s="549" t="s">
        <v>1252</v>
      </c>
      <c r="F41" s="550">
        <v>318704996</v>
      </c>
      <c r="G41" s="547">
        <v>1335</v>
      </c>
      <c r="H41" s="550" t="s">
        <v>2242</v>
      </c>
      <c r="I41" s="551" t="s">
        <v>2059</v>
      </c>
      <c r="J41" s="557">
        <v>60</v>
      </c>
      <c r="K41" s="555">
        <v>57</v>
      </c>
      <c r="L41" s="555">
        <v>60</v>
      </c>
      <c r="M41" s="555">
        <v>59</v>
      </c>
      <c r="N41" s="558">
        <v>59</v>
      </c>
      <c r="O41" s="575">
        <f t="shared" si="1"/>
        <v>236</v>
      </c>
      <c r="P41" s="582">
        <v>56</v>
      </c>
      <c r="Q41" s="560">
        <v>39</v>
      </c>
      <c r="R41" s="560">
        <v>53</v>
      </c>
      <c r="S41" s="560">
        <v>38</v>
      </c>
      <c r="T41" s="560">
        <v>59</v>
      </c>
      <c r="U41" s="560">
        <v>37</v>
      </c>
      <c r="V41" s="560">
        <v>51</v>
      </c>
      <c r="W41" s="560">
        <v>37</v>
      </c>
      <c r="X41" s="560">
        <v>51</v>
      </c>
      <c r="Y41" s="560">
        <v>34</v>
      </c>
      <c r="Z41" s="942">
        <f t="shared" si="2"/>
        <v>455</v>
      </c>
      <c r="AA41" s="548" t="s">
        <v>1221</v>
      </c>
      <c r="AB41" s="944">
        <f t="shared" si="4"/>
        <v>91</v>
      </c>
      <c r="AC41" s="548">
        <f t="shared" si="3"/>
        <v>13</v>
      </c>
    </row>
    <row r="42" spans="1:29" s="556" customFormat="1" ht="15">
      <c r="A42" s="547">
        <v>138</v>
      </c>
      <c r="B42" s="548" t="s">
        <v>1298</v>
      </c>
      <c r="C42" s="548" t="s">
        <v>860</v>
      </c>
      <c r="D42" s="548" t="s">
        <v>861</v>
      </c>
      <c r="E42" s="549" t="s">
        <v>1299</v>
      </c>
      <c r="F42" s="550">
        <v>316796989</v>
      </c>
      <c r="G42" s="547">
        <v>1534</v>
      </c>
      <c r="H42" s="550" t="s">
        <v>2242</v>
      </c>
      <c r="I42" s="551" t="s">
        <v>2059</v>
      </c>
      <c r="J42" s="557">
        <v>56</v>
      </c>
      <c r="K42" s="555">
        <v>51</v>
      </c>
      <c r="L42" s="555">
        <v>52</v>
      </c>
      <c r="M42" s="555">
        <v>55</v>
      </c>
      <c r="N42" s="558">
        <v>57</v>
      </c>
      <c r="O42" s="575">
        <f t="shared" si="1"/>
        <v>214</v>
      </c>
      <c r="P42" s="557">
        <v>49</v>
      </c>
      <c r="Q42" s="555">
        <v>36</v>
      </c>
      <c r="R42" s="555">
        <v>50</v>
      </c>
      <c r="S42" s="555">
        <v>37</v>
      </c>
      <c r="T42" s="555">
        <v>54</v>
      </c>
      <c r="U42" s="555">
        <v>38</v>
      </c>
      <c r="V42" s="555">
        <v>50</v>
      </c>
      <c r="W42" s="555">
        <v>36</v>
      </c>
      <c r="X42" s="555">
        <v>47</v>
      </c>
      <c r="Y42" s="555">
        <v>33</v>
      </c>
      <c r="Z42" s="942">
        <f t="shared" si="2"/>
        <v>430</v>
      </c>
      <c r="AA42" s="548" t="s">
        <v>1216</v>
      </c>
      <c r="AB42" s="944">
        <f t="shared" si="4"/>
        <v>86</v>
      </c>
      <c r="AC42" s="548">
        <f t="shared" si="3"/>
        <v>39</v>
      </c>
    </row>
    <row r="43" spans="1:29" s="556" customFormat="1" ht="15">
      <c r="A43" s="547">
        <v>139</v>
      </c>
      <c r="B43" s="548" t="s">
        <v>1305</v>
      </c>
      <c r="C43" s="548" t="s">
        <v>1306</v>
      </c>
      <c r="D43" s="548" t="s">
        <v>1308</v>
      </c>
      <c r="E43" s="549" t="s">
        <v>1211</v>
      </c>
      <c r="F43" s="550">
        <v>315190537</v>
      </c>
      <c r="G43" s="547">
        <v>1608</v>
      </c>
      <c r="H43" s="550" t="s">
        <v>2242</v>
      </c>
      <c r="I43" s="551" t="s">
        <v>2059</v>
      </c>
      <c r="J43" s="557">
        <v>60</v>
      </c>
      <c r="K43" s="555">
        <v>56</v>
      </c>
      <c r="L43" s="555">
        <v>58</v>
      </c>
      <c r="M43" s="555">
        <v>60</v>
      </c>
      <c r="N43" s="558">
        <v>57</v>
      </c>
      <c r="O43" s="575">
        <f t="shared" si="1"/>
        <v>234</v>
      </c>
      <c r="P43" s="557">
        <v>56</v>
      </c>
      <c r="Q43" s="555">
        <v>37</v>
      </c>
      <c r="R43" s="555">
        <v>54</v>
      </c>
      <c r="S43" s="555">
        <v>38</v>
      </c>
      <c r="T43" s="555">
        <v>55</v>
      </c>
      <c r="U43" s="555">
        <v>36</v>
      </c>
      <c r="V43" s="555">
        <v>56</v>
      </c>
      <c r="W43" s="555">
        <v>38</v>
      </c>
      <c r="X43" s="555">
        <v>49</v>
      </c>
      <c r="Y43" s="555">
        <v>34</v>
      </c>
      <c r="Z43" s="942">
        <f t="shared" si="2"/>
        <v>453</v>
      </c>
      <c r="AA43" s="548" t="s">
        <v>1331</v>
      </c>
      <c r="AB43" s="944">
        <f t="shared" si="4"/>
        <v>90.6</v>
      </c>
      <c r="AC43" s="548">
        <f t="shared" si="3"/>
        <v>13</v>
      </c>
    </row>
    <row r="44" spans="1:29" s="556" customFormat="1" ht="15">
      <c r="A44" s="547">
        <v>140</v>
      </c>
      <c r="B44" s="548" t="s">
        <v>1327</v>
      </c>
      <c r="C44" s="548" t="s">
        <v>1328</v>
      </c>
      <c r="D44" s="548" t="s">
        <v>1329</v>
      </c>
      <c r="E44" s="549" t="s">
        <v>1330</v>
      </c>
      <c r="F44" s="550">
        <v>314484379</v>
      </c>
      <c r="G44" s="547">
        <v>1147</v>
      </c>
      <c r="H44" s="550" t="s">
        <v>2242</v>
      </c>
      <c r="I44" s="551" t="s">
        <v>2059</v>
      </c>
      <c r="J44" s="557">
        <v>56</v>
      </c>
      <c r="K44" s="555">
        <v>52</v>
      </c>
      <c r="L44" s="555">
        <v>54</v>
      </c>
      <c r="M44" s="555">
        <v>53</v>
      </c>
      <c r="N44" s="558">
        <v>55</v>
      </c>
      <c r="O44" s="575">
        <f t="shared" si="1"/>
        <v>215</v>
      </c>
      <c r="P44" s="557">
        <v>50</v>
      </c>
      <c r="Q44" s="555">
        <v>38</v>
      </c>
      <c r="R44" s="555">
        <v>55</v>
      </c>
      <c r="S44" s="555">
        <v>35</v>
      </c>
      <c r="T44" s="555">
        <v>58</v>
      </c>
      <c r="U44" s="555">
        <v>36</v>
      </c>
      <c r="V44" s="555">
        <v>48</v>
      </c>
      <c r="W44" s="555">
        <v>37</v>
      </c>
      <c r="X44" s="555">
        <v>41</v>
      </c>
      <c r="Y44" s="555">
        <v>33</v>
      </c>
      <c r="Z44" s="942">
        <f t="shared" si="2"/>
        <v>431</v>
      </c>
      <c r="AA44" s="548" t="s">
        <v>810</v>
      </c>
      <c r="AB44" s="944">
        <f t="shared" si="4"/>
        <v>86.2</v>
      </c>
      <c r="AC44" s="548">
        <f t="shared" si="3"/>
        <v>37</v>
      </c>
    </row>
    <row r="45" spans="1:29" s="556" customFormat="1" ht="15">
      <c r="A45" s="547">
        <v>141</v>
      </c>
      <c r="B45" s="548" t="s">
        <v>1331</v>
      </c>
      <c r="C45" s="548" t="s">
        <v>1332</v>
      </c>
      <c r="D45" s="548" t="s">
        <v>1651</v>
      </c>
      <c r="E45" s="549" t="s">
        <v>1333</v>
      </c>
      <c r="F45" s="550">
        <v>318772058</v>
      </c>
      <c r="G45" s="547">
        <v>1488</v>
      </c>
      <c r="H45" s="550" t="s">
        <v>2242</v>
      </c>
      <c r="I45" s="551" t="s">
        <v>2059</v>
      </c>
      <c r="J45" s="557">
        <v>54</v>
      </c>
      <c r="K45" s="555">
        <v>51</v>
      </c>
      <c r="L45" s="555">
        <v>57</v>
      </c>
      <c r="M45" s="555">
        <v>56</v>
      </c>
      <c r="N45" s="558">
        <v>57</v>
      </c>
      <c r="O45" s="575">
        <f t="shared" si="1"/>
        <v>218</v>
      </c>
      <c r="P45" s="557">
        <v>49</v>
      </c>
      <c r="Q45" s="555">
        <v>36</v>
      </c>
      <c r="R45" s="555">
        <v>59</v>
      </c>
      <c r="S45" s="555">
        <v>35</v>
      </c>
      <c r="T45" s="555">
        <v>56</v>
      </c>
      <c r="U45" s="555">
        <v>38</v>
      </c>
      <c r="V45" s="555">
        <v>49</v>
      </c>
      <c r="W45" s="555">
        <v>37</v>
      </c>
      <c r="X45" s="555">
        <v>48</v>
      </c>
      <c r="Y45" s="555">
        <v>35</v>
      </c>
      <c r="Z45" s="942">
        <f t="shared" si="2"/>
        <v>442</v>
      </c>
      <c r="AA45" s="548" t="s">
        <v>1406</v>
      </c>
      <c r="AB45" s="944">
        <f t="shared" si="4"/>
        <v>88.4</v>
      </c>
      <c r="AC45" s="548">
        <f t="shared" si="3"/>
        <v>20</v>
      </c>
    </row>
    <row r="46" spans="1:29" s="556" customFormat="1" ht="15">
      <c r="A46" s="547">
        <v>142</v>
      </c>
      <c r="B46" s="548" t="s">
        <v>3294</v>
      </c>
      <c r="C46" s="548" t="s">
        <v>1413</v>
      </c>
      <c r="D46" s="548" t="s">
        <v>3295</v>
      </c>
      <c r="E46" s="549" t="s">
        <v>678</v>
      </c>
      <c r="F46" s="550">
        <v>317469483</v>
      </c>
      <c r="G46" s="547">
        <v>1460</v>
      </c>
      <c r="H46" s="550" t="s">
        <v>2242</v>
      </c>
      <c r="I46" s="551" t="s">
        <v>2059</v>
      </c>
      <c r="J46" s="557">
        <v>56</v>
      </c>
      <c r="K46" s="555">
        <v>58</v>
      </c>
      <c r="L46" s="555">
        <v>60</v>
      </c>
      <c r="M46" s="555">
        <v>53</v>
      </c>
      <c r="N46" s="558">
        <v>54</v>
      </c>
      <c r="O46" s="575">
        <f t="shared" si="1"/>
        <v>227</v>
      </c>
      <c r="P46" s="557">
        <v>50</v>
      </c>
      <c r="Q46" s="555">
        <v>38</v>
      </c>
      <c r="R46" s="555">
        <v>53</v>
      </c>
      <c r="S46" s="555">
        <v>38</v>
      </c>
      <c r="T46" s="555">
        <v>55</v>
      </c>
      <c r="U46" s="555">
        <v>39</v>
      </c>
      <c r="V46" s="555">
        <v>50</v>
      </c>
      <c r="W46" s="555">
        <v>36</v>
      </c>
      <c r="X46" s="555">
        <v>53</v>
      </c>
      <c r="Y46" s="555">
        <v>35</v>
      </c>
      <c r="Z46" s="942">
        <f t="shared" si="2"/>
        <v>447</v>
      </c>
      <c r="AA46" s="548" t="s">
        <v>2257</v>
      </c>
      <c r="AB46" s="944">
        <f t="shared" si="4"/>
        <v>89.4</v>
      </c>
      <c r="AC46" s="548">
        <f t="shared" si="3"/>
        <v>15</v>
      </c>
    </row>
    <row r="47" spans="1:29" s="556" customFormat="1" ht="15">
      <c r="A47" s="547">
        <v>143</v>
      </c>
      <c r="B47" s="548" t="s">
        <v>1414</v>
      </c>
      <c r="C47" s="548" t="s">
        <v>668</v>
      </c>
      <c r="D47" s="548" t="s">
        <v>1415</v>
      </c>
      <c r="E47" s="549" t="s">
        <v>1416</v>
      </c>
      <c r="F47" s="550">
        <v>317564903</v>
      </c>
      <c r="G47" s="547">
        <v>1391</v>
      </c>
      <c r="H47" s="550" t="s">
        <v>2242</v>
      </c>
      <c r="I47" s="551" t="s">
        <v>2059</v>
      </c>
      <c r="J47" s="557" t="s">
        <v>3446</v>
      </c>
      <c r="K47" s="555">
        <v>58</v>
      </c>
      <c r="L47" s="555">
        <v>60</v>
      </c>
      <c r="M47" s="555">
        <v>60</v>
      </c>
      <c r="N47" s="558">
        <v>58</v>
      </c>
      <c r="O47" s="575">
        <f t="shared" si="1"/>
        <v>178</v>
      </c>
      <c r="P47" s="557">
        <v>57</v>
      </c>
      <c r="Q47" s="555">
        <v>39</v>
      </c>
      <c r="R47" s="555">
        <v>57</v>
      </c>
      <c r="S47" s="555">
        <v>38</v>
      </c>
      <c r="T47" s="555">
        <v>59</v>
      </c>
      <c r="U47" s="555">
        <v>38</v>
      </c>
      <c r="V47" s="555">
        <v>53</v>
      </c>
      <c r="W47" s="555">
        <v>39</v>
      </c>
      <c r="X47" s="555">
        <v>58</v>
      </c>
      <c r="Y47" s="555">
        <v>37</v>
      </c>
      <c r="Z47" s="942">
        <f t="shared" si="2"/>
        <v>475</v>
      </c>
      <c r="AA47" s="548" t="s">
        <v>1191</v>
      </c>
      <c r="AB47" s="944">
        <f t="shared" si="4"/>
        <v>95</v>
      </c>
      <c r="AC47" s="548">
        <f t="shared" si="3"/>
        <v>2</v>
      </c>
    </row>
    <row r="48" spans="1:29" s="556" customFormat="1" ht="15">
      <c r="A48" s="854">
        <v>144</v>
      </c>
      <c r="B48" s="548" t="s">
        <v>1424</v>
      </c>
      <c r="C48" s="548" t="s">
        <v>1455</v>
      </c>
      <c r="D48" s="548" t="s">
        <v>1425</v>
      </c>
      <c r="E48" s="549" t="s">
        <v>1092</v>
      </c>
      <c r="F48" s="550">
        <v>317565567</v>
      </c>
      <c r="G48" s="547">
        <v>1309</v>
      </c>
      <c r="H48" s="550" t="s">
        <v>2242</v>
      </c>
      <c r="I48" s="551" t="s">
        <v>2059</v>
      </c>
      <c r="J48" s="557">
        <v>56</v>
      </c>
      <c r="K48" s="555">
        <v>54</v>
      </c>
      <c r="L48" s="555">
        <v>59</v>
      </c>
      <c r="M48" s="555">
        <v>58</v>
      </c>
      <c r="N48" s="558">
        <v>58</v>
      </c>
      <c r="O48" s="575">
        <f t="shared" si="1"/>
        <v>227</v>
      </c>
      <c r="P48" s="557">
        <v>54</v>
      </c>
      <c r="Q48" s="555">
        <v>38</v>
      </c>
      <c r="R48" s="555">
        <v>57</v>
      </c>
      <c r="S48" s="555">
        <v>37</v>
      </c>
      <c r="T48" s="555">
        <v>59</v>
      </c>
      <c r="U48" s="555">
        <v>39</v>
      </c>
      <c r="V48" s="555">
        <v>53</v>
      </c>
      <c r="W48" s="555">
        <v>38</v>
      </c>
      <c r="X48" s="555">
        <v>52</v>
      </c>
      <c r="Y48" s="555">
        <v>35</v>
      </c>
      <c r="Z48" s="942">
        <f t="shared" si="2"/>
        <v>462</v>
      </c>
      <c r="AA48" s="548" t="s">
        <v>1410</v>
      </c>
      <c r="AB48" s="944">
        <f t="shared" si="4"/>
        <v>92.4</v>
      </c>
      <c r="AC48" s="548">
        <f t="shared" si="3"/>
        <v>4</v>
      </c>
    </row>
    <row r="49" spans="1:29" s="556" customFormat="1" ht="15">
      <c r="A49" s="547">
        <v>145</v>
      </c>
      <c r="B49" s="548" t="s">
        <v>1656</v>
      </c>
      <c r="C49" s="548" t="s">
        <v>3296</v>
      </c>
      <c r="D49" s="548" t="s">
        <v>786</v>
      </c>
      <c r="E49" s="549" t="s">
        <v>1268</v>
      </c>
      <c r="F49" s="550">
        <v>310634388</v>
      </c>
      <c r="G49" s="547">
        <v>1437</v>
      </c>
      <c r="H49" s="550" t="s">
        <v>2242</v>
      </c>
      <c r="I49" s="551" t="s">
        <v>2059</v>
      </c>
      <c r="J49" s="557">
        <v>58</v>
      </c>
      <c r="K49" s="555">
        <v>53</v>
      </c>
      <c r="L49" s="555">
        <v>53</v>
      </c>
      <c r="M49" s="555">
        <v>59</v>
      </c>
      <c r="N49" s="558">
        <v>56</v>
      </c>
      <c r="O49" s="575">
        <f t="shared" si="1"/>
        <v>223</v>
      </c>
      <c r="P49" s="557">
        <v>52</v>
      </c>
      <c r="Q49" s="555">
        <v>38</v>
      </c>
      <c r="R49" s="555">
        <v>54</v>
      </c>
      <c r="S49" s="555">
        <v>37</v>
      </c>
      <c r="T49" s="555">
        <v>57</v>
      </c>
      <c r="U49" s="555">
        <v>36</v>
      </c>
      <c r="V49" s="555">
        <v>55</v>
      </c>
      <c r="W49" s="555">
        <v>39</v>
      </c>
      <c r="X49" s="555">
        <v>50</v>
      </c>
      <c r="Y49" s="555">
        <v>35</v>
      </c>
      <c r="Z49" s="942">
        <f t="shared" si="2"/>
        <v>453</v>
      </c>
      <c r="AA49" s="548" t="s">
        <v>2258</v>
      </c>
      <c r="AB49" s="944">
        <f t="shared" si="4"/>
        <v>90.6</v>
      </c>
      <c r="AC49" s="548">
        <f t="shared" si="3"/>
        <v>11</v>
      </c>
    </row>
    <row r="50" spans="1:29" s="556" customFormat="1" ht="15">
      <c r="A50" s="547">
        <v>146</v>
      </c>
      <c r="B50" s="548" t="s">
        <v>3297</v>
      </c>
      <c r="C50" s="548" t="s">
        <v>3284</v>
      </c>
      <c r="D50" s="548" t="s">
        <v>3298</v>
      </c>
      <c r="E50" s="549" t="s">
        <v>3299</v>
      </c>
      <c r="F50" s="550">
        <v>322352844</v>
      </c>
      <c r="G50" s="547">
        <v>1482</v>
      </c>
      <c r="H50" s="550" t="s">
        <v>2242</v>
      </c>
      <c r="I50" s="551" t="s">
        <v>2059</v>
      </c>
      <c r="J50" s="557">
        <v>60</v>
      </c>
      <c r="K50" s="555">
        <v>56</v>
      </c>
      <c r="L50" s="555">
        <v>56</v>
      </c>
      <c r="M50" s="555">
        <v>58</v>
      </c>
      <c r="N50" s="558">
        <v>59</v>
      </c>
      <c r="O50" s="575">
        <f t="shared" si="1"/>
        <v>230</v>
      </c>
      <c r="P50" s="557">
        <v>54</v>
      </c>
      <c r="Q50" s="555">
        <v>39</v>
      </c>
      <c r="R50" s="555">
        <v>58</v>
      </c>
      <c r="S50" s="555">
        <v>38</v>
      </c>
      <c r="T50" s="555">
        <v>58</v>
      </c>
      <c r="U50" s="555">
        <v>37</v>
      </c>
      <c r="V50" s="555">
        <v>53</v>
      </c>
      <c r="W50" s="555">
        <v>38</v>
      </c>
      <c r="X50" s="555">
        <v>49</v>
      </c>
      <c r="Y50" s="555">
        <v>35</v>
      </c>
      <c r="Z50" s="942">
        <f t="shared" si="2"/>
        <v>459</v>
      </c>
      <c r="AA50" s="548" t="s">
        <v>3294</v>
      </c>
      <c r="AB50" s="944">
        <f t="shared" si="4"/>
        <v>91.8</v>
      </c>
      <c r="AC50" s="548">
        <f t="shared" si="3"/>
        <v>6</v>
      </c>
    </row>
    <row r="51" spans="1:29" s="556" customFormat="1" ht="15">
      <c r="A51" s="547">
        <v>147</v>
      </c>
      <c r="B51" s="548" t="s">
        <v>1419</v>
      </c>
      <c r="C51" s="548" t="s">
        <v>890</v>
      </c>
      <c r="D51" s="548" t="s">
        <v>891</v>
      </c>
      <c r="E51" s="549" t="s">
        <v>1420</v>
      </c>
      <c r="F51" s="550">
        <v>317734880</v>
      </c>
      <c r="G51" s="547">
        <v>1332</v>
      </c>
      <c r="H51" s="550" t="s">
        <v>2242</v>
      </c>
      <c r="I51" s="551" t="s">
        <v>2059</v>
      </c>
      <c r="J51" s="557">
        <v>60</v>
      </c>
      <c r="K51" s="555">
        <v>57</v>
      </c>
      <c r="L51" s="555">
        <v>60</v>
      </c>
      <c r="M51" s="555">
        <v>58</v>
      </c>
      <c r="N51" s="558">
        <v>58</v>
      </c>
      <c r="O51" s="575">
        <f t="shared" si="1"/>
        <v>235</v>
      </c>
      <c r="P51" s="557">
        <v>53</v>
      </c>
      <c r="Q51" s="555">
        <v>39</v>
      </c>
      <c r="R51" s="555">
        <v>49</v>
      </c>
      <c r="S51" s="555">
        <v>38</v>
      </c>
      <c r="T51" s="555">
        <v>50</v>
      </c>
      <c r="U51" s="555">
        <v>39</v>
      </c>
      <c r="V51" s="555">
        <v>51</v>
      </c>
      <c r="W51" s="555">
        <v>37</v>
      </c>
      <c r="X51" s="555">
        <v>49</v>
      </c>
      <c r="Y51" s="555">
        <v>35</v>
      </c>
      <c r="Z51" s="942">
        <f t="shared" si="2"/>
        <v>440</v>
      </c>
      <c r="AA51" s="548" t="s">
        <v>1353</v>
      </c>
      <c r="AB51" s="944">
        <f t="shared" si="4"/>
        <v>88</v>
      </c>
      <c r="AC51" s="548">
        <f t="shared" si="3"/>
        <v>18</v>
      </c>
    </row>
    <row r="52" spans="1:29" s="556" customFormat="1" ht="15">
      <c r="A52" s="547">
        <v>148</v>
      </c>
      <c r="B52" s="548" t="s">
        <v>1427</v>
      </c>
      <c r="C52" s="548" t="s">
        <v>1429</v>
      </c>
      <c r="D52" s="548" t="s">
        <v>1428</v>
      </c>
      <c r="E52" s="549" t="s">
        <v>1430</v>
      </c>
      <c r="F52" s="550">
        <v>316953942</v>
      </c>
      <c r="G52" s="547">
        <v>1381</v>
      </c>
      <c r="H52" s="550" t="s">
        <v>2242</v>
      </c>
      <c r="I52" s="551" t="s">
        <v>2059</v>
      </c>
      <c r="J52" s="557">
        <v>59</v>
      </c>
      <c r="K52" s="555">
        <v>58</v>
      </c>
      <c r="L52" s="555">
        <v>58</v>
      </c>
      <c r="M52" s="555">
        <v>57</v>
      </c>
      <c r="N52" s="558">
        <v>57</v>
      </c>
      <c r="O52" s="575">
        <f t="shared" si="1"/>
        <v>232</v>
      </c>
      <c r="P52" s="557">
        <v>55</v>
      </c>
      <c r="Q52" s="555">
        <v>38</v>
      </c>
      <c r="R52" s="555">
        <v>54</v>
      </c>
      <c r="S52" s="555">
        <v>39</v>
      </c>
      <c r="T52" s="555">
        <v>53</v>
      </c>
      <c r="U52" s="555">
        <v>37</v>
      </c>
      <c r="V52" s="555">
        <v>58</v>
      </c>
      <c r="W52" s="555">
        <v>38</v>
      </c>
      <c r="X52" s="555">
        <v>52</v>
      </c>
      <c r="Y52" s="555">
        <v>36</v>
      </c>
      <c r="Z52" s="942">
        <f t="shared" si="2"/>
        <v>460</v>
      </c>
      <c r="AA52" s="548" t="s">
        <v>1235</v>
      </c>
      <c r="AB52" s="944">
        <f t="shared" si="4"/>
        <v>92</v>
      </c>
      <c r="AC52" s="548">
        <f t="shared" si="3"/>
        <v>5</v>
      </c>
    </row>
    <row r="53" spans="1:29" s="556" customFormat="1" ht="15">
      <c r="A53" s="547">
        <v>149</v>
      </c>
      <c r="B53" s="548" t="s">
        <v>3439</v>
      </c>
      <c r="C53" s="548" t="s">
        <v>3300</v>
      </c>
      <c r="D53" s="548" t="s">
        <v>1417</v>
      </c>
      <c r="E53" s="549" t="s">
        <v>1418</v>
      </c>
      <c r="F53" s="550">
        <v>316953829</v>
      </c>
      <c r="G53" s="547">
        <v>1478</v>
      </c>
      <c r="H53" s="550" t="s">
        <v>2242</v>
      </c>
      <c r="I53" s="551" t="s">
        <v>2059</v>
      </c>
      <c r="J53" s="557">
        <v>50</v>
      </c>
      <c r="K53" s="555">
        <v>51</v>
      </c>
      <c r="L53" s="555">
        <v>44</v>
      </c>
      <c r="M53" s="555">
        <v>51</v>
      </c>
      <c r="N53" s="558">
        <v>45</v>
      </c>
      <c r="O53" s="575">
        <f t="shared" si="1"/>
        <v>196</v>
      </c>
      <c r="P53" s="557">
        <v>41</v>
      </c>
      <c r="Q53" s="555">
        <v>36</v>
      </c>
      <c r="R53" s="555">
        <v>53</v>
      </c>
      <c r="S53" s="555">
        <v>35</v>
      </c>
      <c r="T53" s="555">
        <v>43</v>
      </c>
      <c r="U53" s="555">
        <v>36</v>
      </c>
      <c r="V53" s="555">
        <v>50</v>
      </c>
      <c r="W53" s="555">
        <v>37</v>
      </c>
      <c r="X53" s="555">
        <v>50</v>
      </c>
      <c r="Y53" s="555">
        <v>35</v>
      </c>
      <c r="Z53" s="942">
        <f t="shared" si="2"/>
        <v>416</v>
      </c>
      <c r="AA53" s="548" t="s">
        <v>1193</v>
      </c>
      <c r="AB53" s="944">
        <f t="shared" si="4"/>
        <v>83.2</v>
      </c>
      <c r="AC53" s="548">
        <f t="shared" si="3"/>
        <v>42</v>
      </c>
    </row>
    <row r="54" spans="1:29" s="556" customFormat="1" ht="15">
      <c r="A54" s="547">
        <v>150</v>
      </c>
      <c r="B54" s="548" t="s">
        <v>1664</v>
      </c>
      <c r="C54" s="548" t="s">
        <v>1271</v>
      </c>
      <c r="D54" s="548" t="s">
        <v>1665</v>
      </c>
      <c r="E54" s="549" t="s">
        <v>1272</v>
      </c>
      <c r="F54" s="550">
        <v>319324081</v>
      </c>
      <c r="G54" s="547">
        <v>1429</v>
      </c>
      <c r="H54" s="550" t="s">
        <v>2242</v>
      </c>
      <c r="I54" s="551" t="s">
        <v>2059</v>
      </c>
      <c r="J54" s="557">
        <v>58</v>
      </c>
      <c r="K54" s="555">
        <v>53</v>
      </c>
      <c r="L54" s="555">
        <v>46</v>
      </c>
      <c r="M54" s="555">
        <v>47</v>
      </c>
      <c r="N54" s="558">
        <v>50</v>
      </c>
      <c r="O54" s="575">
        <f t="shared" si="1"/>
        <v>204</v>
      </c>
      <c r="P54" s="557">
        <v>52</v>
      </c>
      <c r="Q54" s="555">
        <v>38</v>
      </c>
      <c r="R54" s="555">
        <v>53</v>
      </c>
      <c r="S54" s="555">
        <v>37</v>
      </c>
      <c r="T54" s="555">
        <v>51</v>
      </c>
      <c r="U54" s="555">
        <v>36</v>
      </c>
      <c r="V54" s="555">
        <v>54</v>
      </c>
      <c r="W54" s="555">
        <v>34</v>
      </c>
      <c r="X54" s="555">
        <v>55</v>
      </c>
      <c r="Y54" s="555">
        <v>35</v>
      </c>
      <c r="Z54" s="942">
        <f t="shared" si="2"/>
        <v>445</v>
      </c>
      <c r="AA54" s="548" t="s">
        <v>817</v>
      </c>
      <c r="AB54" s="944">
        <f t="shared" si="4"/>
        <v>89</v>
      </c>
      <c r="AC54" s="548">
        <f t="shared" si="3"/>
        <v>12</v>
      </c>
    </row>
    <row r="55" spans="1:29" s="556" customFormat="1" ht="15">
      <c r="A55" s="547">
        <v>151</v>
      </c>
      <c r="B55" s="548" t="s">
        <v>1273</v>
      </c>
      <c r="C55" s="548" t="s">
        <v>1274</v>
      </c>
      <c r="D55" s="548" t="s">
        <v>127</v>
      </c>
      <c r="E55" s="549" t="s">
        <v>1275</v>
      </c>
      <c r="F55" s="550">
        <v>310032342</v>
      </c>
      <c r="G55" s="547">
        <v>1350</v>
      </c>
      <c r="H55" s="550" t="s">
        <v>2242</v>
      </c>
      <c r="I55" s="551" t="s">
        <v>2059</v>
      </c>
      <c r="J55" s="557">
        <v>60</v>
      </c>
      <c r="K55" s="555">
        <v>58</v>
      </c>
      <c r="L55" s="555">
        <v>60</v>
      </c>
      <c r="M55" s="555">
        <v>60</v>
      </c>
      <c r="N55" s="558">
        <v>59</v>
      </c>
      <c r="O55" s="575">
        <f t="shared" si="1"/>
        <v>238</v>
      </c>
      <c r="P55" s="557">
        <v>58</v>
      </c>
      <c r="Q55" s="555">
        <v>39</v>
      </c>
      <c r="R55" s="555">
        <v>57</v>
      </c>
      <c r="S55" s="555">
        <v>38</v>
      </c>
      <c r="T55" s="555">
        <v>59</v>
      </c>
      <c r="U55" s="555">
        <v>39</v>
      </c>
      <c r="V55" s="555">
        <v>58</v>
      </c>
      <c r="W55" s="555">
        <v>39</v>
      </c>
      <c r="X55" s="555">
        <v>58</v>
      </c>
      <c r="Y55" s="555">
        <v>38</v>
      </c>
      <c r="Z55" s="942">
        <f t="shared" si="2"/>
        <v>483</v>
      </c>
      <c r="AA55" s="548" t="s">
        <v>1218</v>
      </c>
      <c r="AB55" s="944">
        <f t="shared" si="4"/>
        <v>96.6</v>
      </c>
      <c r="AC55" s="548">
        <f t="shared" si="3"/>
        <v>1</v>
      </c>
    </row>
    <row r="56" spans="1:29" s="556" customFormat="1" ht="15">
      <c r="A56" s="547">
        <v>152</v>
      </c>
      <c r="B56" s="548" t="s">
        <v>1334</v>
      </c>
      <c r="C56" s="548" t="s">
        <v>1312</v>
      </c>
      <c r="D56" s="548" t="s">
        <v>1313</v>
      </c>
      <c r="E56" s="549" t="s">
        <v>1314</v>
      </c>
      <c r="F56" s="550">
        <v>314844482</v>
      </c>
      <c r="G56" s="547">
        <v>1633</v>
      </c>
      <c r="H56" s="550" t="s">
        <v>2242</v>
      </c>
      <c r="I56" s="551" t="s">
        <v>2059</v>
      </c>
      <c r="J56" s="557">
        <v>60</v>
      </c>
      <c r="K56" s="555">
        <v>58</v>
      </c>
      <c r="L56" s="555">
        <v>60</v>
      </c>
      <c r="M56" s="555">
        <v>60</v>
      </c>
      <c r="N56" s="558">
        <v>59</v>
      </c>
      <c r="O56" s="575">
        <f t="shared" si="1"/>
        <v>238</v>
      </c>
      <c r="P56" s="557">
        <v>58</v>
      </c>
      <c r="Q56" s="555">
        <v>39</v>
      </c>
      <c r="R56" s="555">
        <v>57</v>
      </c>
      <c r="S56" s="555">
        <v>38</v>
      </c>
      <c r="T56" s="555">
        <v>58</v>
      </c>
      <c r="U56" s="555">
        <v>39</v>
      </c>
      <c r="V56" s="555">
        <v>55</v>
      </c>
      <c r="W56" s="555">
        <v>39</v>
      </c>
      <c r="X56" s="555">
        <v>54</v>
      </c>
      <c r="Y56" s="555">
        <v>34</v>
      </c>
      <c r="Z56" s="942">
        <f t="shared" si="2"/>
        <v>471</v>
      </c>
      <c r="AA56" s="548" t="s">
        <v>1360</v>
      </c>
      <c r="AB56" s="944">
        <f t="shared" si="4"/>
        <v>94.2</v>
      </c>
      <c r="AC56" s="548">
        <f t="shared" si="3"/>
        <v>1</v>
      </c>
    </row>
    <row r="57" spans="1:29" s="556" customFormat="1" ht="15">
      <c r="A57" s="547">
        <v>153</v>
      </c>
      <c r="B57" s="548" t="s">
        <v>1294</v>
      </c>
      <c r="C57" s="548" t="s">
        <v>1295</v>
      </c>
      <c r="D57" s="548" t="s">
        <v>1296</v>
      </c>
      <c r="E57" s="549" t="s">
        <v>1297</v>
      </c>
      <c r="F57" s="561">
        <v>321711421</v>
      </c>
      <c r="G57" s="547">
        <v>1529</v>
      </c>
      <c r="H57" s="550" t="s">
        <v>2242</v>
      </c>
      <c r="I57" s="551" t="s">
        <v>2059</v>
      </c>
      <c r="J57" s="557">
        <v>58</v>
      </c>
      <c r="K57" s="555">
        <v>54</v>
      </c>
      <c r="L57" s="555">
        <v>49</v>
      </c>
      <c r="M57" s="555">
        <v>52</v>
      </c>
      <c r="N57" s="558">
        <v>52</v>
      </c>
      <c r="O57" s="575">
        <f t="shared" si="1"/>
        <v>213</v>
      </c>
      <c r="P57" s="557">
        <v>52</v>
      </c>
      <c r="Q57" s="555">
        <v>38</v>
      </c>
      <c r="R57" s="555">
        <v>56</v>
      </c>
      <c r="S57" s="555">
        <v>37</v>
      </c>
      <c r="T57" s="555">
        <v>46</v>
      </c>
      <c r="U57" s="555">
        <v>35</v>
      </c>
      <c r="V57" s="555">
        <v>50</v>
      </c>
      <c r="W57" s="555">
        <v>36</v>
      </c>
      <c r="X57" s="555">
        <v>48</v>
      </c>
      <c r="Y57" s="555">
        <v>34</v>
      </c>
      <c r="Z57" s="942">
        <f t="shared" si="2"/>
        <v>432</v>
      </c>
      <c r="AA57" s="548" t="s">
        <v>1197</v>
      </c>
      <c r="AB57" s="944">
        <f t="shared" si="4"/>
        <v>86.4</v>
      </c>
      <c r="AC57" s="548">
        <f t="shared" si="3"/>
        <v>24</v>
      </c>
    </row>
    <row r="58" spans="1:29" s="556" customFormat="1" ht="15">
      <c r="A58" s="547">
        <v>154</v>
      </c>
      <c r="B58" s="548" t="s">
        <v>1286</v>
      </c>
      <c r="C58" s="548" t="s">
        <v>1287</v>
      </c>
      <c r="D58" s="548" t="s">
        <v>1288</v>
      </c>
      <c r="E58" s="549" t="s">
        <v>1289</v>
      </c>
      <c r="F58" s="561">
        <v>312682518</v>
      </c>
      <c r="G58" s="547">
        <v>1354</v>
      </c>
      <c r="H58" s="550" t="s">
        <v>2242</v>
      </c>
      <c r="I58" s="551" t="s">
        <v>2059</v>
      </c>
      <c r="J58" s="557">
        <v>54</v>
      </c>
      <c r="K58" s="555">
        <v>53</v>
      </c>
      <c r="L58" s="555">
        <v>49</v>
      </c>
      <c r="M58" s="555">
        <v>52</v>
      </c>
      <c r="N58" s="558">
        <v>57</v>
      </c>
      <c r="O58" s="575">
        <f t="shared" si="1"/>
        <v>208</v>
      </c>
      <c r="P58" s="557">
        <v>53</v>
      </c>
      <c r="Q58" s="555">
        <v>36</v>
      </c>
      <c r="R58" s="555">
        <v>57</v>
      </c>
      <c r="S58" s="555">
        <v>38</v>
      </c>
      <c r="T58" s="555">
        <v>53</v>
      </c>
      <c r="U58" s="555">
        <v>37</v>
      </c>
      <c r="V58" s="555">
        <v>51</v>
      </c>
      <c r="W58" s="555">
        <v>36</v>
      </c>
      <c r="X58" s="555">
        <v>56</v>
      </c>
      <c r="Y58" s="555">
        <v>35</v>
      </c>
      <c r="Z58" s="942">
        <f t="shared" si="2"/>
        <v>452</v>
      </c>
      <c r="AA58" s="548" t="s">
        <v>968</v>
      </c>
      <c r="AB58" s="944">
        <f t="shared" si="4"/>
        <v>90.4</v>
      </c>
      <c r="AC58" s="548">
        <f t="shared" si="3"/>
        <v>7</v>
      </c>
    </row>
    <row r="59" spans="1:29" s="556" customFormat="1" ht="15">
      <c r="A59" s="550">
        <v>155</v>
      </c>
      <c r="B59" s="548" t="s">
        <v>1213</v>
      </c>
      <c r="C59" s="548" t="s">
        <v>1658</v>
      </c>
      <c r="D59" s="548" t="s">
        <v>1214</v>
      </c>
      <c r="E59" s="563" t="s">
        <v>1215</v>
      </c>
      <c r="F59" s="550">
        <v>309842019</v>
      </c>
      <c r="G59" s="547">
        <v>1562</v>
      </c>
      <c r="H59" s="547" t="s">
        <v>2242</v>
      </c>
      <c r="I59" s="564" t="s">
        <v>2059</v>
      </c>
      <c r="J59" s="557">
        <v>55</v>
      </c>
      <c r="K59" s="555">
        <v>51</v>
      </c>
      <c r="L59" s="555">
        <v>58</v>
      </c>
      <c r="M59" s="555">
        <v>48</v>
      </c>
      <c r="N59" s="558">
        <v>53</v>
      </c>
      <c r="O59" s="575">
        <f t="shared" si="1"/>
        <v>212</v>
      </c>
      <c r="P59" s="557">
        <v>52</v>
      </c>
      <c r="Q59" s="555">
        <v>35</v>
      </c>
      <c r="R59" s="555">
        <v>56</v>
      </c>
      <c r="S59" s="555">
        <v>36</v>
      </c>
      <c r="T59" s="555">
        <v>56</v>
      </c>
      <c r="U59" s="555">
        <v>38</v>
      </c>
      <c r="V59" s="555">
        <v>50</v>
      </c>
      <c r="W59" s="555">
        <v>35</v>
      </c>
      <c r="X59" s="555">
        <v>48</v>
      </c>
      <c r="Y59" s="555">
        <v>35</v>
      </c>
      <c r="Z59" s="942">
        <f t="shared" si="2"/>
        <v>441</v>
      </c>
      <c r="AA59" s="548" t="s">
        <v>1414</v>
      </c>
      <c r="AB59" s="944">
        <f t="shared" si="4"/>
        <v>88.2</v>
      </c>
      <c r="AC59" s="548">
        <f t="shared" si="3"/>
        <v>12</v>
      </c>
    </row>
    <row r="60" spans="1:29" s="556" customFormat="1" ht="15">
      <c r="A60" s="550">
        <v>156</v>
      </c>
      <c r="B60" s="548" t="s">
        <v>1344</v>
      </c>
      <c r="C60" s="548" t="s">
        <v>1666</v>
      </c>
      <c r="D60" s="548" t="s">
        <v>1345</v>
      </c>
      <c r="E60" s="563" t="s">
        <v>1346</v>
      </c>
      <c r="F60" s="550">
        <v>313729557</v>
      </c>
      <c r="G60" s="547">
        <v>1442</v>
      </c>
      <c r="H60" s="547" t="s">
        <v>2242</v>
      </c>
      <c r="I60" s="564" t="s">
        <v>2059</v>
      </c>
      <c r="J60" s="557">
        <v>57</v>
      </c>
      <c r="K60" s="555">
        <v>50</v>
      </c>
      <c r="L60" s="555">
        <v>57</v>
      </c>
      <c r="M60" s="555">
        <v>45</v>
      </c>
      <c r="N60" s="558">
        <v>52</v>
      </c>
      <c r="O60" s="575">
        <f t="shared" si="1"/>
        <v>209</v>
      </c>
      <c r="P60" s="582">
        <v>51</v>
      </c>
      <c r="Q60" s="560">
        <v>38</v>
      </c>
      <c r="R60" s="560">
        <v>54</v>
      </c>
      <c r="S60" s="560">
        <v>35</v>
      </c>
      <c r="T60" s="560">
        <v>56</v>
      </c>
      <c r="U60" s="560">
        <v>38</v>
      </c>
      <c r="V60" s="560">
        <v>48</v>
      </c>
      <c r="W60" s="560">
        <v>35</v>
      </c>
      <c r="X60" s="560">
        <v>50</v>
      </c>
      <c r="Y60" s="560">
        <v>34</v>
      </c>
      <c r="Z60" s="942">
        <f t="shared" si="2"/>
        <v>439</v>
      </c>
      <c r="AA60" s="548" t="s">
        <v>58</v>
      </c>
      <c r="AB60" s="944">
        <f t="shared" si="4"/>
        <v>87.8</v>
      </c>
      <c r="AC60" s="548">
        <f t="shared" si="3"/>
        <v>13</v>
      </c>
    </row>
    <row r="61" spans="1:29" s="556" customFormat="1" ht="15">
      <c r="A61" s="550">
        <v>157</v>
      </c>
      <c r="B61" s="548" t="s">
        <v>1349</v>
      </c>
      <c r="C61" s="548" t="s">
        <v>1351</v>
      </c>
      <c r="D61" s="548" t="s">
        <v>1350</v>
      </c>
      <c r="E61" s="563" t="s">
        <v>1352</v>
      </c>
      <c r="F61" s="561">
        <v>313812084</v>
      </c>
      <c r="G61" s="547">
        <v>1422</v>
      </c>
      <c r="H61" s="547" t="s">
        <v>2242</v>
      </c>
      <c r="I61" s="564" t="s">
        <v>2059</v>
      </c>
      <c r="J61" s="557">
        <v>52</v>
      </c>
      <c r="K61" s="555">
        <v>47</v>
      </c>
      <c r="L61" s="555">
        <v>43</v>
      </c>
      <c r="M61" s="555">
        <v>46</v>
      </c>
      <c r="N61" s="558">
        <v>49</v>
      </c>
      <c r="O61" s="575">
        <f t="shared" si="1"/>
        <v>188</v>
      </c>
      <c r="P61" s="557">
        <v>50</v>
      </c>
      <c r="Q61" s="555">
        <v>36</v>
      </c>
      <c r="R61" s="555">
        <v>54</v>
      </c>
      <c r="S61" s="555">
        <v>37</v>
      </c>
      <c r="T61" s="555">
        <v>54</v>
      </c>
      <c r="U61" s="555">
        <v>35</v>
      </c>
      <c r="V61" s="555">
        <v>47</v>
      </c>
      <c r="W61" s="555">
        <v>35</v>
      </c>
      <c r="X61" s="555">
        <v>50</v>
      </c>
      <c r="Y61" s="555">
        <v>34</v>
      </c>
      <c r="Z61" s="942">
        <f t="shared" si="2"/>
        <v>432</v>
      </c>
      <c r="AA61" s="548" t="s">
        <v>1228</v>
      </c>
      <c r="AB61" s="944">
        <f t="shared" si="4"/>
        <v>86.4</v>
      </c>
      <c r="AC61" s="548">
        <f t="shared" si="3"/>
        <v>21</v>
      </c>
    </row>
    <row r="62" spans="1:29" s="556" customFormat="1" ht="15">
      <c r="A62" s="550">
        <v>158</v>
      </c>
      <c r="B62" s="548" t="s">
        <v>1231</v>
      </c>
      <c r="C62" s="548" t="s">
        <v>1232</v>
      </c>
      <c r="D62" s="548" t="s">
        <v>1233</v>
      </c>
      <c r="E62" s="563" t="s">
        <v>1234</v>
      </c>
      <c r="F62" s="550"/>
      <c r="G62" s="547">
        <v>1663</v>
      </c>
      <c r="H62" s="547" t="s">
        <v>2242</v>
      </c>
      <c r="I62" s="564" t="s">
        <v>2059</v>
      </c>
      <c r="J62" s="557">
        <v>57</v>
      </c>
      <c r="K62" s="555">
        <v>57</v>
      </c>
      <c r="L62" s="555">
        <v>58</v>
      </c>
      <c r="M62" s="555">
        <v>54</v>
      </c>
      <c r="N62" s="558">
        <v>53</v>
      </c>
      <c r="O62" s="575">
        <f t="shared" si="1"/>
        <v>226</v>
      </c>
      <c r="P62" s="557">
        <v>53</v>
      </c>
      <c r="Q62" s="555">
        <v>38</v>
      </c>
      <c r="R62" s="555">
        <v>52</v>
      </c>
      <c r="S62" s="555">
        <v>38</v>
      </c>
      <c r="T62" s="555">
        <v>55</v>
      </c>
      <c r="U62" s="555">
        <v>37</v>
      </c>
      <c r="V62" s="555">
        <v>49</v>
      </c>
      <c r="W62" s="555">
        <v>38</v>
      </c>
      <c r="X62" s="555">
        <v>50</v>
      </c>
      <c r="Y62" s="555">
        <v>34</v>
      </c>
      <c r="Z62" s="942">
        <f t="shared" si="2"/>
        <v>444</v>
      </c>
      <c r="AA62" s="548" t="s">
        <v>1300</v>
      </c>
      <c r="AB62" s="944">
        <f t="shared" si="4"/>
        <v>88.8</v>
      </c>
      <c r="AC62" s="548">
        <f t="shared" si="3"/>
        <v>9</v>
      </c>
    </row>
    <row r="63" spans="1:29" s="556" customFormat="1" ht="15">
      <c r="A63" s="550">
        <v>159</v>
      </c>
      <c r="B63" s="548" t="s">
        <v>983</v>
      </c>
      <c r="C63" s="548" t="s">
        <v>984</v>
      </c>
      <c r="D63" s="548" t="s">
        <v>2250</v>
      </c>
      <c r="E63" s="563" t="s">
        <v>985</v>
      </c>
      <c r="F63" s="550">
        <v>311770990</v>
      </c>
      <c r="G63" s="547">
        <v>1566</v>
      </c>
      <c r="H63" s="547" t="s">
        <v>2242</v>
      </c>
      <c r="I63" s="564" t="s">
        <v>2059</v>
      </c>
      <c r="J63" s="557">
        <v>57</v>
      </c>
      <c r="K63" s="555">
        <v>58</v>
      </c>
      <c r="L63" s="555">
        <v>60</v>
      </c>
      <c r="M63" s="555">
        <v>54</v>
      </c>
      <c r="N63" s="558">
        <v>56</v>
      </c>
      <c r="O63" s="575">
        <f t="shared" si="1"/>
        <v>229</v>
      </c>
      <c r="P63" s="557">
        <v>56</v>
      </c>
      <c r="Q63" s="555">
        <v>39</v>
      </c>
      <c r="R63" s="555">
        <v>56</v>
      </c>
      <c r="S63" s="555">
        <v>38</v>
      </c>
      <c r="T63" s="555">
        <v>57</v>
      </c>
      <c r="U63" s="555">
        <v>39</v>
      </c>
      <c r="V63" s="555">
        <v>52</v>
      </c>
      <c r="W63" s="555">
        <v>37</v>
      </c>
      <c r="X63" s="555">
        <v>51</v>
      </c>
      <c r="Y63" s="555">
        <v>34</v>
      </c>
      <c r="Z63" s="942">
        <f t="shared" si="2"/>
        <v>459</v>
      </c>
      <c r="AA63" s="548" t="s">
        <v>897</v>
      </c>
      <c r="AB63" s="944">
        <f t="shared" si="4"/>
        <v>91.8</v>
      </c>
      <c r="AC63" s="548">
        <f t="shared" si="3"/>
        <v>3</v>
      </c>
    </row>
    <row r="64" spans="1:29" s="556" customFormat="1" ht="15">
      <c r="A64" s="550">
        <v>160</v>
      </c>
      <c r="B64" s="548" t="s">
        <v>1221</v>
      </c>
      <c r="C64" s="548" t="s">
        <v>1260</v>
      </c>
      <c r="D64" s="548" t="s">
        <v>1222</v>
      </c>
      <c r="E64" s="563" t="s">
        <v>1223</v>
      </c>
      <c r="F64" s="550">
        <v>316039002</v>
      </c>
      <c r="G64" s="547">
        <v>1586</v>
      </c>
      <c r="H64" s="547" t="s">
        <v>2242</v>
      </c>
      <c r="I64" s="564" t="s">
        <v>2059</v>
      </c>
      <c r="J64" s="557">
        <v>56</v>
      </c>
      <c r="K64" s="555">
        <v>58</v>
      </c>
      <c r="L64" s="555">
        <v>55</v>
      </c>
      <c r="M64" s="555">
        <v>56</v>
      </c>
      <c r="N64" s="558">
        <v>55</v>
      </c>
      <c r="O64" s="575">
        <f t="shared" si="1"/>
        <v>225</v>
      </c>
      <c r="P64" s="557">
        <v>53</v>
      </c>
      <c r="Q64" s="555">
        <v>38</v>
      </c>
      <c r="R64" s="555">
        <v>52</v>
      </c>
      <c r="S64" s="555">
        <v>38</v>
      </c>
      <c r="T64" s="555">
        <v>58</v>
      </c>
      <c r="U64" s="555">
        <v>37</v>
      </c>
      <c r="V64" s="555">
        <v>50</v>
      </c>
      <c r="W64" s="555">
        <v>36</v>
      </c>
      <c r="X64" s="555">
        <v>51</v>
      </c>
      <c r="Y64" s="555">
        <v>34</v>
      </c>
      <c r="Z64" s="942">
        <f t="shared" si="2"/>
        <v>447</v>
      </c>
      <c r="AA64" s="548" t="s">
        <v>1443</v>
      </c>
      <c r="AB64" s="944">
        <f t="shared" si="4"/>
        <v>89.4</v>
      </c>
      <c r="AC64" s="548">
        <f t="shared" si="3"/>
        <v>6</v>
      </c>
    </row>
    <row r="65" spans="1:29" s="556" customFormat="1" ht="15">
      <c r="A65" s="550">
        <v>161</v>
      </c>
      <c r="B65" s="548" t="s">
        <v>810</v>
      </c>
      <c r="C65" s="548" t="s">
        <v>2251</v>
      </c>
      <c r="D65" s="548" t="s">
        <v>2252</v>
      </c>
      <c r="E65" s="563" t="s">
        <v>2253</v>
      </c>
      <c r="F65" s="550">
        <v>313135995</v>
      </c>
      <c r="G65" s="547">
        <v>1816</v>
      </c>
      <c r="H65" s="547" t="s">
        <v>2242</v>
      </c>
      <c r="I65" s="564" t="s">
        <v>2059</v>
      </c>
      <c r="J65" s="557">
        <v>49</v>
      </c>
      <c r="K65" s="555">
        <v>53</v>
      </c>
      <c r="L65" s="555">
        <v>55</v>
      </c>
      <c r="M65" s="555">
        <v>45</v>
      </c>
      <c r="N65" s="558">
        <v>51</v>
      </c>
      <c r="O65" s="575">
        <f t="shared" si="1"/>
        <v>202</v>
      </c>
      <c r="P65" s="557">
        <v>53</v>
      </c>
      <c r="Q65" s="555">
        <v>36</v>
      </c>
      <c r="R65" s="555">
        <v>56</v>
      </c>
      <c r="S65" s="555">
        <v>35</v>
      </c>
      <c r="T65" s="555">
        <v>58</v>
      </c>
      <c r="U65" s="555">
        <v>36</v>
      </c>
      <c r="V65" s="555">
        <v>49</v>
      </c>
      <c r="W65" s="555">
        <v>35</v>
      </c>
      <c r="X65" s="555">
        <v>50</v>
      </c>
      <c r="Y65" s="555">
        <v>34</v>
      </c>
      <c r="Z65" s="942">
        <f t="shared" si="2"/>
        <v>442</v>
      </c>
      <c r="AA65" s="548" t="s">
        <v>2238</v>
      </c>
      <c r="AB65" s="944">
        <f t="shared" si="4"/>
        <v>88.4</v>
      </c>
      <c r="AC65" s="548">
        <f t="shared" si="3"/>
        <v>7</v>
      </c>
    </row>
    <row r="66" spans="1:29" s="556" customFormat="1" ht="15">
      <c r="A66" s="550">
        <v>162</v>
      </c>
      <c r="B66" s="548" t="s">
        <v>2258</v>
      </c>
      <c r="C66" s="548" t="s">
        <v>2254</v>
      </c>
      <c r="D66" s="548" t="s">
        <v>2255</v>
      </c>
      <c r="E66" s="547" t="s">
        <v>2256</v>
      </c>
      <c r="F66" s="550">
        <v>318271193</v>
      </c>
      <c r="G66" s="547">
        <v>1729</v>
      </c>
      <c r="H66" s="547" t="s">
        <v>2242</v>
      </c>
      <c r="I66" s="564" t="s">
        <v>2059</v>
      </c>
      <c r="J66" s="557">
        <v>51</v>
      </c>
      <c r="K66" s="555">
        <v>49</v>
      </c>
      <c r="L66" s="555">
        <v>52</v>
      </c>
      <c r="M66" s="555">
        <v>47</v>
      </c>
      <c r="N66" s="558">
        <v>51</v>
      </c>
      <c r="O66" s="575">
        <f t="shared" si="1"/>
        <v>199</v>
      </c>
      <c r="P66" s="557">
        <v>53</v>
      </c>
      <c r="Q66" s="555">
        <v>35</v>
      </c>
      <c r="R66" s="555">
        <v>54</v>
      </c>
      <c r="S66" s="555">
        <v>36</v>
      </c>
      <c r="T66" s="555">
        <v>58</v>
      </c>
      <c r="U66" s="555">
        <v>36</v>
      </c>
      <c r="V66" s="555">
        <v>51</v>
      </c>
      <c r="W66" s="555">
        <v>37</v>
      </c>
      <c r="X66" s="555">
        <v>45</v>
      </c>
      <c r="Y66" s="555">
        <v>33</v>
      </c>
      <c r="Z66" s="942">
        <f t="shared" si="2"/>
        <v>438</v>
      </c>
      <c r="AA66" s="548" t="s">
        <v>1363</v>
      </c>
      <c r="AB66" s="944">
        <f t="shared" si="4"/>
        <v>87.6</v>
      </c>
      <c r="AC66" s="548">
        <f t="shared" si="3"/>
        <v>11</v>
      </c>
    </row>
    <row r="67" spans="1:29" s="556" customFormat="1" ht="15">
      <c r="A67" s="550">
        <v>163</v>
      </c>
      <c r="B67" s="548" t="s">
        <v>2257</v>
      </c>
      <c r="C67" s="548" t="s">
        <v>2259</v>
      </c>
      <c r="D67" s="548" t="s">
        <v>365</v>
      </c>
      <c r="E67" s="549" t="s">
        <v>837</v>
      </c>
      <c r="F67" s="550">
        <v>313780378</v>
      </c>
      <c r="G67" s="547">
        <v>1820</v>
      </c>
      <c r="H67" s="547" t="s">
        <v>2242</v>
      </c>
      <c r="I67" s="564" t="s">
        <v>2059</v>
      </c>
      <c r="J67" s="557"/>
      <c r="K67" s="555"/>
      <c r="L67" s="555"/>
      <c r="M67" s="555"/>
      <c r="N67" s="558"/>
      <c r="O67" s="575">
        <f t="shared" si="1"/>
        <v>0</v>
      </c>
      <c r="P67" s="557"/>
      <c r="Q67" s="555"/>
      <c r="R67" s="555"/>
      <c r="S67" s="555"/>
      <c r="T67" s="555"/>
      <c r="U67" s="555"/>
      <c r="V67" s="555"/>
      <c r="W67" s="555"/>
      <c r="X67" s="555"/>
      <c r="Y67" s="555"/>
      <c r="Z67" s="942">
        <f t="shared" si="2"/>
        <v>0</v>
      </c>
      <c r="AA67" s="548" t="s">
        <v>823</v>
      </c>
      <c r="AB67" s="944">
        <f t="shared" si="4"/>
        <v>0</v>
      </c>
      <c r="AC67" s="548">
        <f t="shared" si="3"/>
        <v>50</v>
      </c>
    </row>
    <row r="68" spans="1:29" s="556" customFormat="1" ht="15">
      <c r="A68" s="550">
        <v>164</v>
      </c>
      <c r="B68" s="548" t="s">
        <v>1235</v>
      </c>
      <c r="C68" s="548" t="s">
        <v>1236</v>
      </c>
      <c r="D68" s="548" t="s">
        <v>1237</v>
      </c>
      <c r="E68" s="563" t="s">
        <v>832</v>
      </c>
      <c r="F68" s="565">
        <v>308428988</v>
      </c>
      <c r="G68" s="547">
        <v>1456</v>
      </c>
      <c r="H68" s="547" t="s">
        <v>2242</v>
      </c>
      <c r="I68" s="564" t="s">
        <v>2059</v>
      </c>
      <c r="J68" s="557">
        <v>56</v>
      </c>
      <c r="K68" s="555">
        <v>53</v>
      </c>
      <c r="L68" s="555">
        <v>56</v>
      </c>
      <c r="M68" s="555">
        <v>47</v>
      </c>
      <c r="N68" s="558">
        <v>48</v>
      </c>
      <c r="O68" s="575">
        <f t="shared" si="1"/>
        <v>212</v>
      </c>
      <c r="P68" s="557">
        <v>53</v>
      </c>
      <c r="Q68" s="555">
        <v>38</v>
      </c>
      <c r="R68" s="555">
        <v>55</v>
      </c>
      <c r="S68" s="555">
        <v>36</v>
      </c>
      <c r="T68" s="555">
        <v>58</v>
      </c>
      <c r="U68" s="555">
        <v>37</v>
      </c>
      <c r="V68" s="555">
        <v>47</v>
      </c>
      <c r="W68" s="555">
        <v>36</v>
      </c>
      <c r="X68" s="555">
        <v>48</v>
      </c>
      <c r="Y68" s="555">
        <v>34</v>
      </c>
      <c r="Z68" s="942">
        <f t="shared" si="2"/>
        <v>442</v>
      </c>
      <c r="AA68" s="548" t="s">
        <v>1394</v>
      </c>
      <c r="AB68" s="944">
        <f t="shared" si="4"/>
        <v>88.4</v>
      </c>
      <c r="AC68" s="548">
        <f t="shared" si="3"/>
        <v>7</v>
      </c>
    </row>
    <row r="69" spans="1:29" s="556" customFormat="1" ht="15">
      <c r="A69" s="550">
        <v>165</v>
      </c>
      <c r="B69" s="548" t="s">
        <v>817</v>
      </c>
      <c r="C69" s="548" t="s">
        <v>423</v>
      </c>
      <c r="D69" s="548" t="s">
        <v>1104</v>
      </c>
      <c r="E69" s="563" t="s">
        <v>1357</v>
      </c>
      <c r="F69" s="550">
        <v>315080269</v>
      </c>
      <c r="G69" s="547">
        <v>1373</v>
      </c>
      <c r="H69" s="547" t="s">
        <v>2242</v>
      </c>
      <c r="I69" s="564" t="s">
        <v>2059</v>
      </c>
      <c r="J69" s="557">
        <v>56</v>
      </c>
      <c r="K69" s="555">
        <v>53</v>
      </c>
      <c r="L69" s="555">
        <v>57</v>
      </c>
      <c r="M69" s="555">
        <v>47</v>
      </c>
      <c r="N69" s="558">
        <v>52</v>
      </c>
      <c r="O69" s="575">
        <f t="shared" si="1"/>
        <v>213</v>
      </c>
      <c r="P69" s="557">
        <v>53</v>
      </c>
      <c r="Q69" s="555">
        <v>39</v>
      </c>
      <c r="R69" s="555">
        <v>50</v>
      </c>
      <c r="S69" s="555">
        <v>37</v>
      </c>
      <c r="T69" s="555">
        <v>54</v>
      </c>
      <c r="U69" s="555">
        <v>38</v>
      </c>
      <c r="V69" s="555">
        <v>48</v>
      </c>
      <c r="W69" s="555">
        <v>35</v>
      </c>
      <c r="X69" s="555">
        <v>47</v>
      </c>
      <c r="Y69" s="555">
        <v>33</v>
      </c>
      <c r="Z69" s="942">
        <f t="shared" si="2"/>
        <v>434</v>
      </c>
      <c r="AA69" s="548" t="s">
        <v>1200</v>
      </c>
      <c r="AB69" s="944">
        <f t="shared" ref="AB69:AB100" si="5">Z69/5</f>
        <v>86.8</v>
      </c>
      <c r="AC69" s="548">
        <f t="shared" si="3"/>
        <v>14</v>
      </c>
    </row>
    <row r="70" spans="1:29" s="556" customFormat="1" ht="15">
      <c r="A70" s="550">
        <v>166</v>
      </c>
      <c r="B70" s="548" t="s">
        <v>1360</v>
      </c>
      <c r="C70" s="548" t="s">
        <v>1361</v>
      </c>
      <c r="D70" s="548" t="s">
        <v>1267</v>
      </c>
      <c r="E70" s="563" t="s">
        <v>1362</v>
      </c>
      <c r="F70" s="550">
        <v>315860809</v>
      </c>
      <c r="G70" s="547">
        <v>1323</v>
      </c>
      <c r="H70" s="547" t="s">
        <v>2242</v>
      </c>
      <c r="I70" s="564" t="s">
        <v>2059</v>
      </c>
      <c r="J70" s="557">
        <v>58</v>
      </c>
      <c r="K70" s="555">
        <v>56</v>
      </c>
      <c r="L70" s="555">
        <v>59</v>
      </c>
      <c r="M70" s="555">
        <v>50</v>
      </c>
      <c r="N70" s="558">
        <v>53</v>
      </c>
      <c r="O70" s="575">
        <f t="shared" ref="O70:O117" si="6">SUM(J70:M70)</f>
        <v>223</v>
      </c>
      <c r="P70" s="557">
        <v>54</v>
      </c>
      <c r="Q70" s="555">
        <v>38</v>
      </c>
      <c r="R70" s="555">
        <v>56</v>
      </c>
      <c r="S70" s="555">
        <v>38</v>
      </c>
      <c r="T70" s="555">
        <v>59</v>
      </c>
      <c r="U70" s="555">
        <v>39</v>
      </c>
      <c r="V70" s="555">
        <v>54</v>
      </c>
      <c r="W70" s="555">
        <v>36</v>
      </c>
      <c r="X70" s="555">
        <v>51</v>
      </c>
      <c r="Y70" s="555">
        <v>36</v>
      </c>
      <c r="Z70" s="942">
        <f t="shared" ref="Z70:Z117" si="7">SUM(P70:Y70)</f>
        <v>461</v>
      </c>
      <c r="AA70" s="548" t="s">
        <v>1390</v>
      </c>
      <c r="AB70" s="944">
        <f t="shared" si="5"/>
        <v>92.2</v>
      </c>
      <c r="AC70" s="548">
        <f t="shared" ref="AC70:AC117" si="8">RANK(AB70,AB70:AB182)</f>
        <v>2</v>
      </c>
    </row>
    <row r="71" spans="1:29" s="556" customFormat="1" ht="15">
      <c r="A71" s="550">
        <v>167</v>
      </c>
      <c r="B71" s="548" t="s">
        <v>823</v>
      </c>
      <c r="C71" s="548" t="s">
        <v>1282</v>
      </c>
      <c r="D71" s="548" t="s">
        <v>425</v>
      </c>
      <c r="E71" s="563" t="s">
        <v>1212</v>
      </c>
      <c r="F71" s="550">
        <v>311633564</v>
      </c>
      <c r="G71" s="547">
        <v>1498</v>
      </c>
      <c r="H71" s="547" t="s">
        <v>2242</v>
      </c>
      <c r="I71" s="564" t="s">
        <v>2059</v>
      </c>
      <c r="J71" s="557">
        <v>56</v>
      </c>
      <c r="K71" s="555">
        <v>52</v>
      </c>
      <c r="L71" s="555">
        <v>51</v>
      </c>
      <c r="M71" s="555">
        <v>52</v>
      </c>
      <c r="N71" s="558">
        <v>55</v>
      </c>
      <c r="O71" s="575">
        <f t="shared" si="6"/>
        <v>211</v>
      </c>
      <c r="P71" s="557">
        <v>53</v>
      </c>
      <c r="Q71" s="555">
        <v>38</v>
      </c>
      <c r="R71" s="555">
        <v>55</v>
      </c>
      <c r="S71" s="555">
        <v>35</v>
      </c>
      <c r="T71" s="555">
        <v>55</v>
      </c>
      <c r="U71" s="555">
        <v>36</v>
      </c>
      <c r="V71" s="555">
        <v>51</v>
      </c>
      <c r="W71" s="555">
        <v>35</v>
      </c>
      <c r="X71" s="555">
        <v>46</v>
      </c>
      <c r="Y71" s="555">
        <v>33</v>
      </c>
      <c r="Z71" s="942">
        <f t="shared" si="7"/>
        <v>437</v>
      </c>
      <c r="AA71" s="548" t="s">
        <v>2260</v>
      </c>
      <c r="AB71" s="944">
        <f t="shared" si="5"/>
        <v>87.4</v>
      </c>
      <c r="AC71" s="548">
        <f t="shared" si="8"/>
        <v>10</v>
      </c>
    </row>
    <row r="72" spans="1:29" s="556" customFormat="1" ht="15">
      <c r="A72" s="550">
        <v>168</v>
      </c>
      <c r="B72" s="548" t="s">
        <v>1394</v>
      </c>
      <c r="C72" s="548" t="s">
        <v>239</v>
      </c>
      <c r="D72" s="548" t="s">
        <v>1395</v>
      </c>
      <c r="E72" s="563" t="s">
        <v>873</v>
      </c>
      <c r="F72" s="550">
        <v>315620339</v>
      </c>
      <c r="G72" s="547">
        <v>1665</v>
      </c>
      <c r="H72" s="547" t="s">
        <v>2242</v>
      </c>
      <c r="I72" s="564" t="s">
        <v>2059</v>
      </c>
      <c r="J72" s="557">
        <v>56</v>
      </c>
      <c r="K72" s="555">
        <v>53</v>
      </c>
      <c r="L72" s="555">
        <v>56</v>
      </c>
      <c r="M72" s="555">
        <v>54</v>
      </c>
      <c r="N72" s="558">
        <v>56</v>
      </c>
      <c r="O72" s="575">
        <f t="shared" si="6"/>
        <v>219</v>
      </c>
      <c r="P72" s="557">
        <v>52</v>
      </c>
      <c r="Q72" s="555">
        <v>38</v>
      </c>
      <c r="R72" s="555">
        <v>50</v>
      </c>
      <c r="S72" s="555">
        <v>36</v>
      </c>
      <c r="T72" s="555">
        <v>56</v>
      </c>
      <c r="U72" s="555">
        <v>37</v>
      </c>
      <c r="V72" s="555">
        <v>53</v>
      </c>
      <c r="W72" s="555">
        <v>37</v>
      </c>
      <c r="X72" s="555">
        <v>47</v>
      </c>
      <c r="Y72" s="555">
        <v>33</v>
      </c>
      <c r="Z72" s="942">
        <f t="shared" si="7"/>
        <v>439</v>
      </c>
      <c r="AA72" s="548" t="s">
        <v>1366</v>
      </c>
      <c r="AB72" s="944">
        <f t="shared" si="5"/>
        <v>87.8</v>
      </c>
      <c r="AC72" s="548">
        <f t="shared" si="8"/>
        <v>7</v>
      </c>
    </row>
    <row r="73" spans="1:29" s="556" customFormat="1" ht="15">
      <c r="A73" s="550">
        <v>169</v>
      </c>
      <c r="B73" s="548" t="s">
        <v>1200</v>
      </c>
      <c r="C73" s="548" t="s">
        <v>1239</v>
      </c>
      <c r="D73" s="548" t="s">
        <v>1201</v>
      </c>
      <c r="E73" s="563" t="s">
        <v>1202</v>
      </c>
      <c r="F73" s="550">
        <v>310844175</v>
      </c>
      <c r="G73" s="547">
        <v>1365</v>
      </c>
      <c r="H73" s="547" t="s">
        <v>2242</v>
      </c>
      <c r="I73" s="564" t="s">
        <v>2059</v>
      </c>
      <c r="J73" s="557">
        <v>60</v>
      </c>
      <c r="K73" s="555">
        <v>54</v>
      </c>
      <c r="L73" s="555">
        <v>55</v>
      </c>
      <c r="M73" s="555">
        <v>55</v>
      </c>
      <c r="N73" s="558">
        <v>56</v>
      </c>
      <c r="O73" s="575">
        <f t="shared" si="6"/>
        <v>224</v>
      </c>
      <c r="P73" s="557">
        <v>51</v>
      </c>
      <c r="Q73" s="555">
        <v>39</v>
      </c>
      <c r="R73" s="555">
        <v>50</v>
      </c>
      <c r="S73" s="555">
        <v>38</v>
      </c>
      <c r="T73" s="555">
        <v>53</v>
      </c>
      <c r="U73" s="555">
        <v>38</v>
      </c>
      <c r="V73" s="555">
        <v>54</v>
      </c>
      <c r="W73" s="555">
        <v>37</v>
      </c>
      <c r="X73" s="555">
        <v>47</v>
      </c>
      <c r="Y73" s="555">
        <v>33</v>
      </c>
      <c r="Z73" s="942">
        <f t="shared" si="7"/>
        <v>440</v>
      </c>
      <c r="AA73" s="548" t="s">
        <v>708</v>
      </c>
      <c r="AB73" s="944">
        <f t="shared" si="5"/>
        <v>88</v>
      </c>
      <c r="AC73" s="548">
        <f t="shared" si="8"/>
        <v>6</v>
      </c>
    </row>
    <row r="74" spans="1:29" s="556" customFormat="1" ht="15">
      <c r="A74" s="550">
        <v>170</v>
      </c>
      <c r="B74" s="548" t="s">
        <v>2260</v>
      </c>
      <c r="C74" s="548" t="s">
        <v>37</v>
      </c>
      <c r="D74" s="548" t="s">
        <v>2261</v>
      </c>
      <c r="E74" s="549" t="s">
        <v>2262</v>
      </c>
      <c r="F74" s="550">
        <v>312090586</v>
      </c>
      <c r="G74" s="547">
        <v>1707</v>
      </c>
      <c r="H74" s="547" t="s">
        <v>2242</v>
      </c>
      <c r="I74" s="564" t="s">
        <v>2059</v>
      </c>
      <c r="J74" s="557">
        <v>58</v>
      </c>
      <c r="K74" s="555">
        <v>55</v>
      </c>
      <c r="L74" s="555">
        <v>56</v>
      </c>
      <c r="M74" s="555">
        <v>57</v>
      </c>
      <c r="N74" s="558">
        <v>57</v>
      </c>
      <c r="O74" s="575">
        <f t="shared" si="6"/>
        <v>226</v>
      </c>
      <c r="P74" s="557">
        <v>55</v>
      </c>
      <c r="Q74" s="555">
        <v>38</v>
      </c>
      <c r="R74" s="555">
        <v>56</v>
      </c>
      <c r="S74" s="555">
        <v>36</v>
      </c>
      <c r="T74" s="555">
        <v>58</v>
      </c>
      <c r="U74" s="555">
        <v>37</v>
      </c>
      <c r="V74" s="555">
        <v>53</v>
      </c>
      <c r="W74" s="555">
        <v>36</v>
      </c>
      <c r="X74" s="555">
        <v>54</v>
      </c>
      <c r="Y74" s="555">
        <v>35</v>
      </c>
      <c r="Z74" s="942">
        <f t="shared" si="7"/>
        <v>458</v>
      </c>
      <c r="AA74" s="548" t="s">
        <v>2244</v>
      </c>
      <c r="AB74" s="944">
        <f t="shared" si="5"/>
        <v>91.6</v>
      </c>
      <c r="AC74" s="548">
        <f t="shared" si="8"/>
        <v>3</v>
      </c>
    </row>
    <row r="75" spans="1:29" s="556" customFormat="1" ht="15">
      <c r="A75" s="550">
        <v>171</v>
      </c>
      <c r="B75" s="548" t="s">
        <v>708</v>
      </c>
      <c r="C75" s="548" t="s">
        <v>1281</v>
      </c>
      <c r="D75" s="548" t="s">
        <v>425</v>
      </c>
      <c r="E75" s="563" t="s">
        <v>1212</v>
      </c>
      <c r="F75" s="550">
        <v>311633563</v>
      </c>
      <c r="G75" s="547">
        <v>1499</v>
      </c>
      <c r="H75" s="547" t="s">
        <v>2242</v>
      </c>
      <c r="I75" s="564" t="s">
        <v>2059</v>
      </c>
      <c r="J75" s="557">
        <v>56</v>
      </c>
      <c r="K75" s="555">
        <v>59</v>
      </c>
      <c r="L75" s="555">
        <v>53</v>
      </c>
      <c r="M75" s="555">
        <v>55</v>
      </c>
      <c r="N75" s="558">
        <v>54</v>
      </c>
      <c r="O75" s="575">
        <f t="shared" si="6"/>
        <v>223</v>
      </c>
      <c r="P75" s="557">
        <v>53</v>
      </c>
      <c r="Q75" s="555">
        <v>38</v>
      </c>
      <c r="R75" s="555">
        <v>41</v>
      </c>
      <c r="S75" s="555">
        <v>39</v>
      </c>
      <c r="T75" s="555">
        <v>51</v>
      </c>
      <c r="U75" s="555">
        <v>37</v>
      </c>
      <c r="V75" s="555">
        <v>49</v>
      </c>
      <c r="W75" s="555">
        <v>37</v>
      </c>
      <c r="X75" s="555">
        <v>38</v>
      </c>
      <c r="Y75" s="555">
        <v>30</v>
      </c>
      <c r="Z75" s="942">
        <f t="shared" si="7"/>
        <v>413</v>
      </c>
      <c r="AA75" s="548" t="s">
        <v>1387</v>
      </c>
      <c r="AB75" s="944">
        <f t="shared" si="5"/>
        <v>82.6</v>
      </c>
      <c r="AC75" s="548">
        <f t="shared" si="8"/>
        <v>22</v>
      </c>
    </row>
    <row r="76" spans="1:29" s="556" customFormat="1" ht="15">
      <c r="A76" s="550">
        <v>172</v>
      </c>
      <c r="B76" s="548" t="s">
        <v>836</v>
      </c>
      <c r="C76" s="548" t="s">
        <v>785</v>
      </c>
      <c r="D76" s="548" t="s">
        <v>488</v>
      </c>
      <c r="E76" s="563" t="s">
        <v>1224</v>
      </c>
      <c r="F76" s="550">
        <v>313780385</v>
      </c>
      <c r="G76" s="547">
        <v>1594</v>
      </c>
      <c r="H76" s="547" t="s">
        <v>2242</v>
      </c>
      <c r="I76" s="564" t="s">
        <v>2059</v>
      </c>
      <c r="J76" s="557">
        <v>55</v>
      </c>
      <c r="K76" s="555">
        <v>57</v>
      </c>
      <c r="L76" s="555">
        <v>59</v>
      </c>
      <c r="M76" s="555">
        <v>56</v>
      </c>
      <c r="N76" s="558">
        <v>53</v>
      </c>
      <c r="O76" s="575">
        <f t="shared" si="6"/>
        <v>227</v>
      </c>
      <c r="P76" s="557">
        <v>50</v>
      </c>
      <c r="Q76" s="555">
        <v>37</v>
      </c>
      <c r="R76" s="555">
        <v>49</v>
      </c>
      <c r="S76" s="555">
        <v>38</v>
      </c>
      <c r="T76" s="555">
        <v>53</v>
      </c>
      <c r="U76" s="555">
        <v>39</v>
      </c>
      <c r="V76" s="555">
        <v>53</v>
      </c>
      <c r="W76" s="555">
        <v>36</v>
      </c>
      <c r="X76" s="555">
        <v>37</v>
      </c>
      <c r="Y76" s="555">
        <v>30</v>
      </c>
      <c r="Z76" s="942">
        <f t="shared" si="7"/>
        <v>422</v>
      </c>
      <c r="AA76" s="548" t="s">
        <v>1209</v>
      </c>
      <c r="AB76" s="944">
        <f t="shared" si="5"/>
        <v>84.4</v>
      </c>
      <c r="AC76" s="548">
        <f t="shared" si="8"/>
        <v>18</v>
      </c>
    </row>
    <row r="77" spans="1:29" s="556" customFormat="1" ht="15">
      <c r="A77" s="550">
        <v>173</v>
      </c>
      <c r="B77" s="548" t="s">
        <v>1387</v>
      </c>
      <c r="C77" s="548" t="s">
        <v>1388</v>
      </c>
      <c r="D77" s="548" t="s">
        <v>1389</v>
      </c>
      <c r="E77" s="563" t="s">
        <v>900</v>
      </c>
      <c r="F77" s="550">
        <v>317261057</v>
      </c>
      <c r="G77" s="547">
        <v>1526</v>
      </c>
      <c r="H77" s="547" t="s">
        <v>2242</v>
      </c>
      <c r="I77" s="564" t="s">
        <v>2059</v>
      </c>
      <c r="J77" s="557">
        <v>55</v>
      </c>
      <c r="K77" s="555">
        <v>48</v>
      </c>
      <c r="L77" s="555">
        <v>59</v>
      </c>
      <c r="M77" s="555">
        <v>55</v>
      </c>
      <c r="N77" s="558">
        <v>52</v>
      </c>
      <c r="O77" s="575">
        <f t="shared" si="6"/>
        <v>217</v>
      </c>
      <c r="P77" s="557">
        <v>53</v>
      </c>
      <c r="Q77" s="555">
        <v>37</v>
      </c>
      <c r="R77" s="555">
        <v>53</v>
      </c>
      <c r="S77" s="555">
        <v>35</v>
      </c>
      <c r="T77" s="555">
        <v>55</v>
      </c>
      <c r="U77" s="555">
        <v>38</v>
      </c>
      <c r="V77" s="555">
        <v>51</v>
      </c>
      <c r="W77" s="555">
        <v>36</v>
      </c>
      <c r="X77" s="555">
        <v>41</v>
      </c>
      <c r="Y77" s="555">
        <v>31</v>
      </c>
      <c r="Z77" s="942">
        <f t="shared" si="7"/>
        <v>430</v>
      </c>
      <c r="AA77" s="548" t="s">
        <v>836</v>
      </c>
      <c r="AB77" s="944">
        <f t="shared" si="5"/>
        <v>86</v>
      </c>
      <c r="AC77" s="548">
        <f t="shared" si="8"/>
        <v>9</v>
      </c>
    </row>
    <row r="78" spans="1:29" s="556" customFormat="1" ht="15">
      <c r="A78" s="550">
        <v>174</v>
      </c>
      <c r="B78" s="548" t="s">
        <v>2243</v>
      </c>
      <c r="C78" s="548" t="s">
        <v>2263</v>
      </c>
      <c r="D78" s="548" t="s">
        <v>1921</v>
      </c>
      <c r="E78" s="549" t="s">
        <v>787</v>
      </c>
      <c r="F78" s="550">
        <v>318350659</v>
      </c>
      <c r="G78" s="547">
        <v>1754</v>
      </c>
      <c r="H78" s="547" t="s">
        <v>2242</v>
      </c>
      <c r="I78" s="564" t="s">
        <v>2059</v>
      </c>
      <c r="J78" s="557">
        <v>53</v>
      </c>
      <c r="K78" s="555">
        <v>46</v>
      </c>
      <c r="L78" s="555">
        <v>45</v>
      </c>
      <c r="M78" s="555">
        <v>43</v>
      </c>
      <c r="N78" s="558">
        <v>48</v>
      </c>
      <c r="O78" s="575">
        <f t="shared" si="6"/>
        <v>187</v>
      </c>
      <c r="P78" s="557">
        <v>45</v>
      </c>
      <c r="Q78" s="555">
        <v>36</v>
      </c>
      <c r="R78" s="555">
        <v>52</v>
      </c>
      <c r="S78" s="555">
        <v>35</v>
      </c>
      <c r="T78" s="555">
        <v>48</v>
      </c>
      <c r="U78" s="555">
        <v>35</v>
      </c>
      <c r="V78" s="555">
        <v>47</v>
      </c>
      <c r="W78" s="555">
        <v>36</v>
      </c>
      <c r="X78" s="555">
        <v>37</v>
      </c>
      <c r="Y78" s="555">
        <v>30</v>
      </c>
      <c r="Z78" s="942">
        <f t="shared" si="7"/>
        <v>401</v>
      </c>
      <c r="AA78" s="548" t="s">
        <v>2243</v>
      </c>
      <c r="AB78" s="944">
        <f t="shared" si="5"/>
        <v>80.2</v>
      </c>
      <c r="AC78" s="548">
        <f t="shared" si="8"/>
        <v>27</v>
      </c>
    </row>
    <row r="79" spans="1:29" s="556" customFormat="1" ht="15">
      <c r="A79" s="550">
        <v>175</v>
      </c>
      <c r="B79" s="548" t="s">
        <v>2244</v>
      </c>
      <c r="C79" s="548" t="s">
        <v>2038</v>
      </c>
      <c r="D79" s="548" t="s">
        <v>1681</v>
      </c>
      <c r="E79" s="549" t="s">
        <v>2264</v>
      </c>
      <c r="F79" s="550">
        <v>322182756</v>
      </c>
      <c r="G79" s="547">
        <v>1813</v>
      </c>
      <c r="H79" s="547" t="s">
        <v>2242</v>
      </c>
      <c r="I79" s="564" t="s">
        <v>2059</v>
      </c>
      <c r="J79" s="557">
        <v>50</v>
      </c>
      <c r="K79" s="555">
        <v>46</v>
      </c>
      <c r="L79" s="555">
        <v>47</v>
      </c>
      <c r="M79" s="555">
        <v>48</v>
      </c>
      <c r="N79" s="558">
        <v>47</v>
      </c>
      <c r="O79" s="575">
        <f t="shared" si="6"/>
        <v>191</v>
      </c>
      <c r="P79" s="557">
        <v>42</v>
      </c>
      <c r="Q79" s="555">
        <v>35</v>
      </c>
      <c r="R79" s="555">
        <v>45</v>
      </c>
      <c r="S79" s="555">
        <v>36</v>
      </c>
      <c r="T79" s="555">
        <v>50</v>
      </c>
      <c r="U79" s="555">
        <v>35</v>
      </c>
      <c r="V79" s="555">
        <v>44</v>
      </c>
      <c r="W79" s="555">
        <v>37</v>
      </c>
      <c r="X79" s="555">
        <v>37</v>
      </c>
      <c r="Y79" s="555">
        <v>30</v>
      </c>
      <c r="Z79" s="942">
        <f>SUM(P79:Y79)</f>
        <v>391</v>
      </c>
      <c r="AA79" s="548" t="s">
        <v>1203</v>
      </c>
      <c r="AB79" s="944">
        <f t="shared" si="5"/>
        <v>78.2</v>
      </c>
      <c r="AC79" s="548">
        <f t="shared" si="8"/>
        <v>34</v>
      </c>
    </row>
    <row r="80" spans="1:29" s="556" customFormat="1" ht="15">
      <c r="A80" s="550">
        <v>176</v>
      </c>
      <c r="B80" s="548" t="s">
        <v>2265</v>
      </c>
      <c r="C80" s="548" t="s">
        <v>2576</v>
      </c>
      <c r="D80" s="548" t="s">
        <v>3285</v>
      </c>
      <c r="E80" s="549" t="s">
        <v>1362</v>
      </c>
      <c r="F80" s="550">
        <v>313950580</v>
      </c>
      <c r="G80" s="547">
        <v>1822</v>
      </c>
      <c r="H80" s="547" t="s">
        <v>2242</v>
      </c>
      <c r="I80" s="564" t="s">
        <v>2059</v>
      </c>
      <c r="J80" s="557">
        <v>48</v>
      </c>
      <c r="K80" s="555">
        <v>46</v>
      </c>
      <c r="L80" s="555">
        <v>46</v>
      </c>
      <c r="M80" s="555">
        <v>47</v>
      </c>
      <c r="N80" s="558">
        <v>48</v>
      </c>
      <c r="O80" s="575">
        <f t="shared" si="6"/>
        <v>187</v>
      </c>
      <c r="P80" s="582">
        <v>44</v>
      </c>
      <c r="Q80" s="560">
        <v>35</v>
      </c>
      <c r="R80" s="560">
        <v>49</v>
      </c>
      <c r="S80" s="560">
        <v>34</v>
      </c>
      <c r="T80" s="560">
        <v>47</v>
      </c>
      <c r="U80" s="560">
        <v>32</v>
      </c>
      <c r="V80" s="560">
        <v>46</v>
      </c>
      <c r="W80" s="560">
        <v>34</v>
      </c>
      <c r="X80" s="560">
        <v>41</v>
      </c>
      <c r="Y80" s="560">
        <v>32</v>
      </c>
      <c r="Z80" s="942">
        <f t="shared" si="7"/>
        <v>394</v>
      </c>
      <c r="AA80" s="548" t="s">
        <v>1258</v>
      </c>
      <c r="AB80" s="944">
        <f t="shared" si="5"/>
        <v>78.8</v>
      </c>
      <c r="AC80" s="548">
        <f t="shared" si="8"/>
        <v>33</v>
      </c>
    </row>
    <row r="81" spans="1:29" s="556" customFormat="1" ht="15">
      <c r="A81" s="550">
        <v>177</v>
      </c>
      <c r="B81" s="548" t="s">
        <v>2245</v>
      </c>
      <c r="C81" s="548" t="s">
        <v>2266</v>
      </c>
      <c r="D81" s="548" t="s">
        <v>2267</v>
      </c>
      <c r="E81" s="549" t="s">
        <v>2268</v>
      </c>
      <c r="F81" s="550">
        <v>313696242</v>
      </c>
      <c r="G81" s="547">
        <v>1765</v>
      </c>
      <c r="H81" s="547" t="s">
        <v>2242</v>
      </c>
      <c r="I81" s="564" t="s">
        <v>2059</v>
      </c>
      <c r="J81" s="557">
        <v>54</v>
      </c>
      <c r="K81" s="555">
        <v>50</v>
      </c>
      <c r="L81" s="555">
        <v>56</v>
      </c>
      <c r="M81" s="555">
        <v>53</v>
      </c>
      <c r="N81" s="558">
        <v>53</v>
      </c>
      <c r="O81" s="575">
        <f t="shared" si="6"/>
        <v>213</v>
      </c>
      <c r="P81" s="557">
        <v>53</v>
      </c>
      <c r="Q81" s="555">
        <v>35</v>
      </c>
      <c r="R81" s="555">
        <v>48</v>
      </c>
      <c r="S81" s="555">
        <v>37</v>
      </c>
      <c r="T81" s="555">
        <v>58</v>
      </c>
      <c r="U81" s="555">
        <v>38</v>
      </c>
      <c r="V81" s="555">
        <v>50</v>
      </c>
      <c r="W81" s="555">
        <v>36</v>
      </c>
      <c r="X81" s="555">
        <v>49</v>
      </c>
      <c r="Y81" s="555">
        <v>35</v>
      </c>
      <c r="Z81" s="942">
        <f t="shared" si="7"/>
        <v>439</v>
      </c>
      <c r="AA81" s="548" t="s">
        <v>1386</v>
      </c>
      <c r="AB81" s="944">
        <f t="shared" si="5"/>
        <v>87.8</v>
      </c>
      <c r="AC81" s="548">
        <f t="shared" si="8"/>
        <v>5</v>
      </c>
    </row>
    <row r="82" spans="1:29" s="556" customFormat="1" ht="15">
      <c r="A82" s="550">
        <v>178</v>
      </c>
      <c r="B82" s="548" t="s">
        <v>1396</v>
      </c>
      <c r="C82" s="548" t="s">
        <v>3286</v>
      </c>
      <c r="D82" s="548" t="s">
        <v>1397</v>
      </c>
      <c r="E82" s="563" t="s">
        <v>1398</v>
      </c>
      <c r="F82" s="550">
        <v>316861350</v>
      </c>
      <c r="G82" s="547">
        <v>1303</v>
      </c>
      <c r="H82" s="547" t="s">
        <v>2242</v>
      </c>
      <c r="I82" s="564" t="s">
        <v>2059</v>
      </c>
      <c r="J82" s="557">
        <v>52</v>
      </c>
      <c r="K82" s="555">
        <v>57</v>
      </c>
      <c r="L82" s="555">
        <v>56</v>
      </c>
      <c r="M82" s="555">
        <v>54</v>
      </c>
      <c r="N82" s="558">
        <v>56</v>
      </c>
      <c r="O82" s="575">
        <f t="shared" si="6"/>
        <v>219</v>
      </c>
      <c r="P82" s="557">
        <v>51</v>
      </c>
      <c r="Q82" s="555">
        <v>36</v>
      </c>
      <c r="R82" s="555">
        <v>48</v>
      </c>
      <c r="S82" s="555">
        <v>38</v>
      </c>
      <c r="T82" s="555">
        <v>58</v>
      </c>
      <c r="U82" s="555">
        <v>37</v>
      </c>
      <c r="V82" s="555">
        <v>50</v>
      </c>
      <c r="W82" s="555">
        <v>37</v>
      </c>
      <c r="X82" s="555">
        <v>39</v>
      </c>
      <c r="Y82" s="555">
        <v>32</v>
      </c>
      <c r="Z82" s="942">
        <f t="shared" si="7"/>
        <v>426</v>
      </c>
      <c r="AA82" s="548" t="s">
        <v>1424</v>
      </c>
      <c r="AB82" s="944">
        <f t="shared" si="5"/>
        <v>85.2</v>
      </c>
      <c r="AC82" s="548">
        <f t="shared" si="8"/>
        <v>13</v>
      </c>
    </row>
    <row r="83" spans="1:29" s="556" customFormat="1" ht="15">
      <c r="A83" s="550">
        <v>179</v>
      </c>
      <c r="B83" s="548" t="s">
        <v>1244</v>
      </c>
      <c r="C83" s="548" t="s">
        <v>597</v>
      </c>
      <c r="D83" s="548" t="s">
        <v>589</v>
      </c>
      <c r="E83" s="563" t="s">
        <v>1245</v>
      </c>
      <c r="F83" s="565">
        <v>317178428</v>
      </c>
      <c r="G83" s="547">
        <v>1406</v>
      </c>
      <c r="H83" s="547" t="s">
        <v>2242</v>
      </c>
      <c r="I83" s="564" t="s">
        <v>2059</v>
      </c>
      <c r="J83" s="557">
        <v>53</v>
      </c>
      <c r="K83" s="555">
        <v>53</v>
      </c>
      <c r="L83" s="555">
        <v>57</v>
      </c>
      <c r="M83" s="555">
        <v>50</v>
      </c>
      <c r="N83" s="558">
        <v>54</v>
      </c>
      <c r="O83" s="575">
        <f t="shared" si="6"/>
        <v>213</v>
      </c>
      <c r="P83" s="557">
        <v>52</v>
      </c>
      <c r="Q83" s="555">
        <v>37</v>
      </c>
      <c r="R83" s="555">
        <v>52</v>
      </c>
      <c r="S83" s="555">
        <v>36</v>
      </c>
      <c r="T83" s="555">
        <v>53</v>
      </c>
      <c r="U83" s="555">
        <v>38</v>
      </c>
      <c r="V83" s="555">
        <v>47</v>
      </c>
      <c r="W83" s="555">
        <v>37</v>
      </c>
      <c r="X83" s="555">
        <v>42</v>
      </c>
      <c r="Y83" s="555">
        <v>33</v>
      </c>
      <c r="Z83" s="942">
        <f t="shared" si="7"/>
        <v>427</v>
      </c>
      <c r="AA83" s="548" t="s">
        <v>1656</v>
      </c>
      <c r="AB83" s="944">
        <f t="shared" si="5"/>
        <v>85.4</v>
      </c>
      <c r="AC83" s="548">
        <f t="shared" si="8"/>
        <v>11</v>
      </c>
    </row>
    <row r="84" spans="1:29" s="556" customFormat="1" ht="15">
      <c r="A84" s="550">
        <v>180</v>
      </c>
      <c r="B84" s="548" t="s">
        <v>1240</v>
      </c>
      <c r="C84" s="548" t="s">
        <v>1241</v>
      </c>
      <c r="D84" s="548" t="s">
        <v>1242</v>
      </c>
      <c r="E84" s="563" t="s">
        <v>1243</v>
      </c>
      <c r="F84" s="561">
        <v>317991134</v>
      </c>
      <c r="G84" s="547">
        <v>1451</v>
      </c>
      <c r="H84" s="547" t="s">
        <v>2242</v>
      </c>
      <c r="I84" s="564" t="s">
        <v>2059</v>
      </c>
      <c r="J84" s="557">
        <v>52</v>
      </c>
      <c r="K84" s="555">
        <v>53</v>
      </c>
      <c r="L84" s="555">
        <v>54</v>
      </c>
      <c r="M84" s="555">
        <v>51</v>
      </c>
      <c r="N84" s="558">
        <v>57</v>
      </c>
      <c r="O84" s="575">
        <f t="shared" si="6"/>
        <v>210</v>
      </c>
      <c r="P84" s="557">
        <v>53</v>
      </c>
      <c r="Q84" s="555">
        <v>35</v>
      </c>
      <c r="R84" s="555">
        <v>51</v>
      </c>
      <c r="S84" s="555">
        <v>36</v>
      </c>
      <c r="T84" s="555">
        <v>46</v>
      </c>
      <c r="U84" s="555">
        <v>36</v>
      </c>
      <c r="V84" s="555">
        <v>47</v>
      </c>
      <c r="W84" s="555">
        <v>35</v>
      </c>
      <c r="X84" s="555">
        <v>46</v>
      </c>
      <c r="Y84" s="555">
        <v>33</v>
      </c>
      <c r="Z84" s="942">
        <f t="shared" si="7"/>
        <v>418</v>
      </c>
      <c r="AA84" s="548" t="s">
        <v>1120</v>
      </c>
      <c r="AB84" s="944">
        <f t="shared" si="5"/>
        <v>83.6</v>
      </c>
      <c r="AC84" s="548">
        <f t="shared" si="8"/>
        <v>16</v>
      </c>
    </row>
    <row r="85" spans="1:29" s="556" customFormat="1" ht="15">
      <c r="A85" s="853">
        <v>181</v>
      </c>
      <c r="B85" s="548" t="s">
        <v>1400</v>
      </c>
      <c r="C85" s="548" t="s">
        <v>1401</v>
      </c>
      <c r="D85" s="548" t="s">
        <v>3487</v>
      </c>
      <c r="E85" s="563" t="s">
        <v>1655</v>
      </c>
      <c r="F85" s="561">
        <v>317564910</v>
      </c>
      <c r="G85" s="547">
        <v>1459</v>
      </c>
      <c r="H85" s="547" t="s">
        <v>2242</v>
      </c>
      <c r="I85" s="564" t="s">
        <v>2059</v>
      </c>
      <c r="J85" s="557">
        <v>55</v>
      </c>
      <c r="K85" s="555">
        <v>58</v>
      </c>
      <c r="L85" s="555">
        <v>52</v>
      </c>
      <c r="M85" s="555">
        <v>52</v>
      </c>
      <c r="N85" s="558">
        <v>56</v>
      </c>
      <c r="O85" s="575">
        <f t="shared" si="6"/>
        <v>217</v>
      </c>
      <c r="P85" s="557">
        <v>54</v>
      </c>
      <c r="Q85" s="555">
        <v>36</v>
      </c>
      <c r="R85" s="555">
        <v>52</v>
      </c>
      <c r="S85" s="555">
        <v>37</v>
      </c>
      <c r="T85" s="555">
        <v>55</v>
      </c>
      <c r="U85" s="555">
        <v>35</v>
      </c>
      <c r="V85" s="555">
        <v>52</v>
      </c>
      <c r="W85" s="555">
        <v>35</v>
      </c>
      <c r="X85" s="555">
        <v>56</v>
      </c>
      <c r="Y85" s="555">
        <v>35</v>
      </c>
      <c r="Z85" s="942">
        <f t="shared" si="7"/>
        <v>447</v>
      </c>
      <c r="AA85" s="548" t="s">
        <v>2247</v>
      </c>
      <c r="AB85" s="944">
        <f t="shared" si="5"/>
        <v>89.4</v>
      </c>
      <c r="AC85" s="548">
        <f t="shared" si="8"/>
        <v>4</v>
      </c>
    </row>
    <row r="86" spans="1:29" s="556" customFormat="1" ht="15">
      <c r="A86" s="550">
        <v>182</v>
      </c>
      <c r="B86" s="548" t="s">
        <v>3283</v>
      </c>
      <c r="C86" s="548" t="s">
        <v>3284</v>
      </c>
      <c r="D86" s="548" t="s">
        <v>124</v>
      </c>
      <c r="E86" s="563" t="s">
        <v>952</v>
      </c>
      <c r="F86" s="550">
        <v>314879247</v>
      </c>
      <c r="G86" s="547">
        <v>1412</v>
      </c>
      <c r="H86" s="547" t="s">
        <v>2242</v>
      </c>
      <c r="I86" s="564" t="s">
        <v>2059</v>
      </c>
      <c r="J86" s="557">
        <v>52</v>
      </c>
      <c r="K86" s="555">
        <v>50</v>
      </c>
      <c r="L86" s="555">
        <v>54</v>
      </c>
      <c r="M86" s="555">
        <v>51</v>
      </c>
      <c r="N86" s="558">
        <v>56</v>
      </c>
      <c r="O86" s="575">
        <f t="shared" si="6"/>
        <v>207</v>
      </c>
      <c r="P86" s="557">
        <v>49</v>
      </c>
      <c r="Q86" s="555">
        <v>36</v>
      </c>
      <c r="R86" s="555">
        <v>53</v>
      </c>
      <c r="S86" s="555">
        <v>35</v>
      </c>
      <c r="T86" s="555">
        <v>53</v>
      </c>
      <c r="U86" s="555">
        <v>37</v>
      </c>
      <c r="V86" s="555">
        <v>51</v>
      </c>
      <c r="W86" s="555">
        <v>38</v>
      </c>
      <c r="X86" s="555">
        <v>49</v>
      </c>
      <c r="Y86" s="555">
        <v>34</v>
      </c>
      <c r="Z86" s="942">
        <f t="shared" si="7"/>
        <v>435</v>
      </c>
      <c r="AA86" s="548" t="s">
        <v>1263</v>
      </c>
      <c r="AB86" s="944">
        <f t="shared" si="5"/>
        <v>87</v>
      </c>
      <c r="AC86" s="548">
        <f t="shared" si="8"/>
        <v>5</v>
      </c>
    </row>
    <row r="87" spans="1:29" s="556" customFormat="1" ht="15">
      <c r="A87" s="550">
        <v>183</v>
      </c>
      <c r="B87" s="548" t="s">
        <v>1404</v>
      </c>
      <c r="C87" s="548" t="s">
        <v>1675</v>
      </c>
      <c r="D87" s="548" t="s">
        <v>1262</v>
      </c>
      <c r="E87" s="563" t="s">
        <v>1405</v>
      </c>
      <c r="F87" s="550">
        <v>313696241</v>
      </c>
      <c r="G87" s="547">
        <v>1417</v>
      </c>
      <c r="H87" s="547" t="s">
        <v>2242</v>
      </c>
      <c r="I87" s="564" t="s">
        <v>2059</v>
      </c>
      <c r="J87" s="557">
        <v>56</v>
      </c>
      <c r="K87" s="555">
        <v>47</v>
      </c>
      <c r="L87" s="555">
        <v>54</v>
      </c>
      <c r="M87" s="555">
        <v>53</v>
      </c>
      <c r="N87" s="558">
        <v>55</v>
      </c>
      <c r="O87" s="575">
        <f t="shared" si="6"/>
        <v>210</v>
      </c>
      <c r="P87" s="557">
        <v>51</v>
      </c>
      <c r="Q87" s="555">
        <v>37</v>
      </c>
      <c r="R87" s="555">
        <v>52</v>
      </c>
      <c r="S87" s="555">
        <v>38</v>
      </c>
      <c r="T87" s="555">
        <v>53</v>
      </c>
      <c r="U87" s="555">
        <v>36</v>
      </c>
      <c r="V87" s="555">
        <v>50</v>
      </c>
      <c r="W87" s="555">
        <v>37</v>
      </c>
      <c r="X87" s="555">
        <v>50</v>
      </c>
      <c r="Y87" s="555">
        <v>34</v>
      </c>
      <c r="Z87" s="942">
        <f t="shared" si="7"/>
        <v>438</v>
      </c>
      <c r="AA87" s="548" t="s">
        <v>1205</v>
      </c>
      <c r="AB87" s="944">
        <f t="shared" si="5"/>
        <v>87.6</v>
      </c>
      <c r="AC87" s="548">
        <f t="shared" si="8"/>
        <v>4</v>
      </c>
    </row>
    <row r="88" spans="1:29" s="556" customFormat="1" ht="15">
      <c r="A88" s="550">
        <v>184</v>
      </c>
      <c r="B88" s="548" t="s">
        <v>1433</v>
      </c>
      <c r="C88" s="548" t="s">
        <v>1673</v>
      </c>
      <c r="D88" s="548" t="s">
        <v>327</v>
      </c>
      <c r="E88" s="563" t="s">
        <v>798</v>
      </c>
      <c r="F88" s="550">
        <v>317565134</v>
      </c>
      <c r="G88" s="547">
        <v>1504</v>
      </c>
      <c r="H88" s="547" t="s">
        <v>2242</v>
      </c>
      <c r="I88" s="564" t="s">
        <v>2059</v>
      </c>
      <c r="J88" s="557">
        <v>53</v>
      </c>
      <c r="K88" s="555">
        <v>53</v>
      </c>
      <c r="L88" s="555">
        <v>53</v>
      </c>
      <c r="M88" s="555">
        <v>52</v>
      </c>
      <c r="N88" s="558">
        <v>51</v>
      </c>
      <c r="O88" s="575">
        <f t="shared" si="6"/>
        <v>211</v>
      </c>
      <c r="P88" s="557">
        <v>45</v>
      </c>
      <c r="Q88" s="555">
        <v>36</v>
      </c>
      <c r="R88" s="555">
        <v>40</v>
      </c>
      <c r="S88" s="555">
        <v>36</v>
      </c>
      <c r="T88" s="555">
        <v>45</v>
      </c>
      <c r="U88" s="555">
        <v>36</v>
      </c>
      <c r="V88" s="555">
        <v>45</v>
      </c>
      <c r="W88" s="555">
        <v>37</v>
      </c>
      <c r="X88" s="555">
        <v>48</v>
      </c>
      <c r="Y88" s="555">
        <v>30</v>
      </c>
      <c r="Z88" s="942">
        <f t="shared" si="7"/>
        <v>398</v>
      </c>
      <c r="AA88" s="548" t="s">
        <v>1320</v>
      </c>
      <c r="AB88" s="944">
        <f t="shared" si="5"/>
        <v>79.599999999999994</v>
      </c>
      <c r="AC88" s="548">
        <f t="shared" si="8"/>
        <v>22</v>
      </c>
    </row>
    <row r="89" spans="1:29" s="556" customFormat="1" ht="15">
      <c r="A89" s="550">
        <v>185</v>
      </c>
      <c r="B89" s="548" t="s">
        <v>2246</v>
      </c>
      <c r="C89" s="548" t="s">
        <v>1438</v>
      </c>
      <c r="D89" s="548" t="s">
        <v>1439</v>
      </c>
      <c r="E89" s="549" t="s">
        <v>1440</v>
      </c>
      <c r="F89" s="550">
        <v>319919211</v>
      </c>
      <c r="G89" s="547">
        <v>1553</v>
      </c>
      <c r="H89" s="547" t="s">
        <v>2242</v>
      </c>
      <c r="I89" s="564" t="s">
        <v>2059</v>
      </c>
      <c r="J89" s="557">
        <v>54</v>
      </c>
      <c r="K89" s="555">
        <v>51</v>
      </c>
      <c r="L89" s="555">
        <v>54</v>
      </c>
      <c r="M89" s="555">
        <v>46</v>
      </c>
      <c r="N89" s="558">
        <v>46</v>
      </c>
      <c r="O89" s="575">
        <f t="shared" si="6"/>
        <v>205</v>
      </c>
      <c r="P89" s="557">
        <v>51</v>
      </c>
      <c r="Q89" s="555">
        <v>36</v>
      </c>
      <c r="R89" s="555">
        <v>46</v>
      </c>
      <c r="S89" s="555">
        <v>35</v>
      </c>
      <c r="T89" s="555">
        <v>49</v>
      </c>
      <c r="U89" s="555">
        <v>36</v>
      </c>
      <c r="V89" s="555">
        <v>46</v>
      </c>
      <c r="W89" s="555">
        <v>34</v>
      </c>
      <c r="X89" s="555">
        <v>34</v>
      </c>
      <c r="Y89" s="555">
        <v>30</v>
      </c>
      <c r="Z89" s="942">
        <f t="shared" si="7"/>
        <v>397</v>
      </c>
      <c r="AA89" s="548" t="s">
        <v>1378</v>
      </c>
      <c r="AB89" s="944">
        <f t="shared" si="5"/>
        <v>79.400000000000006</v>
      </c>
      <c r="AC89" s="548">
        <f t="shared" si="8"/>
        <v>22</v>
      </c>
    </row>
    <row r="90" spans="1:29" s="556" customFormat="1" ht="15">
      <c r="A90" s="550">
        <v>186</v>
      </c>
      <c r="B90" s="548" t="s">
        <v>1441</v>
      </c>
      <c r="C90" s="548" t="s">
        <v>22</v>
      </c>
      <c r="D90" s="548" t="s">
        <v>973</v>
      </c>
      <c r="E90" s="563" t="s">
        <v>1442</v>
      </c>
      <c r="F90" s="550">
        <v>316394049</v>
      </c>
      <c r="G90" s="547">
        <v>1556</v>
      </c>
      <c r="H90" s="547" t="s">
        <v>2242</v>
      </c>
      <c r="I90" s="564" t="s">
        <v>2059</v>
      </c>
      <c r="J90" s="557">
        <v>48</v>
      </c>
      <c r="K90" s="555">
        <v>47</v>
      </c>
      <c r="L90" s="555">
        <v>56</v>
      </c>
      <c r="M90" s="555">
        <v>48</v>
      </c>
      <c r="N90" s="558">
        <v>46</v>
      </c>
      <c r="O90" s="575">
        <f t="shared" si="6"/>
        <v>199</v>
      </c>
      <c r="P90" s="557">
        <v>45</v>
      </c>
      <c r="Q90" s="555">
        <v>35</v>
      </c>
      <c r="R90" s="555">
        <v>46</v>
      </c>
      <c r="S90" s="555">
        <v>36</v>
      </c>
      <c r="T90" s="555">
        <v>49</v>
      </c>
      <c r="U90" s="555">
        <v>34</v>
      </c>
      <c r="V90" s="555">
        <v>50</v>
      </c>
      <c r="W90" s="555">
        <v>36</v>
      </c>
      <c r="X90" s="555">
        <v>34</v>
      </c>
      <c r="Y90" s="555">
        <v>30</v>
      </c>
      <c r="Z90" s="942">
        <f t="shared" si="7"/>
        <v>395</v>
      </c>
      <c r="AA90" s="548" t="s">
        <v>1434</v>
      </c>
      <c r="AB90" s="944">
        <f t="shared" si="5"/>
        <v>79</v>
      </c>
      <c r="AC90" s="548">
        <f t="shared" si="8"/>
        <v>22</v>
      </c>
    </row>
    <row r="91" spans="1:29" s="556" customFormat="1" ht="15">
      <c r="A91" s="550">
        <v>187</v>
      </c>
      <c r="B91" s="548" t="s">
        <v>1253</v>
      </c>
      <c r="C91" s="548" t="s">
        <v>1254</v>
      </c>
      <c r="D91" s="548" t="s">
        <v>1255</v>
      </c>
      <c r="E91" s="563" t="s">
        <v>1256</v>
      </c>
      <c r="F91" s="550">
        <v>317657687</v>
      </c>
      <c r="G91" s="547">
        <v>1439</v>
      </c>
      <c r="H91" s="547" t="s">
        <v>2242</v>
      </c>
      <c r="I91" s="564" t="s">
        <v>2059</v>
      </c>
      <c r="J91" s="557">
        <v>52</v>
      </c>
      <c r="K91" s="555">
        <v>50</v>
      </c>
      <c r="L91" s="555">
        <v>54</v>
      </c>
      <c r="M91" s="555">
        <v>38</v>
      </c>
      <c r="N91" s="558">
        <v>47</v>
      </c>
      <c r="O91" s="575">
        <f t="shared" si="6"/>
        <v>194</v>
      </c>
      <c r="P91" s="557">
        <v>40</v>
      </c>
      <c r="Q91" s="555">
        <v>36</v>
      </c>
      <c r="R91" s="555">
        <v>43</v>
      </c>
      <c r="S91" s="555">
        <v>35</v>
      </c>
      <c r="T91" s="555">
        <v>46</v>
      </c>
      <c r="U91" s="555">
        <v>36</v>
      </c>
      <c r="V91" s="555">
        <v>47</v>
      </c>
      <c r="W91" s="555">
        <v>37</v>
      </c>
      <c r="X91" s="555">
        <v>34</v>
      </c>
      <c r="Y91" s="555">
        <v>30</v>
      </c>
      <c r="Z91" s="942">
        <f t="shared" si="7"/>
        <v>384</v>
      </c>
      <c r="AA91" s="548" t="s">
        <v>1421</v>
      </c>
      <c r="AB91" s="944">
        <f t="shared" si="5"/>
        <v>76.8</v>
      </c>
      <c r="AC91" s="548">
        <f t="shared" si="8"/>
        <v>23</v>
      </c>
    </row>
    <row r="92" spans="1:29" s="556" customFormat="1" ht="15">
      <c r="A92" s="550">
        <v>188</v>
      </c>
      <c r="B92" s="548" t="s">
        <v>1118</v>
      </c>
      <c r="C92" s="548" t="s">
        <v>2269</v>
      </c>
      <c r="D92" s="548" t="s">
        <v>2270</v>
      </c>
      <c r="E92" s="563" t="s">
        <v>1119</v>
      </c>
      <c r="F92" s="550">
        <v>316797103</v>
      </c>
      <c r="G92" s="547">
        <v>1527</v>
      </c>
      <c r="H92" s="547" t="s">
        <v>2242</v>
      </c>
      <c r="I92" s="564" t="s">
        <v>2059</v>
      </c>
      <c r="J92" s="557">
        <v>46</v>
      </c>
      <c r="K92" s="555">
        <v>43</v>
      </c>
      <c r="L92" s="555">
        <v>45</v>
      </c>
      <c r="M92" s="555">
        <v>47</v>
      </c>
      <c r="N92" s="558">
        <v>30</v>
      </c>
      <c r="O92" s="575">
        <f t="shared" si="6"/>
        <v>181</v>
      </c>
      <c r="P92" s="557">
        <v>42</v>
      </c>
      <c r="Q92" s="555">
        <v>34</v>
      </c>
      <c r="R92" s="555">
        <v>37</v>
      </c>
      <c r="S92" s="555">
        <v>35</v>
      </c>
      <c r="T92" s="555">
        <v>40</v>
      </c>
      <c r="U92" s="555">
        <v>36</v>
      </c>
      <c r="V92" s="555">
        <v>45</v>
      </c>
      <c r="W92" s="555">
        <v>35</v>
      </c>
      <c r="X92" s="555">
        <v>34</v>
      </c>
      <c r="Y92" s="555">
        <v>30</v>
      </c>
      <c r="Z92" s="942">
        <f t="shared" si="7"/>
        <v>368</v>
      </c>
      <c r="AA92" s="548" t="s">
        <v>1324</v>
      </c>
      <c r="AB92" s="944">
        <f t="shared" si="5"/>
        <v>73.599999999999994</v>
      </c>
      <c r="AC92" s="548">
        <f t="shared" si="8"/>
        <v>24</v>
      </c>
    </row>
    <row r="93" spans="1:29" s="556" customFormat="1" ht="15">
      <c r="A93" s="550">
        <v>189</v>
      </c>
      <c r="B93" s="548" t="s">
        <v>1303</v>
      </c>
      <c r="C93" s="548" t="s">
        <v>2271</v>
      </c>
      <c r="D93" s="548" t="s">
        <v>275</v>
      </c>
      <c r="E93" s="547" t="s">
        <v>1304</v>
      </c>
      <c r="F93" s="550">
        <v>317261044</v>
      </c>
      <c r="G93" s="547">
        <v>1560</v>
      </c>
      <c r="H93" s="547" t="s">
        <v>2242</v>
      </c>
      <c r="I93" s="564" t="s">
        <v>2059</v>
      </c>
      <c r="J93" s="557">
        <v>48</v>
      </c>
      <c r="K93" s="555">
        <v>40</v>
      </c>
      <c r="L93" s="555">
        <v>48</v>
      </c>
      <c r="M93" s="555">
        <v>48</v>
      </c>
      <c r="N93" s="558">
        <v>47</v>
      </c>
      <c r="O93" s="575">
        <f t="shared" si="6"/>
        <v>184</v>
      </c>
      <c r="P93" s="557">
        <v>39</v>
      </c>
      <c r="Q93" s="555">
        <v>34</v>
      </c>
      <c r="R93" s="555">
        <v>39</v>
      </c>
      <c r="S93" s="555">
        <v>33</v>
      </c>
      <c r="T93" s="555">
        <v>44</v>
      </c>
      <c r="U93" s="555">
        <v>35</v>
      </c>
      <c r="V93" s="555">
        <v>41</v>
      </c>
      <c r="W93" s="555">
        <v>34</v>
      </c>
      <c r="X93" s="555">
        <v>34</v>
      </c>
      <c r="Y93" s="555">
        <v>30</v>
      </c>
      <c r="Z93" s="942">
        <f t="shared" si="7"/>
        <v>363</v>
      </c>
      <c r="AA93" s="548" t="s">
        <v>1273</v>
      </c>
      <c r="AB93" s="944">
        <f t="shared" si="5"/>
        <v>72.599999999999994</v>
      </c>
      <c r="AC93" s="548">
        <f t="shared" si="8"/>
        <v>24</v>
      </c>
    </row>
    <row r="94" spans="1:29" s="556" customFormat="1" ht="15">
      <c r="A94" s="550">
        <v>190</v>
      </c>
      <c r="B94" s="548" t="s">
        <v>1315</v>
      </c>
      <c r="C94" s="548" t="s">
        <v>1316</v>
      </c>
      <c r="D94" s="548" t="s">
        <v>1317</v>
      </c>
      <c r="E94" s="549" t="s">
        <v>1318</v>
      </c>
      <c r="F94" s="550">
        <v>311026882</v>
      </c>
      <c r="G94" s="547">
        <v>1624</v>
      </c>
      <c r="H94" s="547" t="s">
        <v>2242</v>
      </c>
      <c r="I94" s="564" t="s">
        <v>2059</v>
      </c>
      <c r="J94" s="557">
        <v>52</v>
      </c>
      <c r="K94" s="555">
        <v>54</v>
      </c>
      <c r="L94" s="555">
        <v>50</v>
      </c>
      <c r="M94" s="555">
        <v>47</v>
      </c>
      <c r="N94" s="558">
        <v>48</v>
      </c>
      <c r="O94" s="575">
        <f t="shared" si="6"/>
        <v>203</v>
      </c>
      <c r="P94" s="557">
        <v>48</v>
      </c>
      <c r="Q94" s="555">
        <v>35</v>
      </c>
      <c r="R94" s="555">
        <v>50</v>
      </c>
      <c r="S94" s="555">
        <v>36</v>
      </c>
      <c r="T94" s="555">
        <v>50</v>
      </c>
      <c r="U94" s="555">
        <v>35</v>
      </c>
      <c r="V94" s="555">
        <v>54</v>
      </c>
      <c r="W94" s="555">
        <v>34</v>
      </c>
      <c r="X94" s="555">
        <v>36</v>
      </c>
      <c r="Y94" s="555">
        <v>30</v>
      </c>
      <c r="Z94" s="942">
        <f t="shared" si="7"/>
        <v>408</v>
      </c>
      <c r="AA94" s="548" t="s">
        <v>2265</v>
      </c>
      <c r="AB94" s="944">
        <f t="shared" si="5"/>
        <v>81.599999999999994</v>
      </c>
      <c r="AC94" s="548">
        <f t="shared" si="8"/>
        <v>15</v>
      </c>
    </row>
    <row r="95" spans="1:29" s="556" customFormat="1" ht="15">
      <c r="A95" s="550">
        <v>191</v>
      </c>
      <c r="B95" s="548" t="s">
        <v>2272</v>
      </c>
      <c r="C95" s="548" t="s">
        <v>1781</v>
      </c>
      <c r="D95" s="548" t="s">
        <v>1782</v>
      </c>
      <c r="E95" s="549" t="s">
        <v>2273</v>
      </c>
      <c r="F95" s="550">
        <v>313746045</v>
      </c>
      <c r="G95" s="547">
        <v>1706</v>
      </c>
      <c r="H95" s="547" t="s">
        <v>2242</v>
      </c>
      <c r="I95" s="564" t="s">
        <v>2059</v>
      </c>
      <c r="J95" s="557">
        <v>57</v>
      </c>
      <c r="K95" s="555">
        <v>56</v>
      </c>
      <c r="L95" s="555">
        <v>60</v>
      </c>
      <c r="M95" s="555">
        <v>57</v>
      </c>
      <c r="N95" s="558">
        <v>54</v>
      </c>
      <c r="O95" s="575">
        <f t="shared" si="6"/>
        <v>230</v>
      </c>
      <c r="P95" s="557">
        <v>57</v>
      </c>
      <c r="Q95" s="555">
        <v>38</v>
      </c>
      <c r="R95" s="555">
        <v>52</v>
      </c>
      <c r="S95" s="555">
        <v>37</v>
      </c>
      <c r="T95" s="555">
        <v>57</v>
      </c>
      <c r="U95" s="555">
        <v>39</v>
      </c>
      <c r="V95" s="555">
        <v>55</v>
      </c>
      <c r="W95" s="555">
        <v>38</v>
      </c>
      <c r="X95" s="555">
        <v>51</v>
      </c>
      <c r="Y95" s="555">
        <v>35</v>
      </c>
      <c r="Z95" s="942">
        <f t="shared" si="7"/>
        <v>459</v>
      </c>
      <c r="AA95" s="548" t="s">
        <v>1419</v>
      </c>
      <c r="AB95" s="944">
        <f t="shared" si="5"/>
        <v>91.8</v>
      </c>
      <c r="AC95" s="548">
        <f t="shared" si="8"/>
        <v>2</v>
      </c>
    </row>
    <row r="96" spans="1:29" s="556" customFormat="1" ht="15">
      <c r="A96" s="550">
        <v>192</v>
      </c>
      <c r="B96" s="548" t="s">
        <v>1406</v>
      </c>
      <c r="C96" s="548" t="s">
        <v>1407</v>
      </c>
      <c r="D96" s="548" t="s">
        <v>1408</v>
      </c>
      <c r="E96" s="563" t="s">
        <v>1409</v>
      </c>
      <c r="F96" s="550">
        <v>315296365</v>
      </c>
      <c r="G96" s="547">
        <v>1363</v>
      </c>
      <c r="H96" s="547" t="s">
        <v>2242</v>
      </c>
      <c r="I96" s="564" t="s">
        <v>2059</v>
      </c>
      <c r="J96" s="557">
        <v>51</v>
      </c>
      <c r="K96" s="555">
        <v>55</v>
      </c>
      <c r="L96" s="555">
        <v>53</v>
      </c>
      <c r="M96" s="555">
        <v>44</v>
      </c>
      <c r="N96" s="558">
        <v>54</v>
      </c>
      <c r="O96" s="575">
        <f t="shared" si="6"/>
        <v>203</v>
      </c>
      <c r="P96" s="557">
        <v>48</v>
      </c>
      <c r="Q96" s="555">
        <v>35</v>
      </c>
      <c r="R96" s="555">
        <v>44</v>
      </c>
      <c r="S96" s="555">
        <v>36</v>
      </c>
      <c r="T96" s="555">
        <v>49</v>
      </c>
      <c r="U96" s="555">
        <v>36</v>
      </c>
      <c r="V96" s="555">
        <v>48</v>
      </c>
      <c r="W96" s="555">
        <v>35</v>
      </c>
      <c r="X96" s="555">
        <v>45</v>
      </c>
      <c r="Y96" s="555">
        <v>34</v>
      </c>
      <c r="Z96" s="942">
        <f t="shared" si="7"/>
        <v>410</v>
      </c>
      <c r="AA96" s="548" t="s">
        <v>1334</v>
      </c>
      <c r="AB96" s="944">
        <f t="shared" si="5"/>
        <v>82</v>
      </c>
      <c r="AC96" s="548">
        <f t="shared" si="8"/>
        <v>13</v>
      </c>
    </row>
    <row r="97" spans="1:29" s="556" customFormat="1" ht="15">
      <c r="A97" s="550">
        <v>193</v>
      </c>
      <c r="B97" s="548" t="s">
        <v>1410</v>
      </c>
      <c r="C97" s="548" t="s">
        <v>1411</v>
      </c>
      <c r="D97" s="548" t="s">
        <v>763</v>
      </c>
      <c r="E97" s="563" t="s">
        <v>1412</v>
      </c>
      <c r="F97" s="550">
        <v>317565341</v>
      </c>
      <c r="G97" s="547">
        <v>1470</v>
      </c>
      <c r="H97" s="547" t="s">
        <v>2242</v>
      </c>
      <c r="I97" s="564" t="s">
        <v>2059</v>
      </c>
      <c r="J97" s="557">
        <v>54</v>
      </c>
      <c r="K97" s="555">
        <v>55</v>
      </c>
      <c r="L97" s="555">
        <v>54</v>
      </c>
      <c r="M97" s="555">
        <v>48</v>
      </c>
      <c r="N97" s="558">
        <v>51</v>
      </c>
      <c r="O97" s="575">
        <f t="shared" si="6"/>
        <v>211</v>
      </c>
      <c r="P97" s="557">
        <v>48</v>
      </c>
      <c r="Q97" s="555">
        <v>36</v>
      </c>
      <c r="R97" s="555">
        <v>44</v>
      </c>
      <c r="S97" s="555">
        <v>35</v>
      </c>
      <c r="T97" s="555">
        <v>41</v>
      </c>
      <c r="U97" s="555">
        <v>37</v>
      </c>
      <c r="V97" s="555">
        <v>49</v>
      </c>
      <c r="W97" s="555">
        <v>36</v>
      </c>
      <c r="X97" s="555">
        <v>37</v>
      </c>
      <c r="Y97" s="555">
        <v>32</v>
      </c>
      <c r="Z97" s="942">
        <f t="shared" si="7"/>
        <v>395</v>
      </c>
      <c r="AA97" s="548" t="s">
        <v>1374</v>
      </c>
      <c r="AB97" s="944">
        <f t="shared" si="5"/>
        <v>79</v>
      </c>
      <c r="AC97" s="548">
        <f t="shared" si="8"/>
        <v>19</v>
      </c>
    </row>
    <row r="98" spans="1:29" s="556" customFormat="1" ht="15">
      <c r="A98" s="550">
        <v>194</v>
      </c>
      <c r="B98" s="548" t="s">
        <v>1300</v>
      </c>
      <c r="C98" s="548" t="s">
        <v>1301</v>
      </c>
      <c r="D98" s="548" t="s">
        <v>1302</v>
      </c>
      <c r="E98" s="563" t="s">
        <v>1076</v>
      </c>
      <c r="F98" s="550">
        <v>316394078</v>
      </c>
      <c r="G98" s="547">
        <v>1549</v>
      </c>
      <c r="H98" s="547" t="s">
        <v>2242</v>
      </c>
      <c r="I98" s="564" t="s">
        <v>2059</v>
      </c>
      <c r="J98" s="557">
        <v>53</v>
      </c>
      <c r="K98" s="555">
        <v>48</v>
      </c>
      <c r="L98" s="555">
        <v>55</v>
      </c>
      <c r="M98" s="555">
        <v>49</v>
      </c>
      <c r="N98" s="558">
        <v>52</v>
      </c>
      <c r="O98" s="575">
        <f t="shared" si="6"/>
        <v>205</v>
      </c>
      <c r="P98" s="582">
        <v>44</v>
      </c>
      <c r="Q98" s="560">
        <v>37</v>
      </c>
      <c r="R98" s="560">
        <v>44</v>
      </c>
      <c r="S98" s="560">
        <v>36</v>
      </c>
      <c r="T98" s="560">
        <v>54</v>
      </c>
      <c r="U98" s="560">
        <v>36</v>
      </c>
      <c r="V98" s="560">
        <v>52</v>
      </c>
      <c r="W98" s="560">
        <v>35</v>
      </c>
      <c r="X98" s="560">
        <v>35</v>
      </c>
      <c r="Y98" s="560">
        <v>30</v>
      </c>
      <c r="Z98" s="942">
        <f t="shared" si="7"/>
        <v>403</v>
      </c>
      <c r="AA98" s="548" t="s">
        <v>1427</v>
      </c>
      <c r="AB98" s="944">
        <f t="shared" si="5"/>
        <v>80.599999999999994</v>
      </c>
      <c r="AC98" s="548">
        <f t="shared" si="8"/>
        <v>14</v>
      </c>
    </row>
    <row r="99" spans="1:29" s="556" customFormat="1" ht="15">
      <c r="A99" s="550">
        <v>195</v>
      </c>
      <c r="B99" s="548" t="s">
        <v>1443</v>
      </c>
      <c r="C99" s="548" t="s">
        <v>1444</v>
      </c>
      <c r="D99" s="548" t="s">
        <v>1445</v>
      </c>
      <c r="E99" s="563" t="s">
        <v>1446</v>
      </c>
      <c r="F99" s="550">
        <v>317261058</v>
      </c>
      <c r="G99" s="547">
        <v>1644</v>
      </c>
      <c r="H99" s="547" t="s">
        <v>2242</v>
      </c>
      <c r="I99" s="564" t="s">
        <v>2059</v>
      </c>
      <c r="J99" s="557">
        <v>53</v>
      </c>
      <c r="K99" s="555">
        <v>52</v>
      </c>
      <c r="L99" s="555">
        <v>51</v>
      </c>
      <c r="M99" s="555">
        <v>49</v>
      </c>
      <c r="N99" s="558">
        <v>46</v>
      </c>
      <c r="O99" s="575">
        <f t="shared" si="6"/>
        <v>205</v>
      </c>
      <c r="P99" s="557">
        <v>42</v>
      </c>
      <c r="Q99" s="555">
        <v>36</v>
      </c>
      <c r="R99" s="555">
        <v>45</v>
      </c>
      <c r="S99" s="555">
        <v>35</v>
      </c>
      <c r="T99" s="555">
        <v>48</v>
      </c>
      <c r="U99" s="555">
        <v>35</v>
      </c>
      <c r="V99" s="555">
        <v>58</v>
      </c>
      <c r="W99" s="555">
        <v>34</v>
      </c>
      <c r="X99" s="555">
        <v>35</v>
      </c>
      <c r="Y99" s="555">
        <v>31</v>
      </c>
      <c r="Z99" s="942">
        <f t="shared" si="7"/>
        <v>399</v>
      </c>
      <c r="AA99" s="548" t="s">
        <v>1664</v>
      </c>
      <c r="AB99" s="944">
        <f t="shared" si="5"/>
        <v>79.8</v>
      </c>
      <c r="AC99" s="548">
        <f t="shared" si="8"/>
        <v>16</v>
      </c>
    </row>
    <row r="100" spans="1:29" s="556" customFormat="1" ht="15">
      <c r="A100" s="550">
        <v>196</v>
      </c>
      <c r="B100" s="548" t="s">
        <v>968</v>
      </c>
      <c r="C100" s="548" t="s">
        <v>969</v>
      </c>
      <c r="D100" s="548" t="s">
        <v>970</v>
      </c>
      <c r="E100" s="547" t="s">
        <v>952</v>
      </c>
      <c r="F100" s="550">
        <v>317564916</v>
      </c>
      <c r="G100" s="547">
        <v>1555</v>
      </c>
      <c r="H100" s="547" t="s">
        <v>2242</v>
      </c>
      <c r="I100" s="564" t="s">
        <v>2059</v>
      </c>
      <c r="J100" s="557">
        <v>55</v>
      </c>
      <c r="K100" s="555">
        <v>55</v>
      </c>
      <c r="L100" s="555" t="s">
        <v>3446</v>
      </c>
      <c r="M100" s="555">
        <v>56</v>
      </c>
      <c r="N100" s="558">
        <v>58</v>
      </c>
      <c r="O100" s="575">
        <f t="shared" si="6"/>
        <v>166</v>
      </c>
      <c r="P100" s="557">
        <v>54</v>
      </c>
      <c r="Q100" s="555">
        <v>35</v>
      </c>
      <c r="R100" s="555">
        <v>56</v>
      </c>
      <c r="S100" s="555">
        <v>36</v>
      </c>
      <c r="T100" s="555">
        <v>56</v>
      </c>
      <c r="U100" s="555">
        <v>37</v>
      </c>
      <c r="V100" s="555">
        <v>58</v>
      </c>
      <c r="W100" s="555">
        <v>35</v>
      </c>
      <c r="X100" s="555">
        <v>58</v>
      </c>
      <c r="Y100" s="555">
        <v>38</v>
      </c>
      <c r="Z100" s="942">
        <f t="shared" si="7"/>
        <v>463</v>
      </c>
      <c r="AA100" s="548" t="s">
        <v>1375</v>
      </c>
      <c r="AB100" s="944">
        <f t="shared" si="5"/>
        <v>92.6</v>
      </c>
      <c r="AC100" s="548">
        <f t="shared" si="8"/>
        <v>1</v>
      </c>
    </row>
    <row r="101" spans="1:29" s="556" customFormat="1" ht="15">
      <c r="A101" s="550">
        <v>197</v>
      </c>
      <c r="B101" s="548" t="s">
        <v>897</v>
      </c>
      <c r="C101" s="566" t="s">
        <v>3287</v>
      </c>
      <c r="D101" s="566" t="s">
        <v>3288</v>
      </c>
      <c r="E101" s="567" t="s">
        <v>873</v>
      </c>
      <c r="F101" s="568">
        <v>321653058</v>
      </c>
      <c r="G101" s="569">
        <v>1480</v>
      </c>
      <c r="H101" s="547" t="s">
        <v>2242</v>
      </c>
      <c r="I101" s="564" t="s">
        <v>2059</v>
      </c>
      <c r="J101" s="557"/>
      <c r="K101" s="555"/>
      <c r="L101" s="555" t="s">
        <v>1676</v>
      </c>
      <c r="M101" s="555"/>
      <c r="N101" s="558"/>
      <c r="O101" s="575">
        <f t="shared" si="6"/>
        <v>0</v>
      </c>
      <c r="P101" s="557"/>
      <c r="Q101" s="555"/>
      <c r="R101" s="555"/>
      <c r="S101" s="555"/>
      <c r="T101" s="555"/>
      <c r="U101" s="555"/>
      <c r="V101" s="555"/>
      <c r="W101" s="555"/>
      <c r="X101" s="555"/>
      <c r="Y101" s="555"/>
      <c r="Z101" s="942">
        <f t="shared" si="7"/>
        <v>0</v>
      </c>
      <c r="AA101" s="548" t="s">
        <v>1225</v>
      </c>
      <c r="AB101" s="944">
        <f t="shared" ref="AB101:AB117" si="9">Z101/5</f>
        <v>0</v>
      </c>
      <c r="AC101" s="548">
        <f t="shared" si="8"/>
        <v>17</v>
      </c>
    </row>
    <row r="102" spans="1:29" s="556" customFormat="1" ht="15">
      <c r="A102" s="550">
        <v>198</v>
      </c>
      <c r="B102" s="548" t="s">
        <v>1258</v>
      </c>
      <c r="C102" s="548" t="s">
        <v>1261</v>
      </c>
      <c r="D102" s="548" t="s">
        <v>1663</v>
      </c>
      <c r="E102" s="563" t="s">
        <v>713</v>
      </c>
      <c r="F102" s="561">
        <v>316521199</v>
      </c>
      <c r="G102" s="547">
        <v>1384</v>
      </c>
      <c r="H102" s="547" t="s">
        <v>2242</v>
      </c>
      <c r="I102" s="564" t="s">
        <v>2059</v>
      </c>
      <c r="J102" s="557">
        <v>52</v>
      </c>
      <c r="K102" s="555">
        <v>50</v>
      </c>
      <c r="L102" s="555">
        <v>51</v>
      </c>
      <c r="M102" s="555">
        <v>47</v>
      </c>
      <c r="N102" s="558">
        <v>44</v>
      </c>
      <c r="O102" s="575">
        <f t="shared" si="6"/>
        <v>200</v>
      </c>
      <c r="P102" s="557">
        <v>53</v>
      </c>
      <c r="Q102" s="555">
        <v>35</v>
      </c>
      <c r="R102" s="555">
        <v>51</v>
      </c>
      <c r="S102" s="555">
        <v>35</v>
      </c>
      <c r="T102" s="555">
        <v>53</v>
      </c>
      <c r="U102" s="555">
        <v>36</v>
      </c>
      <c r="V102" s="555">
        <v>53</v>
      </c>
      <c r="W102" s="555">
        <v>36</v>
      </c>
      <c r="X102" s="555">
        <v>44</v>
      </c>
      <c r="Y102" s="555">
        <v>34</v>
      </c>
      <c r="Z102" s="942">
        <f t="shared" si="7"/>
        <v>430</v>
      </c>
      <c r="AA102" s="548" t="s">
        <v>1276</v>
      </c>
      <c r="AB102" s="944">
        <f t="shared" si="9"/>
        <v>86</v>
      </c>
      <c r="AC102" s="548">
        <f t="shared" si="8"/>
        <v>3</v>
      </c>
    </row>
    <row r="103" spans="1:29" s="556" customFormat="1" ht="15">
      <c r="A103" s="550">
        <v>199</v>
      </c>
      <c r="B103" s="548" t="s">
        <v>1263</v>
      </c>
      <c r="C103" s="548" t="s">
        <v>1264</v>
      </c>
      <c r="D103" s="548" t="s">
        <v>1265</v>
      </c>
      <c r="E103" s="563" t="s">
        <v>1266</v>
      </c>
      <c r="F103" s="550">
        <v>317565344</v>
      </c>
      <c r="G103" s="547">
        <v>1471</v>
      </c>
      <c r="H103" s="547" t="s">
        <v>2242</v>
      </c>
      <c r="I103" s="564" t="s">
        <v>2059</v>
      </c>
      <c r="J103" s="557">
        <v>55</v>
      </c>
      <c r="K103" s="555">
        <v>50</v>
      </c>
      <c r="L103" s="555">
        <v>53</v>
      </c>
      <c r="M103" s="555">
        <v>51</v>
      </c>
      <c r="N103" s="558">
        <v>50</v>
      </c>
      <c r="O103" s="575">
        <f t="shared" si="6"/>
        <v>209</v>
      </c>
      <c r="P103" s="557">
        <v>51</v>
      </c>
      <c r="Q103" s="555">
        <v>36</v>
      </c>
      <c r="R103" s="555">
        <v>52</v>
      </c>
      <c r="S103" s="555">
        <v>35</v>
      </c>
      <c r="T103" s="555">
        <v>53</v>
      </c>
      <c r="U103" s="555">
        <v>36</v>
      </c>
      <c r="V103" s="555">
        <v>54</v>
      </c>
      <c r="W103" s="555">
        <v>35</v>
      </c>
      <c r="X103" s="555">
        <v>42</v>
      </c>
      <c r="Y103" s="555">
        <v>33</v>
      </c>
      <c r="Z103" s="942">
        <f t="shared" si="7"/>
        <v>427</v>
      </c>
      <c r="AA103" s="548" t="s">
        <v>1382</v>
      </c>
      <c r="AB103" s="944">
        <f t="shared" si="9"/>
        <v>85.4</v>
      </c>
      <c r="AC103" s="548">
        <f t="shared" si="8"/>
        <v>5</v>
      </c>
    </row>
    <row r="104" spans="1:29" s="556" customFormat="1" ht="15">
      <c r="A104" s="550">
        <v>200</v>
      </c>
      <c r="B104" s="548" t="s">
        <v>1320</v>
      </c>
      <c r="C104" s="548" t="s">
        <v>1321</v>
      </c>
      <c r="D104" s="548" t="s">
        <v>1322</v>
      </c>
      <c r="E104" s="563" t="s">
        <v>1323</v>
      </c>
      <c r="F104" s="565">
        <v>317565562</v>
      </c>
      <c r="G104" s="547">
        <v>1668</v>
      </c>
      <c r="H104" s="547" t="s">
        <v>2242</v>
      </c>
      <c r="I104" s="564" t="s">
        <v>2059</v>
      </c>
      <c r="J104" s="557">
        <v>55</v>
      </c>
      <c r="K104" s="555">
        <v>49</v>
      </c>
      <c r="L104" s="555">
        <v>51</v>
      </c>
      <c r="M104" s="555">
        <v>48</v>
      </c>
      <c r="N104" s="558">
        <v>53</v>
      </c>
      <c r="O104" s="575">
        <f t="shared" si="6"/>
        <v>203</v>
      </c>
      <c r="P104" s="557">
        <v>49</v>
      </c>
      <c r="Q104" s="555">
        <v>37</v>
      </c>
      <c r="R104" s="555">
        <v>55</v>
      </c>
      <c r="S104" s="555">
        <v>36</v>
      </c>
      <c r="T104" s="555">
        <v>56</v>
      </c>
      <c r="U104" s="555">
        <v>35</v>
      </c>
      <c r="V104" s="555">
        <v>53</v>
      </c>
      <c r="W104" s="555">
        <v>35</v>
      </c>
      <c r="X104" s="555">
        <v>46</v>
      </c>
      <c r="Y104" s="555">
        <v>33</v>
      </c>
      <c r="Z104" s="942">
        <f t="shared" si="7"/>
        <v>435</v>
      </c>
      <c r="AA104" s="548" t="s">
        <v>1309</v>
      </c>
      <c r="AB104" s="944">
        <f t="shared" si="9"/>
        <v>87</v>
      </c>
      <c r="AC104" s="548">
        <f t="shared" si="8"/>
        <v>2</v>
      </c>
    </row>
    <row r="105" spans="1:29" s="556" customFormat="1" ht="15">
      <c r="A105" s="550">
        <v>201</v>
      </c>
      <c r="B105" s="548" t="s">
        <v>2247</v>
      </c>
      <c r="C105" s="548" t="s">
        <v>2274</v>
      </c>
      <c r="D105" s="548" t="s">
        <v>2275</v>
      </c>
      <c r="E105" s="547" t="s">
        <v>2276</v>
      </c>
      <c r="F105" s="550">
        <v>311281143</v>
      </c>
      <c r="G105" s="547">
        <v>1731</v>
      </c>
      <c r="H105" s="547" t="s">
        <v>2242</v>
      </c>
      <c r="I105" s="564" t="s">
        <v>2059</v>
      </c>
      <c r="J105" s="557">
        <v>49</v>
      </c>
      <c r="K105" s="555">
        <v>38</v>
      </c>
      <c r="L105" s="555">
        <v>48</v>
      </c>
      <c r="M105" s="555">
        <v>47</v>
      </c>
      <c r="N105" s="558">
        <v>53</v>
      </c>
      <c r="O105" s="575">
        <f t="shared" si="6"/>
        <v>182</v>
      </c>
      <c r="P105" s="557">
        <v>41</v>
      </c>
      <c r="Q105" s="555">
        <v>35</v>
      </c>
      <c r="R105" s="555">
        <v>47</v>
      </c>
      <c r="S105" s="555">
        <v>34</v>
      </c>
      <c r="T105" s="555">
        <v>38</v>
      </c>
      <c r="U105" s="555">
        <v>35</v>
      </c>
      <c r="V105" s="555">
        <v>46</v>
      </c>
      <c r="W105" s="555">
        <v>36</v>
      </c>
      <c r="X105" s="555">
        <v>34</v>
      </c>
      <c r="Y105" s="555">
        <v>32</v>
      </c>
      <c r="Z105" s="942">
        <f t="shared" si="7"/>
        <v>378</v>
      </c>
      <c r="AA105" s="548" t="s">
        <v>3297</v>
      </c>
      <c r="AB105" s="944">
        <f t="shared" si="9"/>
        <v>75.599999999999994</v>
      </c>
      <c r="AC105" s="548">
        <f t="shared" si="8"/>
        <v>13</v>
      </c>
    </row>
    <row r="106" spans="1:29" s="556" customFormat="1" ht="15">
      <c r="A106" s="550">
        <v>202</v>
      </c>
      <c r="B106" s="548" t="s">
        <v>1120</v>
      </c>
      <c r="C106" s="548" t="s">
        <v>1121</v>
      </c>
      <c r="D106" s="548" t="s">
        <v>221</v>
      </c>
      <c r="E106" s="547" t="s">
        <v>1122</v>
      </c>
      <c r="F106" s="550">
        <v>316520976</v>
      </c>
      <c r="G106" s="547">
        <v>1626</v>
      </c>
      <c r="H106" s="547" t="s">
        <v>2242</v>
      </c>
      <c r="I106" s="564" t="s">
        <v>2059</v>
      </c>
      <c r="J106" s="557">
        <v>50</v>
      </c>
      <c r="K106" s="555">
        <v>47</v>
      </c>
      <c r="L106" s="555">
        <v>52</v>
      </c>
      <c r="M106" s="555">
        <v>49</v>
      </c>
      <c r="N106" s="558">
        <v>45</v>
      </c>
      <c r="O106" s="575">
        <f t="shared" si="6"/>
        <v>198</v>
      </c>
      <c r="P106" s="557">
        <v>45</v>
      </c>
      <c r="Q106" s="555">
        <v>35</v>
      </c>
      <c r="R106" s="555">
        <v>47</v>
      </c>
      <c r="S106" s="555">
        <v>34</v>
      </c>
      <c r="T106" s="555">
        <v>47</v>
      </c>
      <c r="U106" s="555">
        <v>35</v>
      </c>
      <c r="V106" s="555">
        <v>50</v>
      </c>
      <c r="W106" s="555">
        <v>34</v>
      </c>
      <c r="X106" s="555">
        <v>40</v>
      </c>
      <c r="Y106" s="555">
        <v>32</v>
      </c>
      <c r="Z106" s="942">
        <f t="shared" si="7"/>
        <v>399</v>
      </c>
      <c r="AA106" s="548" t="s">
        <v>770</v>
      </c>
      <c r="AB106" s="944">
        <f t="shared" si="9"/>
        <v>79.8</v>
      </c>
      <c r="AC106" s="548">
        <f t="shared" si="8"/>
        <v>12</v>
      </c>
    </row>
    <row r="107" spans="1:29" s="556" customFormat="1" ht="15">
      <c r="A107" s="550">
        <v>203</v>
      </c>
      <c r="B107" s="548" t="s">
        <v>1421</v>
      </c>
      <c r="C107" s="548" t="s">
        <v>1422</v>
      </c>
      <c r="D107" s="548" t="s">
        <v>1423</v>
      </c>
      <c r="E107" s="563" t="s">
        <v>3289</v>
      </c>
      <c r="F107" s="550">
        <v>317881498</v>
      </c>
      <c r="G107" s="547">
        <v>1305</v>
      </c>
      <c r="H107" s="547" t="s">
        <v>2242</v>
      </c>
      <c r="I107" s="564" t="s">
        <v>2059</v>
      </c>
      <c r="J107" s="557">
        <v>48</v>
      </c>
      <c r="K107" s="555">
        <v>45</v>
      </c>
      <c r="L107" s="555">
        <v>48</v>
      </c>
      <c r="M107" s="555">
        <v>48</v>
      </c>
      <c r="N107" s="558">
        <v>50</v>
      </c>
      <c r="O107" s="575">
        <f t="shared" si="6"/>
        <v>189</v>
      </c>
      <c r="P107" s="557">
        <v>48</v>
      </c>
      <c r="Q107" s="555">
        <v>34</v>
      </c>
      <c r="R107" s="555">
        <v>49</v>
      </c>
      <c r="S107" s="555">
        <v>35</v>
      </c>
      <c r="T107" s="555">
        <v>48</v>
      </c>
      <c r="U107" s="555">
        <v>34</v>
      </c>
      <c r="V107" s="555">
        <v>52</v>
      </c>
      <c r="W107" s="555">
        <v>36</v>
      </c>
      <c r="X107" s="555">
        <v>36</v>
      </c>
      <c r="Y107" s="555">
        <v>31</v>
      </c>
      <c r="Z107" s="942">
        <f t="shared" si="7"/>
        <v>403</v>
      </c>
      <c r="AA107" s="548" t="s">
        <v>2248</v>
      </c>
      <c r="AB107" s="944">
        <f t="shared" si="9"/>
        <v>80.599999999999994</v>
      </c>
      <c r="AC107" s="548">
        <f t="shared" si="8"/>
        <v>10</v>
      </c>
    </row>
    <row r="108" spans="1:29" s="556" customFormat="1" ht="15">
      <c r="A108" s="550">
        <v>204</v>
      </c>
      <c r="B108" s="548" t="s">
        <v>1434</v>
      </c>
      <c r="C108" s="548" t="s">
        <v>1435</v>
      </c>
      <c r="D108" s="548" t="s">
        <v>1436</v>
      </c>
      <c r="E108" s="563" t="s">
        <v>1437</v>
      </c>
      <c r="F108" s="550">
        <v>316605840</v>
      </c>
      <c r="G108" s="547">
        <v>1512</v>
      </c>
      <c r="H108" s="547" t="s">
        <v>2242</v>
      </c>
      <c r="I108" s="564" t="s">
        <v>2059</v>
      </c>
      <c r="J108" s="557">
        <v>53</v>
      </c>
      <c r="K108" s="555">
        <v>42</v>
      </c>
      <c r="L108" s="555">
        <v>49</v>
      </c>
      <c r="M108" s="555">
        <v>47</v>
      </c>
      <c r="N108" s="558">
        <v>55</v>
      </c>
      <c r="O108" s="575">
        <f t="shared" si="6"/>
        <v>191</v>
      </c>
      <c r="P108" s="557">
        <v>57</v>
      </c>
      <c r="Q108" s="555">
        <v>36</v>
      </c>
      <c r="R108" s="555">
        <v>52</v>
      </c>
      <c r="S108" s="555">
        <v>34</v>
      </c>
      <c r="T108" s="555">
        <v>54</v>
      </c>
      <c r="U108" s="555">
        <v>33</v>
      </c>
      <c r="V108" s="555">
        <v>52</v>
      </c>
      <c r="W108" s="555">
        <v>32</v>
      </c>
      <c r="X108" s="555">
        <v>41</v>
      </c>
      <c r="Y108" s="555">
        <v>31</v>
      </c>
      <c r="Z108" s="942">
        <f t="shared" si="7"/>
        <v>422</v>
      </c>
      <c r="AA108" s="548" t="s">
        <v>2249</v>
      </c>
      <c r="AB108" s="944">
        <f t="shared" si="9"/>
        <v>84.4</v>
      </c>
      <c r="AC108" s="548">
        <f t="shared" si="8"/>
        <v>6</v>
      </c>
    </row>
    <row r="109" spans="1:29" s="556" customFormat="1" ht="15">
      <c r="A109" s="550">
        <v>205</v>
      </c>
      <c r="B109" s="548" t="s">
        <v>770</v>
      </c>
      <c r="C109" s="548" t="s">
        <v>3290</v>
      </c>
      <c r="D109" s="548" t="s">
        <v>1269</v>
      </c>
      <c r="E109" s="563" t="s">
        <v>1270</v>
      </c>
      <c r="F109" s="550">
        <v>314844484</v>
      </c>
      <c r="G109" s="547">
        <v>1427</v>
      </c>
      <c r="H109" s="547" t="s">
        <v>2242</v>
      </c>
      <c r="I109" s="564" t="s">
        <v>2059</v>
      </c>
      <c r="J109" s="557">
        <v>53</v>
      </c>
      <c r="K109" s="555">
        <v>46</v>
      </c>
      <c r="L109" s="555">
        <v>58</v>
      </c>
      <c r="M109" s="555">
        <v>47</v>
      </c>
      <c r="N109" s="558">
        <v>53</v>
      </c>
      <c r="O109" s="575">
        <f t="shared" si="6"/>
        <v>204</v>
      </c>
      <c r="P109" s="557">
        <v>51</v>
      </c>
      <c r="Q109" s="555">
        <v>36</v>
      </c>
      <c r="R109" s="555">
        <v>52</v>
      </c>
      <c r="S109" s="555">
        <v>34</v>
      </c>
      <c r="T109" s="555">
        <v>57</v>
      </c>
      <c r="U109" s="555">
        <v>37</v>
      </c>
      <c r="V109" s="555">
        <v>52</v>
      </c>
      <c r="W109" s="555">
        <v>35</v>
      </c>
      <c r="X109" s="555">
        <v>43</v>
      </c>
      <c r="Y109" s="555">
        <v>32</v>
      </c>
      <c r="Z109" s="942">
        <f t="shared" si="7"/>
        <v>429</v>
      </c>
      <c r="AA109" s="548" t="s">
        <v>3439</v>
      </c>
      <c r="AB109" s="944">
        <f t="shared" si="9"/>
        <v>85.8</v>
      </c>
      <c r="AC109" s="548">
        <f t="shared" si="8"/>
        <v>2</v>
      </c>
    </row>
    <row r="110" spans="1:29" s="556" customFormat="1" ht="15">
      <c r="A110" s="550">
        <v>206</v>
      </c>
      <c r="B110" s="548" t="s">
        <v>1276</v>
      </c>
      <c r="C110" s="548" t="s">
        <v>1277</v>
      </c>
      <c r="D110" s="548" t="s">
        <v>1278</v>
      </c>
      <c r="E110" s="563" t="s">
        <v>1279</v>
      </c>
      <c r="F110" s="565">
        <v>315686475</v>
      </c>
      <c r="G110" s="547">
        <v>1322</v>
      </c>
      <c r="H110" s="547" t="s">
        <v>2242</v>
      </c>
      <c r="I110" s="564" t="s">
        <v>2059</v>
      </c>
      <c r="J110" s="557" t="s">
        <v>3447</v>
      </c>
      <c r="K110" s="555">
        <v>51</v>
      </c>
      <c r="L110" s="555">
        <v>55</v>
      </c>
      <c r="M110" s="555">
        <v>50</v>
      </c>
      <c r="N110" s="558">
        <v>45</v>
      </c>
      <c r="O110" s="575">
        <f t="shared" si="6"/>
        <v>156</v>
      </c>
      <c r="P110" s="557">
        <v>49</v>
      </c>
      <c r="Q110" s="555">
        <v>35</v>
      </c>
      <c r="R110" s="555">
        <v>48</v>
      </c>
      <c r="S110" s="555">
        <v>35</v>
      </c>
      <c r="T110" s="555">
        <v>57</v>
      </c>
      <c r="U110" s="555">
        <v>36</v>
      </c>
      <c r="V110" s="555">
        <v>53</v>
      </c>
      <c r="W110" s="555">
        <v>35</v>
      </c>
      <c r="X110" s="555">
        <v>43</v>
      </c>
      <c r="Y110" s="555">
        <v>32</v>
      </c>
      <c r="Z110" s="942">
        <f t="shared" si="7"/>
        <v>423</v>
      </c>
      <c r="AA110" s="548" t="s">
        <v>1381</v>
      </c>
      <c r="AB110" s="944">
        <f t="shared" si="9"/>
        <v>84.6</v>
      </c>
      <c r="AC110" s="548">
        <f t="shared" si="8"/>
        <v>4</v>
      </c>
    </row>
    <row r="111" spans="1:29" s="556" customFormat="1" ht="15">
      <c r="A111" s="550">
        <v>207</v>
      </c>
      <c r="B111" s="548" t="s">
        <v>1309</v>
      </c>
      <c r="C111" s="548" t="s">
        <v>575</v>
      </c>
      <c r="D111" s="548" t="s">
        <v>1310</v>
      </c>
      <c r="E111" s="563" t="s">
        <v>1311</v>
      </c>
      <c r="F111" s="561">
        <v>321984097</v>
      </c>
      <c r="G111" s="547">
        <v>1592</v>
      </c>
      <c r="H111" s="547" t="s">
        <v>2242</v>
      </c>
      <c r="I111" s="564" t="s">
        <v>2059</v>
      </c>
      <c r="J111" s="557">
        <v>54</v>
      </c>
      <c r="K111" s="555">
        <v>52</v>
      </c>
      <c r="L111" s="555">
        <v>46</v>
      </c>
      <c r="M111" s="555">
        <v>50</v>
      </c>
      <c r="N111" s="558">
        <v>55</v>
      </c>
      <c r="O111" s="575">
        <f t="shared" si="6"/>
        <v>202</v>
      </c>
      <c r="P111" s="557">
        <v>52</v>
      </c>
      <c r="Q111" s="555">
        <v>36</v>
      </c>
      <c r="R111" s="555">
        <v>55</v>
      </c>
      <c r="S111" s="555">
        <v>35</v>
      </c>
      <c r="T111" s="555">
        <v>54</v>
      </c>
      <c r="U111" s="555">
        <v>34</v>
      </c>
      <c r="V111" s="555">
        <v>53</v>
      </c>
      <c r="W111" s="555">
        <v>35</v>
      </c>
      <c r="X111" s="555">
        <v>43</v>
      </c>
      <c r="Y111" s="555">
        <v>32</v>
      </c>
      <c r="Z111" s="942">
        <f t="shared" si="7"/>
        <v>429</v>
      </c>
      <c r="AA111" s="548" t="s">
        <v>1294</v>
      </c>
      <c r="AB111" s="944">
        <f t="shared" si="9"/>
        <v>85.8</v>
      </c>
      <c r="AC111" s="548">
        <f t="shared" si="8"/>
        <v>2</v>
      </c>
    </row>
    <row r="112" spans="1:29" s="556" customFormat="1" ht="15">
      <c r="A112" s="550">
        <v>208</v>
      </c>
      <c r="B112" s="548" t="s">
        <v>1324</v>
      </c>
      <c r="C112" s="548" t="s">
        <v>1325</v>
      </c>
      <c r="D112" s="548" t="s">
        <v>1326</v>
      </c>
      <c r="E112" s="563" t="s">
        <v>1245</v>
      </c>
      <c r="F112" s="550">
        <v>311227954</v>
      </c>
      <c r="G112" s="547">
        <v>1669</v>
      </c>
      <c r="H112" s="547" t="s">
        <v>2242</v>
      </c>
      <c r="I112" s="564" t="s">
        <v>2059</v>
      </c>
      <c r="J112" s="557">
        <v>51</v>
      </c>
      <c r="K112" s="555">
        <v>50</v>
      </c>
      <c r="L112" s="555">
        <v>48</v>
      </c>
      <c r="M112" s="555">
        <v>50</v>
      </c>
      <c r="N112" s="558">
        <v>49</v>
      </c>
      <c r="O112" s="575">
        <f t="shared" si="6"/>
        <v>199</v>
      </c>
      <c r="P112" s="557">
        <v>48</v>
      </c>
      <c r="Q112" s="555">
        <v>35</v>
      </c>
      <c r="R112" s="555">
        <v>52</v>
      </c>
      <c r="S112" s="555">
        <v>35</v>
      </c>
      <c r="T112" s="555">
        <v>54</v>
      </c>
      <c r="U112" s="555">
        <v>34</v>
      </c>
      <c r="V112" s="555">
        <v>55</v>
      </c>
      <c r="W112" s="555">
        <v>36</v>
      </c>
      <c r="X112" s="555">
        <v>39</v>
      </c>
      <c r="Y112" s="555">
        <v>31</v>
      </c>
      <c r="Z112" s="942">
        <f t="shared" si="7"/>
        <v>419</v>
      </c>
      <c r="AA112" s="548" t="s">
        <v>1456</v>
      </c>
      <c r="AB112" s="944">
        <f t="shared" si="9"/>
        <v>83.8</v>
      </c>
      <c r="AC112" s="548">
        <f t="shared" si="8"/>
        <v>3</v>
      </c>
    </row>
    <row r="113" spans="1:29" s="556" customFormat="1" ht="15">
      <c r="A113" s="550">
        <v>209</v>
      </c>
      <c r="B113" s="548" t="s">
        <v>2248</v>
      </c>
      <c r="C113" s="548" t="s">
        <v>2277</v>
      </c>
      <c r="D113" s="548" t="s">
        <v>2278</v>
      </c>
      <c r="E113" s="549" t="s">
        <v>2279</v>
      </c>
      <c r="F113" s="550">
        <v>308896005</v>
      </c>
      <c r="G113" s="547">
        <v>1740</v>
      </c>
      <c r="H113" s="547" t="s">
        <v>2242</v>
      </c>
      <c r="I113" s="564" t="s">
        <v>2059</v>
      </c>
      <c r="J113" s="557">
        <v>54</v>
      </c>
      <c r="K113" s="555">
        <v>46</v>
      </c>
      <c r="L113" s="555">
        <v>48</v>
      </c>
      <c r="M113" s="555">
        <v>52</v>
      </c>
      <c r="N113" s="558">
        <v>56</v>
      </c>
      <c r="O113" s="575">
        <f t="shared" si="6"/>
        <v>200</v>
      </c>
      <c r="P113" s="557">
        <v>47</v>
      </c>
      <c r="Q113" s="555">
        <v>35</v>
      </c>
      <c r="R113" s="555">
        <v>55</v>
      </c>
      <c r="S113" s="555">
        <v>34</v>
      </c>
      <c r="T113" s="555">
        <v>58</v>
      </c>
      <c r="U113" s="555">
        <v>35</v>
      </c>
      <c r="V113" s="555">
        <v>54</v>
      </c>
      <c r="W113" s="555">
        <v>35</v>
      </c>
      <c r="X113" s="555">
        <v>40</v>
      </c>
      <c r="Y113" s="555">
        <v>31</v>
      </c>
      <c r="Z113" s="942">
        <f t="shared" si="7"/>
        <v>424</v>
      </c>
      <c r="AA113" s="548" t="s">
        <v>2245</v>
      </c>
      <c r="AB113" s="944">
        <f t="shared" si="9"/>
        <v>84.8</v>
      </c>
      <c r="AC113" s="548">
        <f t="shared" si="8"/>
        <v>2</v>
      </c>
    </row>
    <row r="114" spans="1:29" s="556" customFormat="1" ht="15">
      <c r="A114" s="550">
        <v>210</v>
      </c>
      <c r="B114" s="548" t="s">
        <v>2249</v>
      </c>
      <c r="C114" s="548" t="s">
        <v>2280</v>
      </c>
      <c r="D114" s="548" t="s">
        <v>2281</v>
      </c>
      <c r="E114" s="549" t="s">
        <v>2282</v>
      </c>
      <c r="F114" s="550">
        <v>314368677</v>
      </c>
      <c r="G114" s="547">
        <v>1746</v>
      </c>
      <c r="H114" s="547" t="s">
        <v>2242</v>
      </c>
      <c r="I114" s="564" t="s">
        <v>2059</v>
      </c>
      <c r="J114" s="557">
        <v>57</v>
      </c>
      <c r="K114" s="555">
        <v>54</v>
      </c>
      <c r="L114" s="555">
        <v>58</v>
      </c>
      <c r="M114" s="555">
        <v>52</v>
      </c>
      <c r="N114" s="558">
        <v>58</v>
      </c>
      <c r="O114" s="575">
        <f t="shared" si="6"/>
        <v>221</v>
      </c>
      <c r="P114" s="557">
        <v>52</v>
      </c>
      <c r="Q114" s="555">
        <v>38</v>
      </c>
      <c r="R114" s="555">
        <v>55</v>
      </c>
      <c r="S114" s="555">
        <v>37</v>
      </c>
      <c r="T114" s="555">
        <v>58</v>
      </c>
      <c r="U114" s="555">
        <v>38</v>
      </c>
      <c r="V114" s="555">
        <v>58</v>
      </c>
      <c r="W114" s="555">
        <v>36</v>
      </c>
      <c r="X114" s="555">
        <v>50</v>
      </c>
      <c r="Y114" s="555">
        <v>35</v>
      </c>
      <c r="Z114" s="942">
        <f t="shared" si="7"/>
        <v>457</v>
      </c>
      <c r="AA114" s="548" t="s">
        <v>458</v>
      </c>
      <c r="AB114" s="944">
        <f t="shared" si="9"/>
        <v>91.4</v>
      </c>
      <c r="AC114" s="548">
        <f t="shared" si="8"/>
        <v>1</v>
      </c>
    </row>
    <row r="115" spans="1:29" s="556" customFormat="1" ht="15">
      <c r="A115" s="550">
        <v>211</v>
      </c>
      <c r="B115" s="548" t="s">
        <v>458</v>
      </c>
      <c r="C115" s="548" t="s">
        <v>23</v>
      </c>
      <c r="D115" s="548" t="s">
        <v>1426</v>
      </c>
      <c r="E115" s="563" t="s">
        <v>981</v>
      </c>
      <c r="F115" s="550">
        <v>316953821</v>
      </c>
      <c r="G115" s="547">
        <v>1405</v>
      </c>
      <c r="H115" s="547" t="s">
        <v>2242</v>
      </c>
      <c r="I115" s="564" t="s">
        <v>2059</v>
      </c>
      <c r="J115" s="557">
        <v>51</v>
      </c>
      <c r="K115" s="555">
        <v>51</v>
      </c>
      <c r="L115" s="555">
        <v>51</v>
      </c>
      <c r="M115" s="555">
        <v>52</v>
      </c>
      <c r="N115" s="558">
        <v>47</v>
      </c>
      <c r="O115" s="575">
        <f t="shared" si="6"/>
        <v>205</v>
      </c>
      <c r="P115" s="557">
        <v>46</v>
      </c>
      <c r="Q115" s="555">
        <v>37</v>
      </c>
      <c r="R115" s="555">
        <v>54</v>
      </c>
      <c r="S115" s="555">
        <v>36</v>
      </c>
      <c r="T115" s="555">
        <v>48</v>
      </c>
      <c r="U115" s="555">
        <v>35</v>
      </c>
      <c r="V115" s="555">
        <v>49</v>
      </c>
      <c r="W115" s="555">
        <v>35</v>
      </c>
      <c r="X115" s="555">
        <v>40</v>
      </c>
      <c r="Y115" s="555">
        <v>31</v>
      </c>
      <c r="Z115" s="942">
        <f t="shared" si="7"/>
        <v>411</v>
      </c>
      <c r="AA115" s="548" t="s">
        <v>1283</v>
      </c>
      <c r="AB115" s="944">
        <f t="shared" si="9"/>
        <v>82.2</v>
      </c>
      <c r="AC115" s="548">
        <f t="shared" si="8"/>
        <v>1</v>
      </c>
    </row>
    <row r="116" spans="1:29" s="556" customFormat="1" ht="15">
      <c r="A116" s="853">
        <v>212</v>
      </c>
      <c r="B116" s="548" t="s">
        <v>3488</v>
      </c>
      <c r="C116" s="548" t="s">
        <v>112</v>
      </c>
      <c r="D116" s="548" t="s">
        <v>137</v>
      </c>
      <c r="E116" s="563" t="s">
        <v>1280</v>
      </c>
      <c r="F116" s="550">
        <v>317991140</v>
      </c>
      <c r="G116" s="547">
        <v>1452</v>
      </c>
      <c r="H116" s="547" t="s">
        <v>2242</v>
      </c>
      <c r="I116" s="564" t="s">
        <v>2059</v>
      </c>
      <c r="J116" s="557">
        <v>48</v>
      </c>
      <c r="K116" s="555">
        <v>52</v>
      </c>
      <c r="L116" s="555">
        <v>51</v>
      </c>
      <c r="M116" s="555">
        <v>50</v>
      </c>
      <c r="N116" s="558">
        <v>52</v>
      </c>
      <c r="O116" s="575">
        <f t="shared" si="6"/>
        <v>201</v>
      </c>
      <c r="P116" s="557">
        <v>45</v>
      </c>
      <c r="Q116" s="555">
        <v>35</v>
      </c>
      <c r="R116" s="555">
        <v>51</v>
      </c>
      <c r="S116" s="555">
        <v>36</v>
      </c>
      <c r="T116" s="555">
        <v>54</v>
      </c>
      <c r="U116" s="555">
        <v>35</v>
      </c>
      <c r="V116" s="555">
        <v>49</v>
      </c>
      <c r="W116" s="555">
        <v>36</v>
      </c>
      <c r="X116" s="555">
        <v>36</v>
      </c>
      <c r="Y116" s="555">
        <v>31</v>
      </c>
      <c r="Z116" s="942">
        <f t="shared" si="7"/>
        <v>408</v>
      </c>
      <c r="AA116" s="548" t="s">
        <v>3488</v>
      </c>
      <c r="AB116" s="944">
        <f t="shared" si="9"/>
        <v>81.599999999999994</v>
      </c>
      <c r="AC116" s="548">
        <f t="shared" si="8"/>
        <v>1</v>
      </c>
    </row>
    <row r="117" spans="1:29" s="556" customFormat="1" ht="15.5" thickBot="1">
      <c r="A117" s="550">
        <v>213</v>
      </c>
      <c r="B117" s="548" t="s">
        <v>1283</v>
      </c>
      <c r="C117" s="548" t="s">
        <v>1284</v>
      </c>
      <c r="D117" s="548" t="s">
        <v>28</v>
      </c>
      <c r="E117" s="563" t="s">
        <v>1285</v>
      </c>
      <c r="F117" s="550">
        <v>313444767</v>
      </c>
      <c r="G117" s="547">
        <v>1469</v>
      </c>
      <c r="H117" s="547" t="s">
        <v>2242</v>
      </c>
      <c r="I117" s="564" t="s">
        <v>2059</v>
      </c>
      <c r="J117" s="570">
        <v>42</v>
      </c>
      <c r="K117" s="571">
        <v>51</v>
      </c>
      <c r="L117" s="571">
        <v>50</v>
      </c>
      <c r="M117" s="571">
        <v>50</v>
      </c>
      <c r="N117" s="572">
        <v>58</v>
      </c>
      <c r="O117" s="575">
        <f t="shared" si="6"/>
        <v>193</v>
      </c>
      <c r="P117" s="570">
        <v>47</v>
      </c>
      <c r="Q117" s="571">
        <v>33</v>
      </c>
      <c r="R117" s="571">
        <v>50</v>
      </c>
      <c r="S117" s="571">
        <v>35</v>
      </c>
      <c r="T117" s="571">
        <v>47</v>
      </c>
      <c r="U117" s="571">
        <v>35</v>
      </c>
      <c r="V117" s="571">
        <v>49</v>
      </c>
      <c r="W117" s="571">
        <v>35</v>
      </c>
      <c r="X117" s="571">
        <v>40</v>
      </c>
      <c r="Y117" s="571">
        <v>31</v>
      </c>
      <c r="Z117" s="943">
        <f t="shared" si="7"/>
        <v>402</v>
      </c>
      <c r="AA117" s="548" t="s">
        <v>1286</v>
      </c>
      <c r="AB117" s="944">
        <f t="shared" si="9"/>
        <v>80.400000000000006</v>
      </c>
      <c r="AC117" s="548">
        <f t="shared" si="8"/>
        <v>1</v>
      </c>
    </row>
    <row r="119" spans="1:29">
      <c r="U119" t="s">
        <v>1676</v>
      </c>
      <c r="Y119" t="s">
        <v>1676</v>
      </c>
    </row>
    <row r="120" spans="1:29">
      <c r="F120" s="946">
        <v>40522</v>
      </c>
    </row>
    <row r="121" spans="1:29">
      <c r="P121" t="str">
        <f>DateToWords(F120)</f>
        <v>10 December 2010</v>
      </c>
    </row>
  </sheetData>
  <autoFilter ref="AA4:AB117">
    <sortState ref="AA5:AB117">
      <sortCondition ref="AA4:AA117"/>
    </sortState>
  </autoFilter>
  <mergeCells count="4">
    <mergeCell ref="A2:J2"/>
    <mergeCell ref="J3:N3"/>
    <mergeCell ref="A3:I3"/>
    <mergeCell ref="Q3:X3"/>
  </mergeCells>
  <phoneticPr fontId="77" type="noConversion"/>
  <pageMargins left="0.7" right="0.7" top="0.75" bottom="0.75" header="0.3" footer="0.3"/>
  <pageSetup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tabColor rgb="FFFFFF00"/>
  </sheetPr>
  <dimension ref="A1:AT97"/>
  <sheetViews>
    <sheetView topLeftCell="A73" workbookViewId="0">
      <selection activeCell="K92" sqref="K92"/>
    </sheetView>
  </sheetViews>
  <sheetFormatPr defaultRowHeight="15"/>
  <cols>
    <col min="2" max="2" width="24.1796875" customWidth="1"/>
    <col min="3" max="3" width="23.54296875" customWidth="1"/>
    <col min="4" max="4" width="19.81640625" customWidth="1"/>
    <col min="5" max="5" width="16.81640625" customWidth="1"/>
    <col min="6" max="6" width="17.7265625" customWidth="1"/>
    <col min="8" max="8" width="10.1796875" customWidth="1"/>
    <col min="9" max="9" width="11.1796875" customWidth="1"/>
    <col min="10" max="12" width="11.81640625" style="439" customWidth="1"/>
    <col min="13" max="13" width="10.1796875" style="439" customWidth="1"/>
    <col min="14" max="14" width="11.81640625" style="439" customWidth="1"/>
    <col min="15" max="15" width="10" style="439" customWidth="1"/>
  </cols>
  <sheetData>
    <row r="1" spans="1:40" ht="21">
      <c r="A1" s="1217" t="s">
        <v>3023</v>
      </c>
      <c r="B1" s="1217"/>
      <c r="C1" s="1217"/>
      <c r="D1" s="1217"/>
      <c r="E1" s="1217"/>
      <c r="F1" s="1217"/>
      <c r="G1" s="1217"/>
      <c r="H1" s="1217"/>
      <c r="I1" s="1217"/>
      <c r="J1" s="1217"/>
    </row>
    <row r="2" spans="1:40" ht="21.5" thickBot="1">
      <c r="A2" s="1217" t="s">
        <v>3038</v>
      </c>
      <c r="B2" s="1217"/>
      <c r="C2" s="1217"/>
      <c r="D2" s="1217"/>
      <c r="E2" s="1217"/>
      <c r="F2" s="1217"/>
      <c r="G2" s="1217"/>
      <c r="H2" s="1217"/>
      <c r="I2" s="1217"/>
      <c r="J2" s="1220" t="s">
        <v>3441</v>
      </c>
      <c r="K2" s="1220"/>
      <c r="L2" s="1220"/>
      <c r="M2" s="1220"/>
      <c r="N2" s="1220"/>
      <c r="O2" s="521"/>
      <c r="P2" s="1221" t="s">
        <v>506</v>
      </c>
      <c r="Q2" s="1221"/>
      <c r="R2" s="1221"/>
      <c r="S2" s="1221"/>
      <c r="T2" s="1221"/>
      <c r="U2" s="1221"/>
      <c r="V2" s="1221"/>
      <c r="W2" s="1221"/>
      <c r="X2" s="1221"/>
      <c r="Y2" s="1221"/>
      <c r="Z2" s="1221"/>
    </row>
    <row r="3" spans="1:40" ht="26" thickTop="1" thickBo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4" t="s">
        <v>6</v>
      </c>
      <c r="H3" s="244" t="s">
        <v>7</v>
      </c>
      <c r="I3" s="244" t="s">
        <v>8</v>
      </c>
      <c r="J3" s="522" t="s">
        <v>3440</v>
      </c>
      <c r="K3" s="522" t="s">
        <v>10</v>
      </c>
      <c r="L3" s="522" t="s">
        <v>3251</v>
      </c>
      <c r="M3" s="522" t="s">
        <v>3254</v>
      </c>
      <c r="N3" s="523" t="s">
        <v>3437</v>
      </c>
      <c r="O3" s="524" t="s">
        <v>3448</v>
      </c>
      <c r="P3" s="629" t="s">
        <v>3440</v>
      </c>
      <c r="Q3" s="629" t="s">
        <v>74</v>
      </c>
      <c r="R3" s="629" t="s">
        <v>3445</v>
      </c>
      <c r="S3" s="629" t="s">
        <v>74</v>
      </c>
      <c r="T3" s="629" t="s">
        <v>3251</v>
      </c>
      <c r="U3" s="629" t="s">
        <v>74</v>
      </c>
      <c r="V3" s="629" t="s">
        <v>3254</v>
      </c>
      <c r="W3" s="629" t="s">
        <v>74</v>
      </c>
      <c r="X3" s="629" t="s">
        <v>3454</v>
      </c>
      <c r="Y3" s="630" t="s">
        <v>74</v>
      </c>
      <c r="Z3" s="629" t="s">
        <v>3448</v>
      </c>
    </row>
    <row r="4" spans="1:40" s="591" customFormat="1" ht="19" thickBot="1">
      <c r="A4" s="583">
        <v>201</v>
      </c>
      <c r="B4" s="584" t="s">
        <v>782</v>
      </c>
      <c r="C4" s="584" t="s">
        <v>270</v>
      </c>
      <c r="D4" s="584" t="s">
        <v>466</v>
      </c>
      <c r="E4" s="585" t="s">
        <v>3301</v>
      </c>
      <c r="F4" s="583">
        <v>317178336</v>
      </c>
      <c r="G4" s="583">
        <v>1260</v>
      </c>
      <c r="H4" s="583" t="s">
        <v>2285</v>
      </c>
      <c r="I4" s="586" t="s">
        <v>2059</v>
      </c>
      <c r="J4" s="587">
        <v>59</v>
      </c>
      <c r="K4" s="588">
        <v>49</v>
      </c>
      <c r="L4" s="588">
        <v>52</v>
      </c>
      <c r="M4" s="588">
        <v>59</v>
      </c>
      <c r="N4" s="589">
        <v>59</v>
      </c>
      <c r="O4" s="590">
        <f>SUM(J4:M4)</f>
        <v>219</v>
      </c>
      <c r="P4" s="626">
        <v>59</v>
      </c>
      <c r="Q4" s="626">
        <v>38</v>
      </c>
      <c r="R4" s="626">
        <v>55</v>
      </c>
      <c r="S4" s="626">
        <v>36</v>
      </c>
      <c r="T4" s="626">
        <v>55</v>
      </c>
      <c r="U4" s="626">
        <v>36</v>
      </c>
      <c r="V4" s="626">
        <v>59</v>
      </c>
      <c r="W4" s="626">
        <v>37</v>
      </c>
      <c r="X4" s="626">
        <v>52</v>
      </c>
      <c r="Y4" s="627">
        <v>35</v>
      </c>
      <c r="Z4" s="628">
        <f>SUM(P4:Y4)</f>
        <v>462</v>
      </c>
    </row>
    <row r="5" spans="1:40" s="591" customFormat="1" ht="19" thickBot="1">
      <c r="A5" s="583">
        <v>202</v>
      </c>
      <c r="B5" s="584" t="s">
        <v>784</v>
      </c>
      <c r="C5" s="584" t="s">
        <v>785</v>
      </c>
      <c r="D5" s="584" t="s">
        <v>2137</v>
      </c>
      <c r="E5" s="585" t="s">
        <v>787</v>
      </c>
      <c r="F5" s="583">
        <v>313729511</v>
      </c>
      <c r="G5" s="583">
        <v>1232</v>
      </c>
      <c r="H5" s="583" t="s">
        <v>2285</v>
      </c>
      <c r="I5" s="586" t="s">
        <v>2059</v>
      </c>
      <c r="J5" s="592">
        <v>53</v>
      </c>
      <c r="K5" s="590">
        <v>47</v>
      </c>
      <c r="L5" s="590">
        <v>56</v>
      </c>
      <c r="M5" s="588">
        <v>53</v>
      </c>
      <c r="N5" s="593">
        <v>54</v>
      </c>
      <c r="O5" s="590">
        <f t="shared" ref="O5:O68" si="0">SUM(J5:M5)</f>
        <v>209</v>
      </c>
      <c r="P5" s="626">
        <v>54</v>
      </c>
      <c r="Q5" s="626">
        <v>36</v>
      </c>
      <c r="R5" s="626">
        <v>53</v>
      </c>
      <c r="S5" s="626">
        <v>34</v>
      </c>
      <c r="T5" s="626">
        <v>59</v>
      </c>
      <c r="U5" s="626">
        <v>38</v>
      </c>
      <c r="V5" s="626">
        <v>55</v>
      </c>
      <c r="W5" s="626">
        <v>38</v>
      </c>
      <c r="X5" s="626">
        <v>56</v>
      </c>
      <c r="Y5" s="627">
        <v>36</v>
      </c>
      <c r="Z5" s="628">
        <f t="shared" ref="Z5:Z68" si="1">SUM(P5:Y5)</f>
        <v>459</v>
      </c>
    </row>
    <row r="6" spans="1:40" s="591" customFormat="1" ht="19" thickBot="1">
      <c r="A6" s="583">
        <v>203</v>
      </c>
      <c r="B6" s="584" t="s">
        <v>788</v>
      </c>
      <c r="C6" s="584" t="s">
        <v>789</v>
      </c>
      <c r="D6" s="584" t="s">
        <v>333</v>
      </c>
      <c r="E6" s="585" t="s">
        <v>790</v>
      </c>
      <c r="F6" s="583">
        <v>313796139</v>
      </c>
      <c r="G6" s="583">
        <v>1222</v>
      </c>
      <c r="H6" s="583" t="s">
        <v>2285</v>
      </c>
      <c r="I6" s="586" t="s">
        <v>2059</v>
      </c>
      <c r="J6" s="592">
        <v>48</v>
      </c>
      <c r="K6" s="590">
        <v>45</v>
      </c>
      <c r="L6" s="590">
        <v>45</v>
      </c>
      <c r="M6" s="588">
        <v>44</v>
      </c>
      <c r="N6" s="593">
        <v>45</v>
      </c>
      <c r="O6" s="590">
        <f t="shared" si="0"/>
        <v>182</v>
      </c>
      <c r="P6" s="626">
        <v>44</v>
      </c>
      <c r="Q6" s="626">
        <v>35</v>
      </c>
      <c r="R6" s="626">
        <v>45</v>
      </c>
      <c r="S6" s="626">
        <v>34</v>
      </c>
      <c r="T6" s="626">
        <v>48</v>
      </c>
      <c r="U6" s="626">
        <v>34</v>
      </c>
      <c r="V6" s="626">
        <v>56</v>
      </c>
      <c r="W6" s="626">
        <v>34</v>
      </c>
      <c r="X6" s="626">
        <v>54</v>
      </c>
      <c r="Y6" s="627">
        <v>37</v>
      </c>
      <c r="Z6" s="628">
        <f t="shared" si="1"/>
        <v>421</v>
      </c>
    </row>
    <row r="7" spans="1:40" s="591" customFormat="1" ht="19" thickBot="1">
      <c r="A7" s="583">
        <v>204</v>
      </c>
      <c r="B7" s="584" t="s">
        <v>795</v>
      </c>
      <c r="C7" s="584" t="s">
        <v>796</v>
      </c>
      <c r="D7" s="584" t="s">
        <v>797</v>
      </c>
      <c r="E7" s="585" t="s">
        <v>798</v>
      </c>
      <c r="F7" s="583">
        <v>317655609</v>
      </c>
      <c r="G7" s="583">
        <v>1360</v>
      </c>
      <c r="H7" s="583" t="s">
        <v>2285</v>
      </c>
      <c r="I7" s="586" t="s">
        <v>2059</v>
      </c>
      <c r="J7" s="592">
        <v>58</v>
      </c>
      <c r="K7" s="590">
        <v>48</v>
      </c>
      <c r="L7" s="590">
        <v>54</v>
      </c>
      <c r="M7" s="588">
        <v>51</v>
      </c>
      <c r="N7" s="593">
        <v>53</v>
      </c>
      <c r="O7" s="590">
        <f t="shared" si="0"/>
        <v>211</v>
      </c>
      <c r="P7" s="626">
        <v>59</v>
      </c>
      <c r="Q7" s="626">
        <v>38</v>
      </c>
      <c r="R7" s="626">
        <v>53</v>
      </c>
      <c r="S7" s="626">
        <v>34</v>
      </c>
      <c r="T7" s="626">
        <v>57</v>
      </c>
      <c r="U7" s="626">
        <v>34</v>
      </c>
      <c r="V7" s="626">
        <v>59</v>
      </c>
      <c r="W7" s="626">
        <v>35</v>
      </c>
      <c r="X7" s="626">
        <v>58</v>
      </c>
      <c r="Y7" s="627">
        <v>38</v>
      </c>
      <c r="Z7" s="628">
        <f t="shared" si="1"/>
        <v>465</v>
      </c>
    </row>
    <row r="8" spans="1:40" s="591" customFormat="1" ht="19" thickBot="1">
      <c r="A8" s="583">
        <v>205</v>
      </c>
      <c r="B8" s="584" t="s">
        <v>799</v>
      </c>
      <c r="C8" s="584" t="s">
        <v>800</v>
      </c>
      <c r="D8" s="584" t="s">
        <v>801</v>
      </c>
      <c r="E8" s="585" t="s">
        <v>802</v>
      </c>
      <c r="F8" s="583">
        <v>306644009</v>
      </c>
      <c r="G8" s="583">
        <v>1277</v>
      </c>
      <c r="H8" s="583" t="s">
        <v>2285</v>
      </c>
      <c r="I8" s="586" t="s">
        <v>2059</v>
      </c>
      <c r="J8" s="592">
        <v>59</v>
      </c>
      <c r="K8" s="590">
        <v>53</v>
      </c>
      <c r="L8" s="590">
        <v>58</v>
      </c>
      <c r="M8" s="588">
        <v>60</v>
      </c>
      <c r="N8" s="593">
        <v>60</v>
      </c>
      <c r="O8" s="590">
        <f t="shared" si="0"/>
        <v>230</v>
      </c>
      <c r="P8" s="626">
        <v>60</v>
      </c>
      <c r="Q8" s="626">
        <v>39</v>
      </c>
      <c r="R8" s="626">
        <v>58</v>
      </c>
      <c r="S8" s="626">
        <v>36</v>
      </c>
      <c r="T8" s="626">
        <v>56</v>
      </c>
      <c r="U8" s="626">
        <v>37</v>
      </c>
      <c r="V8" s="626">
        <v>59</v>
      </c>
      <c r="W8" s="626">
        <v>38</v>
      </c>
      <c r="X8" s="626">
        <v>59</v>
      </c>
      <c r="Y8" s="627">
        <v>36</v>
      </c>
      <c r="Z8" s="628">
        <f t="shared" si="1"/>
        <v>478</v>
      </c>
    </row>
    <row r="9" spans="1:40" s="591" customFormat="1" ht="19" thickBot="1">
      <c r="A9" s="583">
        <v>206</v>
      </c>
      <c r="B9" s="584" t="s">
        <v>2283</v>
      </c>
      <c r="C9" s="584" t="s">
        <v>677</v>
      </c>
      <c r="D9" s="584" t="s">
        <v>1146</v>
      </c>
      <c r="E9" s="585" t="s">
        <v>678</v>
      </c>
      <c r="F9" s="583">
        <v>313869766</v>
      </c>
      <c r="G9" s="583">
        <v>1230</v>
      </c>
      <c r="H9" s="583" t="s">
        <v>2285</v>
      </c>
      <c r="I9" s="586" t="s">
        <v>2059</v>
      </c>
      <c r="J9" s="592">
        <v>59</v>
      </c>
      <c r="K9" s="590">
        <v>50</v>
      </c>
      <c r="L9" s="590">
        <v>57</v>
      </c>
      <c r="M9" s="588">
        <v>58</v>
      </c>
      <c r="N9" s="593">
        <v>55</v>
      </c>
      <c r="O9" s="590">
        <f t="shared" si="0"/>
        <v>224</v>
      </c>
      <c r="P9" s="626">
        <v>58</v>
      </c>
      <c r="Q9" s="626">
        <v>39</v>
      </c>
      <c r="R9" s="626">
        <v>57</v>
      </c>
      <c r="S9" s="626">
        <v>35</v>
      </c>
      <c r="T9" s="626">
        <v>54</v>
      </c>
      <c r="U9" s="626">
        <v>38</v>
      </c>
      <c r="V9" s="626">
        <v>58</v>
      </c>
      <c r="W9" s="626">
        <v>38</v>
      </c>
      <c r="X9" s="626">
        <v>59</v>
      </c>
      <c r="Y9" s="627">
        <v>38</v>
      </c>
      <c r="Z9" s="628">
        <f t="shared" si="1"/>
        <v>474</v>
      </c>
    </row>
    <row r="10" spans="1:40" s="599" customFormat="1" ht="19" thickBot="1">
      <c r="A10" s="594">
        <v>207</v>
      </c>
      <c r="B10" s="595" t="s">
        <v>945</v>
      </c>
      <c r="C10" s="595" t="s">
        <v>946</v>
      </c>
      <c r="D10" s="595" t="s">
        <v>3302</v>
      </c>
      <c r="E10" s="596" t="s">
        <v>947</v>
      </c>
      <c r="F10" s="594"/>
      <c r="G10" s="594">
        <v>1672</v>
      </c>
      <c r="H10" s="594" t="s">
        <v>2285</v>
      </c>
      <c r="I10" s="597" t="s">
        <v>2059</v>
      </c>
      <c r="J10" s="592">
        <v>53</v>
      </c>
      <c r="K10" s="590">
        <v>49</v>
      </c>
      <c r="L10" s="590">
        <v>55</v>
      </c>
      <c r="M10" s="588">
        <v>59</v>
      </c>
      <c r="N10" s="593">
        <v>58</v>
      </c>
      <c r="O10" s="590">
        <f t="shared" si="0"/>
        <v>216</v>
      </c>
      <c r="P10" s="626">
        <v>49</v>
      </c>
      <c r="Q10" s="626">
        <v>37</v>
      </c>
      <c r="R10" s="626">
        <v>49</v>
      </c>
      <c r="S10" s="626">
        <v>35</v>
      </c>
      <c r="T10" s="626">
        <v>50</v>
      </c>
      <c r="U10" s="626">
        <v>35</v>
      </c>
      <c r="V10" s="626">
        <v>58</v>
      </c>
      <c r="W10" s="626">
        <v>38</v>
      </c>
      <c r="X10" s="626">
        <v>52</v>
      </c>
      <c r="Y10" s="627">
        <v>36</v>
      </c>
      <c r="Z10" s="628">
        <f t="shared" si="1"/>
        <v>439</v>
      </c>
      <c r="AA10" s="598"/>
      <c r="AB10" s="598"/>
      <c r="AC10" s="598"/>
      <c r="AD10" s="598"/>
      <c r="AE10" s="598"/>
      <c r="AF10" s="598"/>
      <c r="AG10" s="598"/>
      <c r="AH10" s="598"/>
      <c r="AI10" s="598"/>
      <c r="AJ10" s="598"/>
      <c r="AK10" s="598"/>
      <c r="AL10" s="598"/>
      <c r="AM10" s="598"/>
      <c r="AN10" s="598"/>
    </row>
    <row r="11" spans="1:40" s="591" customFormat="1" ht="19" thickBot="1">
      <c r="A11" s="583">
        <v>208</v>
      </c>
      <c r="B11" s="584" t="s">
        <v>807</v>
      </c>
      <c r="C11" s="584" t="s">
        <v>3303</v>
      </c>
      <c r="D11" s="584" t="s">
        <v>808</v>
      </c>
      <c r="E11" s="585" t="s">
        <v>809</v>
      </c>
      <c r="F11" s="583">
        <v>318651345</v>
      </c>
      <c r="G11" s="583">
        <v>1298</v>
      </c>
      <c r="H11" s="583" t="s">
        <v>2285</v>
      </c>
      <c r="I11" s="586" t="s">
        <v>2059</v>
      </c>
      <c r="J11" s="592">
        <v>60</v>
      </c>
      <c r="K11" s="590">
        <v>55</v>
      </c>
      <c r="L11" s="590">
        <v>56</v>
      </c>
      <c r="M11" s="588">
        <v>60</v>
      </c>
      <c r="N11" s="593">
        <v>60</v>
      </c>
      <c r="O11" s="590">
        <f t="shared" si="0"/>
        <v>231</v>
      </c>
      <c r="P11" s="626">
        <v>59</v>
      </c>
      <c r="Q11" s="626">
        <v>39</v>
      </c>
      <c r="R11" s="626">
        <v>57</v>
      </c>
      <c r="S11" s="626">
        <v>36</v>
      </c>
      <c r="T11" s="626">
        <v>56</v>
      </c>
      <c r="U11" s="626">
        <v>36</v>
      </c>
      <c r="V11" s="626">
        <v>59</v>
      </c>
      <c r="W11" s="626">
        <v>38</v>
      </c>
      <c r="X11" s="626">
        <v>59</v>
      </c>
      <c r="Y11" s="627">
        <v>37</v>
      </c>
      <c r="Z11" s="628">
        <f t="shared" si="1"/>
        <v>476</v>
      </c>
    </row>
    <row r="12" spans="1:40" s="591" customFormat="1" ht="19" thickBot="1">
      <c r="A12" s="583">
        <v>209</v>
      </c>
      <c r="B12" s="584" t="s">
        <v>1147</v>
      </c>
      <c r="C12" s="584" t="s">
        <v>1148</v>
      </c>
      <c r="D12" s="584" t="s">
        <v>1149</v>
      </c>
      <c r="E12" s="585" t="s">
        <v>682</v>
      </c>
      <c r="F12" s="583">
        <v>310716837</v>
      </c>
      <c r="G12" s="583">
        <v>1225</v>
      </c>
      <c r="H12" s="583" t="s">
        <v>2285</v>
      </c>
      <c r="I12" s="586" t="s">
        <v>2059</v>
      </c>
      <c r="J12" s="592">
        <v>57</v>
      </c>
      <c r="K12" s="590">
        <v>51</v>
      </c>
      <c r="L12" s="590">
        <v>56</v>
      </c>
      <c r="M12" s="588">
        <v>56</v>
      </c>
      <c r="N12" s="593">
        <v>48</v>
      </c>
      <c r="O12" s="590">
        <f t="shared" si="0"/>
        <v>220</v>
      </c>
      <c r="P12" s="626">
        <v>49</v>
      </c>
      <c r="Q12" s="626">
        <v>37</v>
      </c>
      <c r="R12" s="626">
        <v>58</v>
      </c>
      <c r="S12" s="626">
        <v>36</v>
      </c>
      <c r="T12" s="626">
        <v>59</v>
      </c>
      <c r="U12" s="626">
        <v>36</v>
      </c>
      <c r="V12" s="626">
        <v>59</v>
      </c>
      <c r="W12" s="626">
        <v>37</v>
      </c>
      <c r="X12" s="626">
        <v>58</v>
      </c>
      <c r="Y12" s="627">
        <v>38</v>
      </c>
      <c r="Z12" s="628">
        <f t="shared" si="1"/>
        <v>467</v>
      </c>
    </row>
    <row r="13" spans="1:40" s="591" customFormat="1" ht="19" thickBot="1">
      <c r="A13" s="583">
        <v>210</v>
      </c>
      <c r="B13" s="584" t="s">
        <v>817</v>
      </c>
      <c r="C13" s="584" t="s">
        <v>818</v>
      </c>
      <c r="D13" s="584" t="s">
        <v>207</v>
      </c>
      <c r="E13" s="585" t="s">
        <v>819</v>
      </c>
      <c r="F13" s="583">
        <v>317564899</v>
      </c>
      <c r="G13" s="583">
        <v>1433</v>
      </c>
      <c r="H13" s="583" t="s">
        <v>2285</v>
      </c>
      <c r="I13" s="586" t="s">
        <v>2059</v>
      </c>
      <c r="J13" s="592">
        <v>47</v>
      </c>
      <c r="K13" s="590">
        <v>39</v>
      </c>
      <c r="L13" s="590">
        <v>47</v>
      </c>
      <c r="M13" s="588">
        <v>51</v>
      </c>
      <c r="N13" s="593">
        <v>43</v>
      </c>
      <c r="O13" s="590">
        <f t="shared" si="0"/>
        <v>184</v>
      </c>
      <c r="P13" s="626">
        <v>40</v>
      </c>
      <c r="Q13" s="626">
        <v>35</v>
      </c>
      <c r="R13" s="626">
        <v>44</v>
      </c>
      <c r="S13" s="626">
        <v>32</v>
      </c>
      <c r="T13" s="626">
        <v>47</v>
      </c>
      <c r="U13" s="626">
        <v>32</v>
      </c>
      <c r="V13" s="626">
        <v>57</v>
      </c>
      <c r="W13" s="626">
        <v>37</v>
      </c>
      <c r="X13" s="626">
        <v>55</v>
      </c>
      <c r="Y13" s="627">
        <v>36</v>
      </c>
      <c r="Z13" s="628">
        <f t="shared" si="1"/>
        <v>415</v>
      </c>
    </row>
    <row r="14" spans="1:40" s="591" customFormat="1" ht="19" thickBot="1">
      <c r="A14" s="583">
        <v>211</v>
      </c>
      <c r="B14" s="584" t="s">
        <v>3304</v>
      </c>
      <c r="C14" s="584" t="s">
        <v>820</v>
      </c>
      <c r="D14" s="584" t="s">
        <v>821</v>
      </c>
      <c r="E14" s="585" t="s">
        <v>822</v>
      </c>
      <c r="F14" s="583">
        <v>313911233</v>
      </c>
      <c r="G14" s="583">
        <v>1299</v>
      </c>
      <c r="H14" s="583" t="s">
        <v>2285</v>
      </c>
      <c r="I14" s="586" t="s">
        <v>2059</v>
      </c>
      <c r="J14" s="592">
        <v>57</v>
      </c>
      <c r="K14" s="590">
        <v>46</v>
      </c>
      <c r="L14" s="590">
        <v>55</v>
      </c>
      <c r="M14" s="588">
        <v>59</v>
      </c>
      <c r="N14" s="593">
        <v>58</v>
      </c>
      <c r="O14" s="590">
        <f t="shared" si="0"/>
        <v>217</v>
      </c>
      <c r="P14" s="626">
        <v>54</v>
      </c>
      <c r="Q14" s="626">
        <v>37</v>
      </c>
      <c r="R14" s="626">
        <v>57</v>
      </c>
      <c r="S14" s="626">
        <v>36</v>
      </c>
      <c r="T14" s="626">
        <v>49</v>
      </c>
      <c r="U14" s="626">
        <v>33</v>
      </c>
      <c r="V14" s="626">
        <v>59</v>
      </c>
      <c r="W14" s="626">
        <v>38</v>
      </c>
      <c r="X14" s="626">
        <v>55</v>
      </c>
      <c r="Y14" s="627">
        <v>37</v>
      </c>
      <c r="Z14" s="628">
        <f t="shared" si="1"/>
        <v>455</v>
      </c>
    </row>
    <row r="15" spans="1:40" s="591" customFormat="1" ht="19" thickBot="1">
      <c r="A15" s="583">
        <v>212</v>
      </c>
      <c r="B15" s="584" t="s">
        <v>823</v>
      </c>
      <c r="C15" s="584" t="s">
        <v>3305</v>
      </c>
      <c r="D15" s="584" t="s">
        <v>3306</v>
      </c>
      <c r="E15" s="585" t="s">
        <v>824</v>
      </c>
      <c r="F15" s="583">
        <v>316123809</v>
      </c>
      <c r="G15" s="583">
        <v>1164</v>
      </c>
      <c r="H15" s="583" t="s">
        <v>2285</v>
      </c>
      <c r="I15" s="586" t="s">
        <v>2059</v>
      </c>
      <c r="J15" s="592">
        <v>60</v>
      </c>
      <c r="K15" s="590">
        <v>58</v>
      </c>
      <c r="L15" s="590">
        <v>59</v>
      </c>
      <c r="M15" s="588">
        <v>57</v>
      </c>
      <c r="N15" s="593">
        <v>59</v>
      </c>
      <c r="O15" s="590">
        <f t="shared" si="0"/>
        <v>234</v>
      </c>
      <c r="P15" s="626">
        <v>58</v>
      </c>
      <c r="Q15" s="626">
        <v>38</v>
      </c>
      <c r="R15" s="626">
        <v>59</v>
      </c>
      <c r="S15" s="626">
        <v>39</v>
      </c>
      <c r="T15" s="626">
        <v>57</v>
      </c>
      <c r="U15" s="626">
        <v>39</v>
      </c>
      <c r="V15" s="626">
        <v>53</v>
      </c>
      <c r="W15" s="626">
        <v>38</v>
      </c>
      <c r="X15" s="626">
        <v>59</v>
      </c>
      <c r="Y15" s="627">
        <v>36</v>
      </c>
      <c r="Z15" s="628">
        <f t="shared" si="1"/>
        <v>476</v>
      </c>
    </row>
    <row r="16" spans="1:40" s="591" customFormat="1" ht="19" thickBot="1">
      <c r="A16" s="583">
        <v>213</v>
      </c>
      <c r="B16" s="584" t="s">
        <v>690</v>
      </c>
      <c r="C16" s="584" t="s">
        <v>691</v>
      </c>
      <c r="D16" s="584" t="s">
        <v>692</v>
      </c>
      <c r="E16" s="585" t="s">
        <v>693</v>
      </c>
      <c r="F16" s="583">
        <v>306644020</v>
      </c>
      <c r="G16" s="583">
        <v>1473</v>
      </c>
      <c r="H16" s="583" t="s">
        <v>2285</v>
      </c>
      <c r="I16" s="586" t="s">
        <v>2059</v>
      </c>
      <c r="J16" s="592">
        <v>53</v>
      </c>
      <c r="K16" s="590">
        <v>35</v>
      </c>
      <c r="L16" s="590">
        <v>40</v>
      </c>
      <c r="M16" s="588">
        <v>34</v>
      </c>
      <c r="N16" s="593">
        <v>35</v>
      </c>
      <c r="O16" s="590">
        <f t="shared" si="0"/>
        <v>162</v>
      </c>
      <c r="P16" s="626">
        <v>31</v>
      </c>
      <c r="Q16" s="626">
        <v>36</v>
      </c>
      <c r="R16" s="626">
        <v>39</v>
      </c>
      <c r="S16" s="626">
        <v>30</v>
      </c>
      <c r="T16" s="626">
        <v>44</v>
      </c>
      <c r="U16" s="626">
        <v>30</v>
      </c>
      <c r="V16" s="626">
        <v>41</v>
      </c>
      <c r="W16" s="626">
        <v>30</v>
      </c>
      <c r="X16" s="626">
        <v>49</v>
      </c>
      <c r="Y16" s="627">
        <v>32</v>
      </c>
      <c r="Z16" s="628">
        <f t="shared" si="1"/>
        <v>362</v>
      </c>
    </row>
    <row r="17" spans="1:26" s="591" customFormat="1" ht="19" thickBot="1">
      <c r="A17" s="583">
        <v>214</v>
      </c>
      <c r="B17" s="584" t="s">
        <v>60</v>
      </c>
      <c r="C17" s="584" t="s">
        <v>226</v>
      </c>
      <c r="D17" s="584" t="s">
        <v>41</v>
      </c>
      <c r="E17" s="585" t="s">
        <v>829</v>
      </c>
      <c r="F17" s="583">
        <v>318270885</v>
      </c>
      <c r="G17" s="583">
        <v>1475</v>
      </c>
      <c r="H17" s="583" t="s">
        <v>2285</v>
      </c>
      <c r="I17" s="586" t="s">
        <v>2059</v>
      </c>
      <c r="J17" s="592">
        <v>59</v>
      </c>
      <c r="K17" s="590">
        <v>54</v>
      </c>
      <c r="L17" s="590">
        <v>60</v>
      </c>
      <c r="M17" s="588">
        <v>56</v>
      </c>
      <c r="N17" s="593">
        <v>59</v>
      </c>
      <c r="O17" s="590">
        <f t="shared" si="0"/>
        <v>229</v>
      </c>
      <c r="P17" s="626">
        <v>51</v>
      </c>
      <c r="Q17" s="626">
        <v>39</v>
      </c>
      <c r="R17" s="626">
        <v>57</v>
      </c>
      <c r="S17" s="626">
        <v>37</v>
      </c>
      <c r="T17" s="626">
        <v>55</v>
      </c>
      <c r="U17" s="626">
        <v>39</v>
      </c>
      <c r="V17" s="626">
        <v>59</v>
      </c>
      <c r="W17" s="626">
        <v>35</v>
      </c>
      <c r="X17" s="626">
        <v>57</v>
      </c>
      <c r="Y17" s="627">
        <v>38</v>
      </c>
      <c r="Z17" s="628">
        <f t="shared" si="1"/>
        <v>467</v>
      </c>
    </row>
    <row r="18" spans="1:26" s="591" customFormat="1" ht="19" thickBot="1">
      <c r="A18" s="583">
        <v>215</v>
      </c>
      <c r="B18" s="584" t="s">
        <v>705</v>
      </c>
      <c r="C18" s="584" t="s">
        <v>706</v>
      </c>
      <c r="D18" s="584" t="s">
        <v>686</v>
      </c>
      <c r="E18" s="585" t="s">
        <v>707</v>
      </c>
      <c r="F18" s="583">
        <v>313950582</v>
      </c>
      <c r="G18" s="583">
        <v>1458</v>
      </c>
      <c r="H18" s="583" t="s">
        <v>2285</v>
      </c>
      <c r="I18" s="586" t="s">
        <v>2059</v>
      </c>
      <c r="J18" s="592">
        <v>59</v>
      </c>
      <c r="K18" s="590">
        <v>55</v>
      </c>
      <c r="L18" s="590">
        <v>54</v>
      </c>
      <c r="M18" s="588">
        <v>57</v>
      </c>
      <c r="N18" s="593">
        <v>52</v>
      </c>
      <c r="O18" s="590">
        <f t="shared" si="0"/>
        <v>225</v>
      </c>
      <c r="P18" s="626">
        <v>58</v>
      </c>
      <c r="Q18" s="626">
        <v>39</v>
      </c>
      <c r="R18" s="626">
        <v>54</v>
      </c>
      <c r="S18" s="626">
        <v>36</v>
      </c>
      <c r="T18" s="626">
        <v>53</v>
      </c>
      <c r="U18" s="626">
        <v>36</v>
      </c>
      <c r="V18" s="626">
        <v>56</v>
      </c>
      <c r="W18" s="626">
        <v>38</v>
      </c>
      <c r="X18" s="626">
        <v>53</v>
      </c>
      <c r="Y18" s="627">
        <v>38</v>
      </c>
      <c r="Z18" s="628">
        <f t="shared" si="1"/>
        <v>461</v>
      </c>
    </row>
    <row r="19" spans="1:26" s="591" customFormat="1" ht="19" thickBot="1">
      <c r="A19" s="583">
        <v>216</v>
      </c>
      <c r="B19" s="584" t="s">
        <v>830</v>
      </c>
      <c r="C19" s="584" t="s">
        <v>831</v>
      </c>
      <c r="D19" s="584" t="s">
        <v>312</v>
      </c>
      <c r="E19" s="585" t="s">
        <v>832</v>
      </c>
      <c r="F19" s="583">
        <v>319062631</v>
      </c>
      <c r="G19" s="583">
        <v>1311</v>
      </c>
      <c r="H19" s="583" t="s">
        <v>2285</v>
      </c>
      <c r="I19" s="586" t="s">
        <v>2059</v>
      </c>
      <c r="J19" s="592">
        <v>58</v>
      </c>
      <c r="K19" s="590">
        <v>49</v>
      </c>
      <c r="L19" s="590">
        <v>57</v>
      </c>
      <c r="M19" s="588">
        <v>55</v>
      </c>
      <c r="N19" s="593">
        <v>52</v>
      </c>
      <c r="O19" s="590">
        <f t="shared" si="0"/>
        <v>219</v>
      </c>
      <c r="P19" s="626">
        <v>48</v>
      </c>
      <c r="Q19" s="626">
        <v>38</v>
      </c>
      <c r="R19" s="626">
        <v>56</v>
      </c>
      <c r="S19" s="626">
        <v>35</v>
      </c>
      <c r="T19" s="626">
        <v>55</v>
      </c>
      <c r="U19" s="626">
        <v>37</v>
      </c>
      <c r="V19" s="626">
        <v>59</v>
      </c>
      <c r="W19" s="626">
        <v>37</v>
      </c>
      <c r="X19" s="626">
        <v>56</v>
      </c>
      <c r="Y19" s="627">
        <v>37</v>
      </c>
      <c r="Z19" s="628">
        <f t="shared" si="1"/>
        <v>458</v>
      </c>
    </row>
    <row r="20" spans="1:26" s="591" customFormat="1" ht="19" thickBot="1">
      <c r="A20" s="583">
        <v>217</v>
      </c>
      <c r="B20" s="584" t="s">
        <v>833</v>
      </c>
      <c r="C20" s="584" t="s">
        <v>3307</v>
      </c>
      <c r="D20" s="584" t="s">
        <v>835</v>
      </c>
      <c r="E20" s="585" t="s">
        <v>783</v>
      </c>
      <c r="F20" s="583">
        <v>313395909</v>
      </c>
      <c r="G20" s="583">
        <v>1503</v>
      </c>
      <c r="H20" s="583" t="s">
        <v>2285</v>
      </c>
      <c r="I20" s="586" t="s">
        <v>2059</v>
      </c>
      <c r="J20" s="592">
        <v>55</v>
      </c>
      <c r="K20" s="590">
        <v>45</v>
      </c>
      <c r="L20" s="590">
        <v>57</v>
      </c>
      <c r="M20" s="588">
        <v>56</v>
      </c>
      <c r="N20" s="593">
        <v>52</v>
      </c>
      <c r="O20" s="590">
        <f t="shared" si="0"/>
        <v>213</v>
      </c>
      <c r="P20" s="626">
        <v>57</v>
      </c>
      <c r="Q20" s="626">
        <v>37</v>
      </c>
      <c r="R20" s="626">
        <v>55</v>
      </c>
      <c r="S20" s="626">
        <v>34</v>
      </c>
      <c r="T20" s="626">
        <v>57</v>
      </c>
      <c r="U20" s="626">
        <v>38</v>
      </c>
      <c r="V20" s="626">
        <v>57</v>
      </c>
      <c r="W20" s="626">
        <v>38</v>
      </c>
      <c r="X20" s="626">
        <v>57</v>
      </c>
      <c r="Y20" s="627">
        <v>37</v>
      </c>
      <c r="Z20" s="628">
        <f t="shared" si="1"/>
        <v>467</v>
      </c>
    </row>
    <row r="21" spans="1:26" s="591" customFormat="1" ht="19" thickBot="1">
      <c r="A21" s="583">
        <v>218</v>
      </c>
      <c r="B21" s="584" t="s">
        <v>3309</v>
      </c>
      <c r="C21" s="584" t="s">
        <v>3308</v>
      </c>
      <c r="D21" s="584" t="s">
        <v>350</v>
      </c>
      <c r="E21" s="585" t="s">
        <v>717</v>
      </c>
      <c r="F21" s="583">
        <v>316123811</v>
      </c>
      <c r="G21" s="583">
        <v>1295</v>
      </c>
      <c r="H21" s="583" t="s">
        <v>2285</v>
      </c>
      <c r="I21" s="586" t="s">
        <v>2059</v>
      </c>
      <c r="J21" s="592">
        <v>59</v>
      </c>
      <c r="K21" s="590">
        <v>42</v>
      </c>
      <c r="L21" s="590">
        <v>47</v>
      </c>
      <c r="M21" s="588">
        <v>48</v>
      </c>
      <c r="N21" s="593">
        <v>55</v>
      </c>
      <c r="O21" s="590">
        <f t="shared" si="0"/>
        <v>196</v>
      </c>
      <c r="P21" s="626">
        <v>56</v>
      </c>
      <c r="Q21" s="626">
        <v>39</v>
      </c>
      <c r="R21" s="626">
        <v>52</v>
      </c>
      <c r="S21" s="626">
        <v>32</v>
      </c>
      <c r="T21" s="626">
        <v>45</v>
      </c>
      <c r="U21" s="626">
        <v>35</v>
      </c>
      <c r="V21" s="626">
        <v>59</v>
      </c>
      <c r="W21" s="626">
        <v>34</v>
      </c>
      <c r="X21" s="626">
        <v>51</v>
      </c>
      <c r="Y21" s="627">
        <v>35</v>
      </c>
      <c r="Z21" s="628">
        <f t="shared" si="1"/>
        <v>438</v>
      </c>
    </row>
    <row r="22" spans="1:26" s="591" customFormat="1" ht="19" thickBot="1">
      <c r="A22" s="583">
        <v>219</v>
      </c>
      <c r="B22" s="584" t="s">
        <v>1152</v>
      </c>
      <c r="C22" s="584" t="s">
        <v>54</v>
      </c>
      <c r="D22" s="584" t="s">
        <v>712</v>
      </c>
      <c r="E22" s="585" t="s">
        <v>713</v>
      </c>
      <c r="F22" s="583">
        <v>313444497</v>
      </c>
      <c r="G22" s="583">
        <v>1393</v>
      </c>
      <c r="H22" s="583" t="s">
        <v>2285</v>
      </c>
      <c r="I22" s="586" t="s">
        <v>2059</v>
      </c>
      <c r="J22" s="592">
        <v>60</v>
      </c>
      <c r="K22" s="590">
        <v>48</v>
      </c>
      <c r="L22" s="590">
        <v>53</v>
      </c>
      <c r="M22" s="588">
        <v>53</v>
      </c>
      <c r="N22" s="593">
        <v>55</v>
      </c>
      <c r="O22" s="590">
        <f t="shared" si="0"/>
        <v>214</v>
      </c>
      <c r="P22" s="626">
        <v>58</v>
      </c>
      <c r="Q22" s="626">
        <v>39</v>
      </c>
      <c r="R22" s="626">
        <v>56</v>
      </c>
      <c r="S22" s="626">
        <v>34</v>
      </c>
      <c r="T22" s="626">
        <v>57</v>
      </c>
      <c r="U22" s="626">
        <v>36</v>
      </c>
      <c r="V22" s="626">
        <v>59</v>
      </c>
      <c r="W22" s="626">
        <v>36</v>
      </c>
      <c r="X22" s="626">
        <v>57</v>
      </c>
      <c r="Y22" s="627">
        <v>36</v>
      </c>
      <c r="Z22" s="628">
        <f t="shared" si="1"/>
        <v>468</v>
      </c>
    </row>
    <row r="23" spans="1:26" s="591" customFormat="1" ht="19" thickBot="1">
      <c r="A23" s="583">
        <v>220</v>
      </c>
      <c r="B23" s="584" t="s">
        <v>714</v>
      </c>
      <c r="C23" s="584" t="s">
        <v>1153</v>
      </c>
      <c r="D23" s="584" t="s">
        <v>715</v>
      </c>
      <c r="E23" s="585" t="s">
        <v>716</v>
      </c>
      <c r="F23" s="583">
        <v>315588049</v>
      </c>
      <c r="G23" s="583">
        <v>1426</v>
      </c>
      <c r="H23" s="583" t="s">
        <v>2285</v>
      </c>
      <c r="I23" s="586" t="s">
        <v>2059</v>
      </c>
      <c r="J23" s="592">
        <v>59</v>
      </c>
      <c r="K23" s="590">
        <v>42</v>
      </c>
      <c r="L23" s="590">
        <v>45</v>
      </c>
      <c r="M23" s="588">
        <v>54</v>
      </c>
      <c r="N23" s="593">
        <v>47</v>
      </c>
      <c r="O23" s="590">
        <f t="shared" si="0"/>
        <v>200</v>
      </c>
      <c r="P23" s="626">
        <v>57</v>
      </c>
      <c r="Q23" s="626">
        <v>38</v>
      </c>
      <c r="R23" s="626">
        <v>57</v>
      </c>
      <c r="S23" s="626">
        <v>32</v>
      </c>
      <c r="T23" s="626">
        <v>58</v>
      </c>
      <c r="U23" s="626">
        <v>32</v>
      </c>
      <c r="V23" s="626">
        <v>59</v>
      </c>
      <c r="W23" s="626">
        <v>35</v>
      </c>
      <c r="X23" s="626">
        <v>57</v>
      </c>
      <c r="Y23" s="627">
        <v>35</v>
      </c>
      <c r="Z23" s="628">
        <f t="shared" si="1"/>
        <v>460</v>
      </c>
    </row>
    <row r="24" spans="1:26" s="591" customFormat="1" ht="19" thickBot="1">
      <c r="A24" s="583">
        <v>221</v>
      </c>
      <c r="B24" s="584" t="s">
        <v>838</v>
      </c>
      <c r="C24" s="584" t="s">
        <v>839</v>
      </c>
      <c r="D24" s="584" t="s">
        <v>840</v>
      </c>
      <c r="E24" s="585" t="s">
        <v>841</v>
      </c>
      <c r="F24" s="583">
        <v>310036584</v>
      </c>
      <c r="G24" s="583">
        <v>1389</v>
      </c>
      <c r="H24" s="583" t="s">
        <v>2285</v>
      </c>
      <c r="I24" s="586" t="s">
        <v>2059</v>
      </c>
      <c r="J24" s="592">
        <v>59</v>
      </c>
      <c r="K24" s="590">
        <v>56</v>
      </c>
      <c r="L24" s="590">
        <v>60</v>
      </c>
      <c r="M24" s="588">
        <v>57</v>
      </c>
      <c r="N24" s="593">
        <v>59</v>
      </c>
      <c r="O24" s="590">
        <f t="shared" si="0"/>
        <v>232</v>
      </c>
      <c r="P24" s="626">
        <v>54</v>
      </c>
      <c r="Q24" s="626">
        <v>39</v>
      </c>
      <c r="R24" s="626">
        <v>59</v>
      </c>
      <c r="S24" s="626">
        <v>38</v>
      </c>
      <c r="T24" s="626">
        <v>60</v>
      </c>
      <c r="U24" s="626">
        <v>38</v>
      </c>
      <c r="V24" s="626">
        <v>60</v>
      </c>
      <c r="W24" s="626">
        <v>38</v>
      </c>
      <c r="X24" s="626">
        <v>60</v>
      </c>
      <c r="Y24" s="627">
        <v>38</v>
      </c>
      <c r="Z24" s="628">
        <f t="shared" si="1"/>
        <v>484</v>
      </c>
    </row>
    <row r="25" spans="1:26" s="591" customFormat="1" ht="19" thickBot="1">
      <c r="A25" s="583">
        <v>222</v>
      </c>
      <c r="B25" s="584" t="s">
        <v>1154</v>
      </c>
      <c r="C25" s="584" t="s">
        <v>718</v>
      </c>
      <c r="D25" s="584" t="s">
        <v>719</v>
      </c>
      <c r="E25" s="585" t="s">
        <v>720</v>
      </c>
      <c r="F25" s="583">
        <v>311037696</v>
      </c>
      <c r="G25" s="583">
        <v>1242</v>
      </c>
      <c r="H25" s="583" t="s">
        <v>2285</v>
      </c>
      <c r="I25" s="586" t="s">
        <v>2059</v>
      </c>
      <c r="J25" s="592">
        <v>58</v>
      </c>
      <c r="K25" s="590">
        <v>52</v>
      </c>
      <c r="L25" s="590">
        <v>57</v>
      </c>
      <c r="M25" s="588">
        <v>58</v>
      </c>
      <c r="N25" s="593">
        <v>51</v>
      </c>
      <c r="O25" s="590">
        <f t="shared" si="0"/>
        <v>225</v>
      </c>
      <c r="P25" s="626">
        <v>60</v>
      </c>
      <c r="Q25" s="626">
        <v>38</v>
      </c>
      <c r="R25" s="626">
        <v>58</v>
      </c>
      <c r="S25" s="626">
        <v>35</v>
      </c>
      <c r="T25" s="626">
        <v>54</v>
      </c>
      <c r="U25" s="626">
        <v>37</v>
      </c>
      <c r="V25" s="626">
        <v>59</v>
      </c>
      <c r="W25" s="626">
        <v>36</v>
      </c>
      <c r="X25" s="626">
        <v>60</v>
      </c>
      <c r="Y25" s="627">
        <v>36</v>
      </c>
      <c r="Z25" s="628">
        <f t="shared" si="1"/>
        <v>473</v>
      </c>
    </row>
    <row r="26" spans="1:26" s="591" customFormat="1" ht="19" thickBot="1">
      <c r="A26" s="583">
        <v>223</v>
      </c>
      <c r="B26" s="584" t="s">
        <v>846</v>
      </c>
      <c r="C26" s="584" t="s">
        <v>847</v>
      </c>
      <c r="D26" s="584" t="s">
        <v>848</v>
      </c>
      <c r="E26" s="585" t="s">
        <v>849</v>
      </c>
      <c r="F26" s="583">
        <v>310277673</v>
      </c>
      <c r="G26" s="583">
        <v>1186</v>
      </c>
      <c r="H26" s="583" t="s">
        <v>2285</v>
      </c>
      <c r="I26" s="586" t="s">
        <v>2059</v>
      </c>
      <c r="J26" s="592">
        <v>57</v>
      </c>
      <c r="K26" s="590">
        <v>58</v>
      </c>
      <c r="L26" s="590">
        <v>59</v>
      </c>
      <c r="M26" s="588">
        <v>56</v>
      </c>
      <c r="N26" s="593">
        <v>60</v>
      </c>
      <c r="O26" s="590">
        <f t="shared" si="0"/>
        <v>230</v>
      </c>
      <c r="P26" s="626">
        <v>59</v>
      </c>
      <c r="Q26" s="626">
        <v>37</v>
      </c>
      <c r="R26" s="626">
        <v>58</v>
      </c>
      <c r="S26" s="626">
        <v>38</v>
      </c>
      <c r="T26" s="626">
        <v>58</v>
      </c>
      <c r="U26" s="626">
        <v>39</v>
      </c>
      <c r="V26" s="626">
        <v>59</v>
      </c>
      <c r="W26" s="626">
        <v>36</v>
      </c>
      <c r="X26" s="626">
        <v>60</v>
      </c>
      <c r="Y26" s="627">
        <v>37</v>
      </c>
      <c r="Z26" s="628">
        <f t="shared" si="1"/>
        <v>481</v>
      </c>
    </row>
    <row r="27" spans="1:26" s="591" customFormat="1" ht="19" thickBot="1">
      <c r="A27" s="583">
        <v>224</v>
      </c>
      <c r="B27" s="584" t="s">
        <v>15</v>
      </c>
      <c r="C27" s="584" t="s">
        <v>853</v>
      </c>
      <c r="D27" s="584" t="s">
        <v>854</v>
      </c>
      <c r="E27" s="585" t="s">
        <v>855</v>
      </c>
      <c r="F27" s="583">
        <v>317564918</v>
      </c>
      <c r="G27" s="583">
        <v>1092</v>
      </c>
      <c r="H27" s="583" t="s">
        <v>2285</v>
      </c>
      <c r="I27" s="586" t="s">
        <v>2059</v>
      </c>
      <c r="J27" s="592">
        <v>55</v>
      </c>
      <c r="K27" s="590">
        <v>50</v>
      </c>
      <c r="L27" s="590">
        <v>56</v>
      </c>
      <c r="M27" s="588">
        <v>60</v>
      </c>
      <c r="N27" s="593">
        <v>46</v>
      </c>
      <c r="O27" s="590">
        <f t="shared" si="0"/>
        <v>221</v>
      </c>
      <c r="P27" s="626">
        <v>58</v>
      </c>
      <c r="Q27" s="626">
        <v>36</v>
      </c>
      <c r="R27" s="626">
        <v>54</v>
      </c>
      <c r="S27" s="626">
        <v>35</v>
      </c>
      <c r="T27" s="626">
        <v>60</v>
      </c>
      <c r="U27" s="626">
        <v>38</v>
      </c>
      <c r="V27" s="626">
        <v>59</v>
      </c>
      <c r="W27" s="626">
        <v>39</v>
      </c>
      <c r="X27" s="626">
        <v>53</v>
      </c>
      <c r="Y27" s="627">
        <v>37</v>
      </c>
      <c r="Z27" s="628">
        <f t="shared" si="1"/>
        <v>469</v>
      </c>
    </row>
    <row r="28" spans="1:26" s="591" customFormat="1" ht="19" thickBot="1">
      <c r="A28" s="583">
        <v>225</v>
      </c>
      <c r="B28" s="584" t="s">
        <v>723</v>
      </c>
      <c r="C28" s="584" t="s">
        <v>724</v>
      </c>
      <c r="D28" s="584" t="s">
        <v>725</v>
      </c>
      <c r="E28" s="585" t="s">
        <v>726</v>
      </c>
      <c r="F28" s="583">
        <v>309363832</v>
      </c>
      <c r="G28" s="583">
        <v>1134</v>
      </c>
      <c r="H28" s="583" t="s">
        <v>2285</v>
      </c>
      <c r="I28" s="586" t="s">
        <v>2059</v>
      </c>
      <c r="J28" s="592">
        <v>51</v>
      </c>
      <c r="K28" s="590">
        <v>38</v>
      </c>
      <c r="L28" s="590">
        <v>59</v>
      </c>
      <c r="M28" s="588">
        <v>59</v>
      </c>
      <c r="N28" s="593">
        <v>48</v>
      </c>
      <c r="O28" s="590">
        <f t="shared" si="0"/>
        <v>207</v>
      </c>
      <c r="P28" s="626">
        <v>55</v>
      </c>
      <c r="Q28" s="626">
        <v>37</v>
      </c>
      <c r="R28" s="626">
        <v>51</v>
      </c>
      <c r="S28" s="626">
        <v>30</v>
      </c>
      <c r="T28" s="626">
        <v>59</v>
      </c>
      <c r="U28" s="626">
        <v>38</v>
      </c>
      <c r="V28" s="626">
        <v>58</v>
      </c>
      <c r="W28" s="626">
        <v>37</v>
      </c>
      <c r="X28" s="626">
        <v>54</v>
      </c>
      <c r="Y28" s="627">
        <v>36</v>
      </c>
      <c r="Z28" s="628">
        <f t="shared" si="1"/>
        <v>455</v>
      </c>
    </row>
    <row r="29" spans="1:26" s="601" customFormat="1" ht="19" thickBot="1">
      <c r="A29" s="583">
        <v>226</v>
      </c>
      <c r="B29" s="600" t="s">
        <v>943</v>
      </c>
      <c r="C29" s="600" t="s">
        <v>2104</v>
      </c>
      <c r="D29" s="600" t="s">
        <v>3310</v>
      </c>
      <c r="E29" s="585" t="s">
        <v>944</v>
      </c>
      <c r="F29" s="583">
        <v>318350632</v>
      </c>
      <c r="G29" s="583">
        <v>1398</v>
      </c>
      <c r="H29" s="583" t="s">
        <v>2285</v>
      </c>
      <c r="I29" s="586" t="s">
        <v>2059</v>
      </c>
      <c r="J29" s="592">
        <v>48</v>
      </c>
      <c r="K29" s="590">
        <v>33</v>
      </c>
      <c r="L29" s="590">
        <v>46</v>
      </c>
      <c r="M29" s="588">
        <v>56</v>
      </c>
      <c r="N29" s="593">
        <v>35</v>
      </c>
      <c r="O29" s="590">
        <f t="shared" si="0"/>
        <v>183</v>
      </c>
      <c r="P29" s="626">
        <v>54</v>
      </c>
      <c r="Q29" s="626">
        <v>34</v>
      </c>
      <c r="R29" s="626">
        <v>53</v>
      </c>
      <c r="S29" s="626">
        <v>30</v>
      </c>
      <c r="T29" s="626">
        <v>56</v>
      </c>
      <c r="U29" s="626">
        <v>34</v>
      </c>
      <c r="V29" s="626">
        <v>56</v>
      </c>
      <c r="W29" s="626">
        <v>35</v>
      </c>
      <c r="X29" s="626">
        <v>55</v>
      </c>
      <c r="Y29" s="627">
        <v>34</v>
      </c>
      <c r="Z29" s="628">
        <f t="shared" si="1"/>
        <v>441</v>
      </c>
    </row>
    <row r="30" spans="1:26" s="591" customFormat="1" ht="19" thickBot="1">
      <c r="A30" s="583">
        <v>227</v>
      </c>
      <c r="B30" s="584" t="s">
        <v>2284</v>
      </c>
      <c r="C30" s="584" t="s">
        <v>1155</v>
      </c>
      <c r="D30" s="584" t="s">
        <v>721</v>
      </c>
      <c r="E30" s="585" t="s">
        <v>722</v>
      </c>
      <c r="F30" s="583">
        <v>314566107</v>
      </c>
      <c r="G30" s="583">
        <v>1403</v>
      </c>
      <c r="H30" s="583" t="s">
        <v>2285</v>
      </c>
      <c r="I30" s="586" t="s">
        <v>2059</v>
      </c>
      <c r="J30" s="592">
        <v>54</v>
      </c>
      <c r="K30" s="590">
        <v>36</v>
      </c>
      <c r="L30" s="590">
        <v>45</v>
      </c>
      <c r="M30" s="588">
        <v>50</v>
      </c>
      <c r="N30" s="593">
        <v>39</v>
      </c>
      <c r="O30" s="590">
        <f t="shared" si="0"/>
        <v>185</v>
      </c>
      <c r="P30" s="626">
        <v>48</v>
      </c>
      <c r="Q30" s="626">
        <v>36</v>
      </c>
      <c r="R30" s="626">
        <v>52</v>
      </c>
      <c r="S30" s="626">
        <v>30</v>
      </c>
      <c r="T30" s="626">
        <v>50</v>
      </c>
      <c r="U30" s="626">
        <v>34</v>
      </c>
      <c r="V30" s="626">
        <v>57</v>
      </c>
      <c r="W30" s="626">
        <v>35</v>
      </c>
      <c r="X30" s="626">
        <v>54</v>
      </c>
      <c r="Y30" s="627">
        <v>37</v>
      </c>
      <c r="Z30" s="628">
        <f t="shared" si="1"/>
        <v>433</v>
      </c>
    </row>
    <row r="31" spans="1:26" s="591" customFormat="1" ht="19" thickBot="1">
      <c r="A31" s="583">
        <v>228</v>
      </c>
      <c r="B31" s="584" t="s">
        <v>856</v>
      </c>
      <c r="C31" s="584" t="s">
        <v>857</v>
      </c>
      <c r="D31" s="584" t="s">
        <v>382</v>
      </c>
      <c r="E31" s="585" t="s">
        <v>858</v>
      </c>
      <c r="F31" s="583">
        <v>315393039</v>
      </c>
      <c r="G31" s="583">
        <v>1416</v>
      </c>
      <c r="H31" s="583" t="s">
        <v>2285</v>
      </c>
      <c r="I31" s="586" t="s">
        <v>2059</v>
      </c>
      <c r="J31" s="592">
        <v>60</v>
      </c>
      <c r="K31" s="590">
        <v>56</v>
      </c>
      <c r="L31" s="590">
        <v>58</v>
      </c>
      <c r="M31" s="588">
        <v>60</v>
      </c>
      <c r="N31" s="593">
        <v>59</v>
      </c>
      <c r="O31" s="590">
        <f t="shared" si="0"/>
        <v>234</v>
      </c>
      <c r="P31" s="626">
        <v>59</v>
      </c>
      <c r="Q31" s="626">
        <v>39</v>
      </c>
      <c r="R31" s="626">
        <v>57</v>
      </c>
      <c r="S31" s="626">
        <v>38</v>
      </c>
      <c r="T31" s="626">
        <v>60</v>
      </c>
      <c r="U31" s="626">
        <v>38</v>
      </c>
      <c r="V31" s="626">
        <v>59</v>
      </c>
      <c r="W31" s="626">
        <v>39</v>
      </c>
      <c r="X31" s="626">
        <v>60</v>
      </c>
      <c r="Y31" s="627">
        <v>39</v>
      </c>
      <c r="Z31" s="628">
        <f t="shared" si="1"/>
        <v>488</v>
      </c>
    </row>
    <row r="32" spans="1:26" s="591" customFormat="1" ht="18.5">
      <c r="A32" s="583">
        <v>229</v>
      </c>
      <c r="B32" s="584" t="s">
        <v>859</v>
      </c>
      <c r="C32" s="584" t="s">
        <v>860</v>
      </c>
      <c r="D32" s="584" t="s">
        <v>861</v>
      </c>
      <c r="E32" s="585" t="s">
        <v>862</v>
      </c>
      <c r="F32" s="583">
        <v>316796992</v>
      </c>
      <c r="G32" s="583">
        <v>1535</v>
      </c>
      <c r="H32" s="583" t="s">
        <v>2285</v>
      </c>
      <c r="I32" s="586" t="s">
        <v>2059</v>
      </c>
      <c r="J32" s="592">
        <v>58</v>
      </c>
      <c r="K32" s="590">
        <v>48</v>
      </c>
      <c r="L32" s="590">
        <v>59</v>
      </c>
      <c r="M32" s="588">
        <v>52</v>
      </c>
      <c r="N32" s="593">
        <v>49</v>
      </c>
      <c r="O32" s="590">
        <f t="shared" si="0"/>
        <v>217</v>
      </c>
      <c r="P32" s="626">
        <v>58</v>
      </c>
      <c r="Q32" s="626">
        <v>36</v>
      </c>
      <c r="R32" s="626">
        <v>57</v>
      </c>
      <c r="S32" s="626">
        <v>35</v>
      </c>
      <c r="T32" s="626">
        <v>50</v>
      </c>
      <c r="U32" s="626">
        <v>39</v>
      </c>
      <c r="V32" s="626">
        <v>59</v>
      </c>
      <c r="W32" s="626">
        <v>35</v>
      </c>
      <c r="X32" s="626">
        <v>57</v>
      </c>
      <c r="Y32" s="627">
        <v>38</v>
      </c>
      <c r="Z32" s="628">
        <f t="shared" si="1"/>
        <v>464</v>
      </c>
    </row>
    <row r="33" spans="1:26" s="591" customFormat="1" ht="19" thickBot="1">
      <c r="A33" s="583">
        <v>230</v>
      </c>
      <c r="B33" s="584" t="s">
        <v>863</v>
      </c>
      <c r="C33" s="584" t="s">
        <v>864</v>
      </c>
      <c r="D33" s="584" t="s">
        <v>865</v>
      </c>
      <c r="E33" s="585" t="s">
        <v>866</v>
      </c>
      <c r="F33" s="583">
        <v>312682535</v>
      </c>
      <c r="G33" s="583">
        <v>1125</v>
      </c>
      <c r="H33" s="583" t="s">
        <v>2285</v>
      </c>
      <c r="I33" s="586" t="s">
        <v>2059</v>
      </c>
      <c r="J33" s="592">
        <v>59</v>
      </c>
      <c r="K33" s="590">
        <v>52</v>
      </c>
      <c r="L33" s="590">
        <v>58</v>
      </c>
      <c r="M33" s="590">
        <v>53</v>
      </c>
      <c r="N33" s="593">
        <v>55</v>
      </c>
      <c r="O33" s="590">
        <f t="shared" si="0"/>
        <v>222</v>
      </c>
      <c r="P33" s="626">
        <v>58</v>
      </c>
      <c r="Q33" s="626">
        <v>38</v>
      </c>
      <c r="R33" s="626">
        <v>57</v>
      </c>
      <c r="S33" s="626">
        <v>35</v>
      </c>
      <c r="T33" s="626">
        <v>59</v>
      </c>
      <c r="U33" s="626">
        <v>38</v>
      </c>
      <c r="V33" s="626">
        <v>57</v>
      </c>
      <c r="W33" s="626">
        <v>36</v>
      </c>
      <c r="X33" s="626">
        <v>59</v>
      </c>
      <c r="Y33" s="627">
        <v>37</v>
      </c>
      <c r="Z33" s="628">
        <f t="shared" si="1"/>
        <v>474</v>
      </c>
    </row>
    <row r="34" spans="1:26" s="591" customFormat="1" ht="19" thickBot="1">
      <c r="A34" s="583">
        <v>231</v>
      </c>
      <c r="B34" s="584" t="s">
        <v>730</v>
      </c>
      <c r="C34" s="584" t="s">
        <v>1157</v>
      </c>
      <c r="D34" s="584" t="s">
        <v>731</v>
      </c>
      <c r="E34" s="585" t="s">
        <v>732</v>
      </c>
      <c r="F34" s="583">
        <v>311886487</v>
      </c>
      <c r="G34" s="583">
        <v>1204</v>
      </c>
      <c r="H34" s="583" t="s">
        <v>2285</v>
      </c>
      <c r="I34" s="586" t="s">
        <v>2059</v>
      </c>
      <c r="J34" s="592">
        <v>59</v>
      </c>
      <c r="K34" s="590">
        <v>56</v>
      </c>
      <c r="L34" s="590">
        <v>60</v>
      </c>
      <c r="M34" s="588">
        <v>59</v>
      </c>
      <c r="N34" s="593">
        <v>60</v>
      </c>
      <c r="O34" s="590">
        <f t="shared" si="0"/>
        <v>234</v>
      </c>
      <c r="P34" s="626">
        <v>59</v>
      </c>
      <c r="Q34" s="626">
        <v>38</v>
      </c>
      <c r="R34" s="626">
        <v>59</v>
      </c>
      <c r="S34" s="626">
        <v>35</v>
      </c>
      <c r="T34" s="626">
        <v>60</v>
      </c>
      <c r="U34" s="626">
        <v>38</v>
      </c>
      <c r="V34" s="626">
        <v>58</v>
      </c>
      <c r="W34" s="626">
        <v>39</v>
      </c>
      <c r="X34" s="626">
        <v>60</v>
      </c>
      <c r="Y34" s="627">
        <v>38</v>
      </c>
      <c r="Z34" s="628">
        <f t="shared" si="1"/>
        <v>484</v>
      </c>
    </row>
    <row r="35" spans="1:26" s="591" customFormat="1" ht="19" thickBot="1">
      <c r="A35" s="583">
        <v>232</v>
      </c>
      <c r="B35" s="584" t="s">
        <v>881</v>
      </c>
      <c r="C35" s="584" t="s">
        <v>3311</v>
      </c>
      <c r="D35" s="584" t="s">
        <v>882</v>
      </c>
      <c r="E35" s="585" t="s">
        <v>704</v>
      </c>
      <c r="F35" s="583">
        <v>314190603</v>
      </c>
      <c r="G35" s="583">
        <v>1519</v>
      </c>
      <c r="H35" s="583" t="s">
        <v>2285</v>
      </c>
      <c r="I35" s="586" t="s">
        <v>2059</v>
      </c>
      <c r="J35" s="592">
        <v>55</v>
      </c>
      <c r="K35" s="590">
        <v>30</v>
      </c>
      <c r="L35" s="590">
        <v>59</v>
      </c>
      <c r="M35" s="588">
        <v>49</v>
      </c>
      <c r="N35" s="593">
        <v>38</v>
      </c>
      <c r="O35" s="590">
        <f t="shared" si="0"/>
        <v>193</v>
      </c>
      <c r="P35" s="626">
        <v>53</v>
      </c>
      <c r="Q35" s="626">
        <v>36</v>
      </c>
      <c r="R35" s="626">
        <v>53</v>
      </c>
      <c r="S35" s="626">
        <v>30</v>
      </c>
      <c r="T35" s="626">
        <v>55</v>
      </c>
      <c r="U35" s="626">
        <v>38</v>
      </c>
      <c r="V35" s="626">
        <v>48</v>
      </c>
      <c r="W35" s="626">
        <v>35</v>
      </c>
      <c r="X35" s="626">
        <v>55</v>
      </c>
      <c r="Y35" s="627">
        <v>34</v>
      </c>
      <c r="Z35" s="628">
        <f t="shared" si="1"/>
        <v>437</v>
      </c>
    </row>
    <row r="36" spans="1:26" s="591" customFormat="1" ht="19" thickBot="1">
      <c r="A36" s="583">
        <v>233</v>
      </c>
      <c r="B36" s="584" t="s">
        <v>736</v>
      </c>
      <c r="C36" s="584" t="s">
        <v>737</v>
      </c>
      <c r="D36" s="584" t="s">
        <v>738</v>
      </c>
      <c r="E36" s="585" t="s">
        <v>739</v>
      </c>
      <c r="F36" s="583">
        <v>314435265</v>
      </c>
      <c r="G36" s="583">
        <v>1581</v>
      </c>
      <c r="H36" s="583" t="s">
        <v>2285</v>
      </c>
      <c r="I36" s="586" t="s">
        <v>2059</v>
      </c>
      <c r="J36" s="592">
        <v>59</v>
      </c>
      <c r="K36" s="590">
        <v>42</v>
      </c>
      <c r="L36" s="590">
        <v>45</v>
      </c>
      <c r="M36" s="588">
        <v>48</v>
      </c>
      <c r="N36" s="593">
        <v>51</v>
      </c>
      <c r="O36" s="590">
        <f t="shared" si="0"/>
        <v>194</v>
      </c>
      <c r="P36" s="626">
        <v>51</v>
      </c>
      <c r="Q36" s="626">
        <v>38</v>
      </c>
      <c r="R36" s="626">
        <v>52</v>
      </c>
      <c r="S36" s="626">
        <v>34</v>
      </c>
      <c r="T36" s="626">
        <v>53</v>
      </c>
      <c r="U36" s="626">
        <v>34</v>
      </c>
      <c r="V36" s="626">
        <v>52</v>
      </c>
      <c r="W36" s="626">
        <v>37</v>
      </c>
      <c r="X36" s="626">
        <v>53</v>
      </c>
      <c r="Y36" s="627">
        <v>35</v>
      </c>
      <c r="Z36" s="628">
        <f t="shared" si="1"/>
        <v>439</v>
      </c>
    </row>
    <row r="37" spans="1:26" s="591" customFormat="1" ht="19" thickBot="1">
      <c r="A37" s="583">
        <v>234</v>
      </c>
      <c r="B37" s="584" t="s">
        <v>886</v>
      </c>
      <c r="C37" s="584" t="s">
        <v>887</v>
      </c>
      <c r="D37" s="584" t="s">
        <v>3312</v>
      </c>
      <c r="E37" s="585" t="s">
        <v>888</v>
      </c>
      <c r="F37" s="583"/>
      <c r="G37" s="583">
        <v>1294</v>
      </c>
      <c r="H37" s="583" t="s">
        <v>2285</v>
      </c>
      <c r="I37" s="586" t="s">
        <v>2059</v>
      </c>
      <c r="J37" s="592">
        <v>31</v>
      </c>
      <c r="K37" s="590">
        <v>37</v>
      </c>
      <c r="L37" s="590">
        <v>51</v>
      </c>
      <c r="M37" s="588">
        <v>47</v>
      </c>
      <c r="N37" s="593">
        <v>41</v>
      </c>
      <c r="O37" s="590">
        <f t="shared" si="0"/>
        <v>166</v>
      </c>
      <c r="P37" s="626">
        <v>55</v>
      </c>
      <c r="Q37" s="626">
        <v>29</v>
      </c>
      <c r="R37" s="626">
        <v>43</v>
      </c>
      <c r="S37" s="626">
        <v>30</v>
      </c>
      <c r="T37" s="626">
        <v>53</v>
      </c>
      <c r="U37" s="626">
        <v>34</v>
      </c>
      <c r="V37" s="626">
        <v>58</v>
      </c>
      <c r="W37" s="626">
        <v>35</v>
      </c>
      <c r="X37" s="626">
        <v>51</v>
      </c>
      <c r="Y37" s="627">
        <v>32</v>
      </c>
      <c r="Z37" s="628">
        <f t="shared" si="1"/>
        <v>420</v>
      </c>
    </row>
    <row r="38" spans="1:26" s="591" customFormat="1" ht="19" thickBot="1">
      <c r="A38" s="583">
        <v>235</v>
      </c>
      <c r="B38" s="584" t="s">
        <v>889</v>
      </c>
      <c r="C38" s="584" t="s">
        <v>890</v>
      </c>
      <c r="D38" s="584" t="s">
        <v>891</v>
      </c>
      <c r="E38" s="585" t="s">
        <v>892</v>
      </c>
      <c r="F38" s="583">
        <v>317881526</v>
      </c>
      <c r="G38" s="583">
        <v>1333</v>
      </c>
      <c r="H38" s="583" t="s">
        <v>2285</v>
      </c>
      <c r="I38" s="586" t="s">
        <v>2059</v>
      </c>
      <c r="J38" s="592">
        <v>59</v>
      </c>
      <c r="K38" s="590">
        <v>52</v>
      </c>
      <c r="L38" s="590">
        <v>59</v>
      </c>
      <c r="M38" s="588">
        <v>60</v>
      </c>
      <c r="N38" s="593">
        <v>58</v>
      </c>
      <c r="O38" s="590">
        <f t="shared" si="0"/>
        <v>230</v>
      </c>
      <c r="P38" s="626">
        <v>59</v>
      </c>
      <c r="Q38" s="626">
        <v>38</v>
      </c>
      <c r="R38" s="626">
        <v>58</v>
      </c>
      <c r="S38" s="626">
        <v>38</v>
      </c>
      <c r="T38" s="626">
        <v>60</v>
      </c>
      <c r="U38" s="626">
        <v>39</v>
      </c>
      <c r="V38" s="626">
        <v>58</v>
      </c>
      <c r="W38" s="626">
        <v>39</v>
      </c>
      <c r="X38" s="626">
        <v>59</v>
      </c>
      <c r="Y38" s="627">
        <v>33</v>
      </c>
      <c r="Z38" s="628">
        <f t="shared" si="1"/>
        <v>481</v>
      </c>
    </row>
    <row r="39" spans="1:26" s="591" customFormat="1" ht="19" thickBot="1">
      <c r="A39" s="583">
        <v>236</v>
      </c>
      <c r="B39" s="584" t="s">
        <v>752</v>
      </c>
      <c r="C39" s="584" t="s">
        <v>1160</v>
      </c>
      <c r="D39" s="584" t="s">
        <v>753</v>
      </c>
      <c r="E39" s="585" t="s">
        <v>754</v>
      </c>
      <c r="F39" s="583">
        <v>309221775</v>
      </c>
      <c r="G39" s="583">
        <v>1152</v>
      </c>
      <c r="H39" s="583" t="s">
        <v>2285</v>
      </c>
      <c r="I39" s="586" t="s">
        <v>2059</v>
      </c>
      <c r="J39" s="592">
        <v>50</v>
      </c>
      <c r="K39" s="590">
        <v>47</v>
      </c>
      <c r="L39" s="590">
        <v>55</v>
      </c>
      <c r="M39" s="588">
        <v>54</v>
      </c>
      <c r="N39" s="593">
        <v>43</v>
      </c>
      <c r="O39" s="590">
        <f t="shared" si="0"/>
        <v>206</v>
      </c>
      <c r="P39" s="626">
        <v>58</v>
      </c>
      <c r="Q39" s="626">
        <v>35</v>
      </c>
      <c r="R39" s="626">
        <v>57</v>
      </c>
      <c r="S39" s="626">
        <v>34</v>
      </c>
      <c r="T39" s="626">
        <v>52</v>
      </c>
      <c r="U39" s="626">
        <v>36</v>
      </c>
      <c r="V39" s="626">
        <v>59</v>
      </c>
      <c r="W39" s="626">
        <v>36</v>
      </c>
      <c r="X39" s="626">
        <v>58</v>
      </c>
      <c r="Y39" s="627">
        <v>37</v>
      </c>
      <c r="Z39" s="628">
        <f t="shared" si="1"/>
        <v>462</v>
      </c>
    </row>
    <row r="40" spans="1:26" s="591" customFormat="1" ht="19" thickBot="1">
      <c r="A40" s="583">
        <v>237</v>
      </c>
      <c r="B40" s="584" t="s">
        <v>755</v>
      </c>
      <c r="C40" s="584" t="s">
        <v>1161</v>
      </c>
      <c r="D40" s="584" t="s">
        <v>1162</v>
      </c>
      <c r="E40" s="585" t="s">
        <v>756</v>
      </c>
      <c r="F40" s="583">
        <v>312195694</v>
      </c>
      <c r="G40" s="583">
        <v>1224</v>
      </c>
      <c r="H40" s="583" t="s">
        <v>2285</v>
      </c>
      <c r="I40" s="586" t="s">
        <v>2059</v>
      </c>
      <c r="J40" s="592">
        <v>58</v>
      </c>
      <c r="K40" s="590">
        <v>53</v>
      </c>
      <c r="L40" s="590">
        <v>60</v>
      </c>
      <c r="M40" s="588">
        <v>54</v>
      </c>
      <c r="N40" s="593">
        <v>59</v>
      </c>
      <c r="O40" s="590">
        <f t="shared" si="0"/>
        <v>225</v>
      </c>
      <c r="P40" s="626">
        <v>53</v>
      </c>
      <c r="Q40" s="626">
        <v>37</v>
      </c>
      <c r="R40" s="626">
        <v>58</v>
      </c>
      <c r="S40" s="626">
        <v>37</v>
      </c>
      <c r="T40" s="626">
        <v>58</v>
      </c>
      <c r="U40" s="626">
        <v>36</v>
      </c>
      <c r="V40" s="626">
        <v>55</v>
      </c>
      <c r="W40" s="626">
        <v>35</v>
      </c>
      <c r="X40" s="626">
        <v>50</v>
      </c>
      <c r="Y40" s="627">
        <v>36</v>
      </c>
      <c r="Z40" s="628">
        <f t="shared" si="1"/>
        <v>455</v>
      </c>
    </row>
    <row r="41" spans="1:26" s="591" customFormat="1" ht="19" thickBot="1">
      <c r="A41" s="583">
        <v>238</v>
      </c>
      <c r="B41" s="584" t="s">
        <v>757</v>
      </c>
      <c r="C41" s="584" t="s">
        <v>1163</v>
      </c>
      <c r="D41" s="584" t="s">
        <v>758</v>
      </c>
      <c r="E41" s="585" t="s">
        <v>1164</v>
      </c>
      <c r="F41" s="583">
        <v>317564957</v>
      </c>
      <c r="G41" s="583">
        <v>1096</v>
      </c>
      <c r="H41" s="583" t="s">
        <v>2285</v>
      </c>
      <c r="I41" s="586" t="s">
        <v>2059</v>
      </c>
      <c r="J41" s="592">
        <v>54</v>
      </c>
      <c r="K41" s="590">
        <v>53</v>
      </c>
      <c r="L41" s="590">
        <v>54</v>
      </c>
      <c r="M41" s="588">
        <v>52</v>
      </c>
      <c r="N41" s="593">
        <v>55</v>
      </c>
      <c r="O41" s="590">
        <f t="shared" si="0"/>
        <v>213</v>
      </c>
      <c r="P41" s="626">
        <v>57</v>
      </c>
      <c r="Q41" s="626">
        <v>36</v>
      </c>
      <c r="R41" s="626">
        <v>58</v>
      </c>
      <c r="S41" s="626">
        <v>36</v>
      </c>
      <c r="T41" s="626">
        <v>57</v>
      </c>
      <c r="U41" s="626">
        <v>36</v>
      </c>
      <c r="V41" s="626">
        <v>59</v>
      </c>
      <c r="W41" s="626">
        <v>35</v>
      </c>
      <c r="X41" s="626">
        <v>40</v>
      </c>
      <c r="Y41" s="627">
        <v>34</v>
      </c>
      <c r="Z41" s="628">
        <f t="shared" si="1"/>
        <v>448</v>
      </c>
    </row>
    <row r="42" spans="1:26" s="604" customFormat="1" ht="19" thickBot="1">
      <c r="A42" s="583">
        <v>239</v>
      </c>
      <c r="B42" s="602" t="s">
        <v>901</v>
      </c>
      <c r="C42" s="602" t="s">
        <v>902</v>
      </c>
      <c r="D42" s="602" t="s">
        <v>3313</v>
      </c>
      <c r="E42" s="603" t="s">
        <v>903</v>
      </c>
      <c r="F42" s="590">
        <v>320392484</v>
      </c>
      <c r="G42" s="590">
        <v>1324</v>
      </c>
      <c r="H42" s="583" t="s">
        <v>2285</v>
      </c>
      <c r="I42" s="586" t="s">
        <v>2059</v>
      </c>
      <c r="J42" s="592">
        <v>30</v>
      </c>
      <c r="K42" s="590">
        <v>30</v>
      </c>
      <c r="L42" s="590">
        <v>42</v>
      </c>
      <c r="M42" s="588">
        <v>39</v>
      </c>
      <c r="N42" s="593">
        <v>30</v>
      </c>
      <c r="O42" s="590">
        <f t="shared" si="0"/>
        <v>141</v>
      </c>
      <c r="P42" s="626">
        <v>35</v>
      </c>
      <c r="Q42" s="626">
        <v>29</v>
      </c>
      <c r="R42" s="626">
        <v>40</v>
      </c>
      <c r="S42" s="626">
        <v>29</v>
      </c>
      <c r="T42" s="626">
        <v>47</v>
      </c>
      <c r="U42" s="626">
        <v>33</v>
      </c>
      <c r="V42" s="626">
        <v>51</v>
      </c>
      <c r="W42" s="626">
        <v>32</v>
      </c>
      <c r="X42" s="626">
        <v>53</v>
      </c>
      <c r="Y42" s="627">
        <v>34</v>
      </c>
      <c r="Z42" s="628">
        <f t="shared" si="1"/>
        <v>383</v>
      </c>
    </row>
    <row r="43" spans="1:26" s="591" customFormat="1" ht="19" thickBot="1">
      <c r="A43" s="583">
        <v>240</v>
      </c>
      <c r="B43" s="584" t="s">
        <v>759</v>
      </c>
      <c r="C43" s="584" t="s">
        <v>760</v>
      </c>
      <c r="D43" s="584" t="s">
        <v>1165</v>
      </c>
      <c r="E43" s="585" t="s">
        <v>761</v>
      </c>
      <c r="F43" s="583">
        <v>317261053</v>
      </c>
      <c r="G43" s="583">
        <v>1404</v>
      </c>
      <c r="H43" s="583" t="s">
        <v>2285</v>
      </c>
      <c r="I43" s="586" t="s">
        <v>2059</v>
      </c>
      <c r="J43" s="592">
        <v>54</v>
      </c>
      <c r="K43" s="590">
        <v>45</v>
      </c>
      <c r="L43" s="590">
        <v>51</v>
      </c>
      <c r="M43" s="588">
        <v>45</v>
      </c>
      <c r="N43" s="593">
        <v>57</v>
      </c>
      <c r="O43" s="590">
        <f t="shared" si="0"/>
        <v>195</v>
      </c>
      <c r="P43" s="626">
        <v>54</v>
      </c>
      <c r="Q43" s="626">
        <v>36</v>
      </c>
      <c r="R43" s="626">
        <v>54</v>
      </c>
      <c r="S43" s="626">
        <v>32</v>
      </c>
      <c r="T43" s="626">
        <v>43</v>
      </c>
      <c r="U43" s="626">
        <v>35</v>
      </c>
      <c r="V43" s="626">
        <v>51</v>
      </c>
      <c r="W43" s="626">
        <v>34</v>
      </c>
      <c r="X43" s="626">
        <v>53</v>
      </c>
      <c r="Y43" s="627">
        <v>34</v>
      </c>
      <c r="Z43" s="628">
        <f t="shared" si="1"/>
        <v>426</v>
      </c>
    </row>
    <row r="44" spans="1:26" s="591" customFormat="1" ht="19" thickBot="1">
      <c r="A44" s="583">
        <v>241</v>
      </c>
      <c r="B44" s="584" t="s">
        <v>762</v>
      </c>
      <c r="C44" s="584" t="s">
        <v>1166</v>
      </c>
      <c r="D44" s="584" t="s">
        <v>763</v>
      </c>
      <c r="E44" s="585" t="s">
        <v>764</v>
      </c>
      <c r="F44" s="583">
        <v>312195691</v>
      </c>
      <c r="G44" s="583">
        <v>1223</v>
      </c>
      <c r="H44" s="583" t="s">
        <v>2285</v>
      </c>
      <c r="I44" s="586" t="s">
        <v>2059</v>
      </c>
      <c r="J44" s="592">
        <v>45</v>
      </c>
      <c r="K44" s="590">
        <v>33</v>
      </c>
      <c r="L44" s="590">
        <v>36</v>
      </c>
      <c r="M44" s="588">
        <v>34</v>
      </c>
      <c r="N44" s="593">
        <v>37</v>
      </c>
      <c r="O44" s="590">
        <f t="shared" si="0"/>
        <v>148</v>
      </c>
      <c r="P44" s="626">
        <v>45</v>
      </c>
      <c r="Q44" s="626">
        <v>32</v>
      </c>
      <c r="R44" s="626">
        <v>47</v>
      </c>
      <c r="S44" s="626">
        <v>30</v>
      </c>
      <c r="T44" s="626">
        <v>49</v>
      </c>
      <c r="U44" s="626">
        <v>30</v>
      </c>
      <c r="V44" s="626">
        <v>55</v>
      </c>
      <c r="W44" s="626">
        <v>30</v>
      </c>
      <c r="X44" s="626">
        <v>50</v>
      </c>
      <c r="Y44" s="627">
        <v>32</v>
      </c>
      <c r="Z44" s="628">
        <f t="shared" si="1"/>
        <v>400</v>
      </c>
    </row>
    <row r="45" spans="1:26" s="591" customFormat="1" ht="19" thickBot="1">
      <c r="A45" s="583">
        <v>242</v>
      </c>
      <c r="B45" s="584" t="s">
        <v>906</v>
      </c>
      <c r="C45" s="584" t="s">
        <v>907</v>
      </c>
      <c r="D45" s="584" t="s">
        <v>805</v>
      </c>
      <c r="E45" s="583" t="s">
        <v>908</v>
      </c>
      <c r="F45" s="585" t="s">
        <v>909</v>
      </c>
      <c r="G45" s="583">
        <v>1229</v>
      </c>
      <c r="H45" s="583" t="s">
        <v>2285</v>
      </c>
      <c r="I45" s="586" t="s">
        <v>2059</v>
      </c>
      <c r="J45" s="592">
        <v>58</v>
      </c>
      <c r="K45" s="590">
        <v>52</v>
      </c>
      <c r="L45" s="590">
        <v>59</v>
      </c>
      <c r="M45" s="588">
        <v>58</v>
      </c>
      <c r="N45" s="593">
        <v>54</v>
      </c>
      <c r="O45" s="590">
        <f t="shared" si="0"/>
        <v>227</v>
      </c>
      <c r="P45" s="626">
        <v>57</v>
      </c>
      <c r="Q45" s="626">
        <v>37</v>
      </c>
      <c r="R45" s="626">
        <v>55</v>
      </c>
      <c r="S45" s="626">
        <v>37</v>
      </c>
      <c r="T45" s="626">
        <v>59</v>
      </c>
      <c r="U45" s="626">
        <v>38</v>
      </c>
      <c r="V45" s="626">
        <v>58</v>
      </c>
      <c r="W45" s="626">
        <v>38</v>
      </c>
      <c r="X45" s="626">
        <v>57</v>
      </c>
      <c r="Y45" s="627">
        <v>37</v>
      </c>
      <c r="Z45" s="628">
        <f t="shared" si="1"/>
        <v>473</v>
      </c>
    </row>
    <row r="46" spans="1:26" s="591" customFormat="1" ht="19" thickBot="1">
      <c r="A46" s="583">
        <v>243</v>
      </c>
      <c r="B46" s="584" t="s">
        <v>910</v>
      </c>
      <c r="C46" s="584" t="s">
        <v>911</v>
      </c>
      <c r="D46" s="584" t="s">
        <v>912</v>
      </c>
      <c r="E46" s="585" t="s">
        <v>913</v>
      </c>
      <c r="F46" s="585" t="s">
        <v>914</v>
      </c>
      <c r="G46" s="583">
        <v>1282</v>
      </c>
      <c r="H46" s="583" t="s">
        <v>2285</v>
      </c>
      <c r="I46" s="586" t="s">
        <v>2059</v>
      </c>
      <c r="J46" s="592">
        <v>42</v>
      </c>
      <c r="K46" s="590">
        <v>37</v>
      </c>
      <c r="L46" s="590">
        <v>44</v>
      </c>
      <c r="M46" s="588">
        <v>31</v>
      </c>
      <c r="N46" s="593">
        <v>32</v>
      </c>
      <c r="O46" s="590">
        <f t="shared" si="0"/>
        <v>154</v>
      </c>
      <c r="P46" s="626">
        <v>38</v>
      </c>
      <c r="Q46" s="626">
        <v>32</v>
      </c>
      <c r="R46" s="626">
        <v>32</v>
      </c>
      <c r="S46" s="626">
        <v>33</v>
      </c>
      <c r="T46" s="626">
        <v>40</v>
      </c>
      <c r="U46" s="626">
        <v>34</v>
      </c>
      <c r="V46" s="626">
        <v>54</v>
      </c>
      <c r="W46" s="626">
        <v>28</v>
      </c>
      <c r="X46" s="626">
        <v>41</v>
      </c>
      <c r="Y46" s="627">
        <v>32</v>
      </c>
      <c r="Z46" s="628">
        <f t="shared" si="1"/>
        <v>364</v>
      </c>
    </row>
    <row r="47" spans="1:26" s="591" customFormat="1" ht="19" thickBot="1">
      <c r="A47" s="583">
        <v>244</v>
      </c>
      <c r="B47" s="584" t="s">
        <v>923</v>
      </c>
      <c r="C47" s="584" t="s">
        <v>599</v>
      </c>
      <c r="D47" s="584" t="s">
        <v>924</v>
      </c>
      <c r="E47" s="585" t="s">
        <v>729</v>
      </c>
      <c r="F47" s="583">
        <v>316953872</v>
      </c>
      <c r="G47" s="583">
        <v>1479</v>
      </c>
      <c r="H47" s="583" t="s">
        <v>2285</v>
      </c>
      <c r="I47" s="586" t="s">
        <v>2059</v>
      </c>
      <c r="J47" s="592">
        <v>40</v>
      </c>
      <c r="K47" s="590">
        <v>31</v>
      </c>
      <c r="L47" s="590">
        <v>42</v>
      </c>
      <c r="M47" s="588">
        <v>37</v>
      </c>
      <c r="N47" s="593">
        <v>32</v>
      </c>
      <c r="O47" s="590">
        <f t="shared" si="0"/>
        <v>150</v>
      </c>
      <c r="P47" s="626">
        <v>30</v>
      </c>
      <c r="Q47" s="626">
        <v>30</v>
      </c>
      <c r="R47" s="626">
        <v>32</v>
      </c>
      <c r="S47" s="626">
        <v>29</v>
      </c>
      <c r="T47" s="626">
        <v>41</v>
      </c>
      <c r="U47" s="626">
        <v>30</v>
      </c>
      <c r="V47" s="626">
        <v>32</v>
      </c>
      <c r="W47" s="626">
        <v>29</v>
      </c>
      <c r="X47" s="626">
        <v>34</v>
      </c>
      <c r="Y47" s="627">
        <v>32</v>
      </c>
      <c r="Z47" s="628">
        <f t="shared" si="1"/>
        <v>319</v>
      </c>
    </row>
    <row r="48" spans="1:26" s="591" customFormat="1" ht="19" thickBot="1">
      <c r="A48" s="583">
        <v>245</v>
      </c>
      <c r="B48" s="600" t="s">
        <v>948</v>
      </c>
      <c r="C48" s="600" t="s">
        <v>949</v>
      </c>
      <c r="D48" s="600" t="s">
        <v>895</v>
      </c>
      <c r="E48" s="585" t="s">
        <v>950</v>
      </c>
      <c r="F48" s="605">
        <v>310025198</v>
      </c>
      <c r="G48" s="583">
        <v>1674</v>
      </c>
      <c r="H48" s="583" t="s">
        <v>2285</v>
      </c>
      <c r="I48" s="586" t="s">
        <v>2059</v>
      </c>
      <c r="J48" s="592">
        <v>56</v>
      </c>
      <c r="K48" s="590">
        <v>52</v>
      </c>
      <c r="L48" s="590">
        <v>54</v>
      </c>
      <c r="M48" s="588">
        <v>57</v>
      </c>
      <c r="N48" s="593">
        <v>60</v>
      </c>
      <c r="O48" s="590">
        <f t="shared" si="0"/>
        <v>219</v>
      </c>
      <c r="P48" s="626">
        <v>53</v>
      </c>
      <c r="Q48" s="626">
        <v>38</v>
      </c>
      <c r="R48" s="626">
        <v>55</v>
      </c>
      <c r="S48" s="626">
        <v>35</v>
      </c>
      <c r="T48" s="626">
        <v>57</v>
      </c>
      <c r="U48" s="626">
        <v>36</v>
      </c>
      <c r="V48" s="626">
        <v>58</v>
      </c>
      <c r="W48" s="626">
        <v>37</v>
      </c>
      <c r="X48" s="626">
        <v>55</v>
      </c>
      <c r="Y48" s="627">
        <v>35</v>
      </c>
      <c r="Z48" s="628">
        <f t="shared" si="1"/>
        <v>459</v>
      </c>
    </row>
    <row r="49" spans="1:46" s="591" customFormat="1" ht="19" thickBot="1">
      <c r="A49" s="583">
        <v>246</v>
      </c>
      <c r="B49" s="584" t="s">
        <v>929</v>
      </c>
      <c r="C49" s="584" t="s">
        <v>930</v>
      </c>
      <c r="D49" s="584" t="s">
        <v>931</v>
      </c>
      <c r="E49" s="585" t="s">
        <v>932</v>
      </c>
      <c r="F49" s="583">
        <v>317261051</v>
      </c>
      <c r="G49" s="583">
        <v>1368</v>
      </c>
      <c r="H49" s="583" t="s">
        <v>2285</v>
      </c>
      <c r="I49" s="586" t="s">
        <v>2059</v>
      </c>
      <c r="J49" s="592">
        <v>59</v>
      </c>
      <c r="K49" s="590">
        <v>55</v>
      </c>
      <c r="L49" s="590">
        <v>60</v>
      </c>
      <c r="M49" s="588">
        <v>58</v>
      </c>
      <c r="N49" s="593">
        <v>60</v>
      </c>
      <c r="O49" s="590">
        <f t="shared" si="0"/>
        <v>232</v>
      </c>
      <c r="P49" s="626">
        <v>59</v>
      </c>
      <c r="Q49" s="626">
        <v>39</v>
      </c>
      <c r="R49" s="626">
        <v>58</v>
      </c>
      <c r="S49" s="626">
        <v>38</v>
      </c>
      <c r="T49" s="626">
        <v>60</v>
      </c>
      <c r="U49" s="626">
        <v>38</v>
      </c>
      <c r="V49" s="626">
        <v>60</v>
      </c>
      <c r="W49" s="626">
        <v>38</v>
      </c>
      <c r="X49" s="626">
        <v>60</v>
      </c>
      <c r="Y49" s="627">
        <v>38</v>
      </c>
      <c r="Z49" s="628">
        <f t="shared" si="1"/>
        <v>488</v>
      </c>
    </row>
    <row r="50" spans="1:46" s="591" customFormat="1" ht="19" thickBot="1">
      <c r="A50" s="583">
        <v>247</v>
      </c>
      <c r="B50" s="584" t="s">
        <v>938</v>
      </c>
      <c r="C50" s="584" t="s">
        <v>1172</v>
      </c>
      <c r="D50" s="584" t="s">
        <v>939</v>
      </c>
      <c r="E50" s="585" t="s">
        <v>761</v>
      </c>
      <c r="F50" s="583">
        <v>313696235</v>
      </c>
      <c r="G50" s="583">
        <v>1117</v>
      </c>
      <c r="H50" s="583" t="s">
        <v>2285</v>
      </c>
      <c r="I50" s="586" t="s">
        <v>2059</v>
      </c>
      <c r="J50" s="592">
        <v>45</v>
      </c>
      <c r="K50" s="590">
        <v>46</v>
      </c>
      <c r="L50" s="590">
        <v>59</v>
      </c>
      <c r="M50" s="588">
        <v>58</v>
      </c>
      <c r="N50" s="593">
        <v>55</v>
      </c>
      <c r="O50" s="590">
        <f t="shared" si="0"/>
        <v>208</v>
      </c>
      <c r="P50" s="626">
        <v>53</v>
      </c>
      <c r="Q50" s="626">
        <v>36</v>
      </c>
      <c r="R50" s="626">
        <v>49</v>
      </c>
      <c r="S50" s="626">
        <v>34</v>
      </c>
      <c r="T50" s="626">
        <v>57</v>
      </c>
      <c r="U50" s="626">
        <v>38</v>
      </c>
      <c r="V50" s="626">
        <v>57</v>
      </c>
      <c r="W50" s="626">
        <v>37</v>
      </c>
      <c r="X50" s="626">
        <v>51</v>
      </c>
      <c r="Y50" s="627">
        <v>37</v>
      </c>
      <c r="Z50" s="628">
        <f t="shared" si="1"/>
        <v>449</v>
      </c>
    </row>
    <row r="51" spans="1:46" s="546" customFormat="1" ht="19" thickBot="1">
      <c r="A51" s="583">
        <v>248</v>
      </c>
      <c r="B51" s="584" t="s">
        <v>779</v>
      </c>
      <c r="C51" s="584" t="s">
        <v>1171</v>
      </c>
      <c r="D51" s="584" t="s">
        <v>780</v>
      </c>
      <c r="E51" s="585" t="s">
        <v>781</v>
      </c>
      <c r="F51" s="583">
        <v>309221668</v>
      </c>
      <c r="G51" s="583">
        <v>1266</v>
      </c>
      <c r="H51" s="583" t="s">
        <v>2285</v>
      </c>
      <c r="I51" s="586" t="s">
        <v>2059</v>
      </c>
      <c r="J51" s="592">
        <v>60</v>
      </c>
      <c r="K51" s="590">
        <v>53</v>
      </c>
      <c r="L51" s="590">
        <v>60</v>
      </c>
      <c r="M51" s="588">
        <v>58</v>
      </c>
      <c r="N51" s="593">
        <v>56</v>
      </c>
      <c r="O51" s="590">
        <f t="shared" si="0"/>
        <v>231</v>
      </c>
      <c r="P51" s="626">
        <v>54</v>
      </c>
      <c r="Q51" s="626">
        <v>39</v>
      </c>
      <c r="R51" s="626">
        <v>54</v>
      </c>
      <c r="S51" s="626">
        <v>36</v>
      </c>
      <c r="T51" s="626">
        <v>56</v>
      </c>
      <c r="U51" s="626">
        <v>38</v>
      </c>
      <c r="V51" s="626">
        <v>58</v>
      </c>
      <c r="W51" s="626">
        <v>36</v>
      </c>
      <c r="X51" s="626">
        <v>55</v>
      </c>
      <c r="Y51" s="627">
        <v>36</v>
      </c>
      <c r="Z51" s="628">
        <f t="shared" si="1"/>
        <v>462</v>
      </c>
      <c r="AA51" s="601"/>
      <c r="AB51" s="601"/>
      <c r="AC51" s="601"/>
      <c r="AD51" s="601"/>
      <c r="AE51" s="601"/>
      <c r="AF51" s="601"/>
      <c r="AG51" s="601"/>
      <c r="AH51" s="601"/>
      <c r="AI51" s="601"/>
      <c r="AJ51" s="601"/>
      <c r="AK51" s="601"/>
      <c r="AL51" s="601"/>
      <c r="AM51" s="601"/>
    </row>
    <row r="52" spans="1:46" s="591" customFormat="1" ht="19" thickBot="1">
      <c r="A52" s="583">
        <v>249</v>
      </c>
      <c r="B52" s="584" t="s">
        <v>791</v>
      </c>
      <c r="C52" s="584" t="s">
        <v>792</v>
      </c>
      <c r="D52" s="584" t="s">
        <v>793</v>
      </c>
      <c r="E52" s="585" t="s">
        <v>794</v>
      </c>
      <c r="F52" s="583">
        <v>305551053</v>
      </c>
      <c r="G52" s="583">
        <v>1338</v>
      </c>
      <c r="H52" s="606" t="s">
        <v>1649</v>
      </c>
      <c r="I52" s="607" t="s">
        <v>2059</v>
      </c>
      <c r="J52" s="592">
        <v>59</v>
      </c>
      <c r="K52" s="590">
        <v>40</v>
      </c>
      <c r="L52" s="590">
        <v>47</v>
      </c>
      <c r="M52" s="588">
        <v>41</v>
      </c>
      <c r="N52" s="593">
        <v>39</v>
      </c>
      <c r="O52" s="590">
        <f t="shared" si="0"/>
        <v>187</v>
      </c>
      <c r="P52" s="626">
        <v>47</v>
      </c>
      <c r="Q52" s="626">
        <v>39</v>
      </c>
      <c r="R52" s="626">
        <v>47</v>
      </c>
      <c r="S52" s="626">
        <v>31</v>
      </c>
      <c r="T52" s="626">
        <v>41</v>
      </c>
      <c r="U52" s="626">
        <v>35</v>
      </c>
      <c r="V52" s="626">
        <v>58</v>
      </c>
      <c r="W52" s="626">
        <v>31</v>
      </c>
      <c r="X52" s="626">
        <v>46</v>
      </c>
      <c r="Y52" s="627">
        <v>34</v>
      </c>
      <c r="Z52" s="628">
        <f t="shared" si="1"/>
        <v>409</v>
      </c>
    </row>
    <row r="53" spans="1:46" s="591" customFormat="1" ht="19" thickBot="1">
      <c r="A53" s="583">
        <v>250</v>
      </c>
      <c r="B53" s="584" t="s">
        <v>803</v>
      </c>
      <c r="C53" s="584" t="s">
        <v>804</v>
      </c>
      <c r="D53" s="584" t="s">
        <v>805</v>
      </c>
      <c r="E53" s="585" t="s">
        <v>806</v>
      </c>
      <c r="F53" s="583">
        <v>310242663</v>
      </c>
      <c r="G53" s="583">
        <v>1510</v>
      </c>
      <c r="H53" s="606" t="s">
        <v>1649</v>
      </c>
      <c r="I53" s="607" t="s">
        <v>2059</v>
      </c>
      <c r="J53" s="592">
        <v>43</v>
      </c>
      <c r="K53" s="590">
        <v>39</v>
      </c>
      <c r="L53" s="590">
        <v>37</v>
      </c>
      <c r="M53" s="588">
        <v>39</v>
      </c>
      <c r="N53" s="593">
        <v>38</v>
      </c>
      <c r="O53" s="590">
        <f t="shared" si="0"/>
        <v>158</v>
      </c>
      <c r="P53" s="626">
        <v>51</v>
      </c>
      <c r="Q53" s="626">
        <v>32</v>
      </c>
      <c r="R53" s="626">
        <v>34</v>
      </c>
      <c r="S53" s="626">
        <v>31</v>
      </c>
      <c r="T53" s="626">
        <v>41</v>
      </c>
      <c r="U53" s="626">
        <v>30</v>
      </c>
      <c r="V53" s="626">
        <v>53</v>
      </c>
      <c r="W53" s="626">
        <v>30</v>
      </c>
      <c r="X53" s="626">
        <v>42</v>
      </c>
      <c r="Y53" s="627">
        <v>32</v>
      </c>
      <c r="Z53" s="628">
        <f t="shared" si="1"/>
        <v>376</v>
      </c>
    </row>
    <row r="54" spans="1:46" s="591" customFormat="1" ht="19" thickBot="1">
      <c r="A54" s="583">
        <v>251</v>
      </c>
      <c r="B54" s="584" t="s">
        <v>673</v>
      </c>
      <c r="C54" s="584" t="s">
        <v>674</v>
      </c>
      <c r="D54" s="584" t="s">
        <v>675</v>
      </c>
      <c r="E54" s="585" t="s">
        <v>676</v>
      </c>
      <c r="F54" s="583">
        <v>310061800</v>
      </c>
      <c r="G54" s="583">
        <v>1325</v>
      </c>
      <c r="H54" s="606" t="s">
        <v>1649</v>
      </c>
      <c r="I54" s="607" t="s">
        <v>2059</v>
      </c>
      <c r="J54" s="592">
        <v>40</v>
      </c>
      <c r="K54" s="590">
        <v>36</v>
      </c>
      <c r="L54" s="590">
        <v>34</v>
      </c>
      <c r="M54" s="588">
        <v>34</v>
      </c>
      <c r="N54" s="593">
        <v>38</v>
      </c>
      <c r="O54" s="590">
        <f t="shared" si="0"/>
        <v>144</v>
      </c>
      <c r="P54" s="626">
        <v>41</v>
      </c>
      <c r="Q54" s="626">
        <v>30</v>
      </c>
      <c r="R54" s="626">
        <v>35</v>
      </c>
      <c r="S54" s="626">
        <v>30</v>
      </c>
      <c r="T54" s="626">
        <v>41</v>
      </c>
      <c r="U54" s="626">
        <v>30</v>
      </c>
      <c r="V54" s="626">
        <v>35</v>
      </c>
      <c r="W54" s="626">
        <v>30</v>
      </c>
      <c r="X54" s="626">
        <v>39</v>
      </c>
      <c r="Y54" s="627">
        <v>32</v>
      </c>
      <c r="Z54" s="628">
        <f t="shared" si="1"/>
        <v>343</v>
      </c>
    </row>
    <row r="55" spans="1:46" s="591" customFormat="1" ht="19" thickBot="1">
      <c r="A55" s="583">
        <v>252</v>
      </c>
      <c r="B55" s="584" t="s">
        <v>3315</v>
      </c>
      <c r="C55" s="608" t="s">
        <v>3316</v>
      </c>
      <c r="D55" s="584" t="s">
        <v>3317</v>
      </c>
      <c r="E55" s="585" t="s">
        <v>672</v>
      </c>
      <c r="F55" s="583">
        <v>316151201</v>
      </c>
      <c r="G55" s="583">
        <v>1455</v>
      </c>
      <c r="H55" s="606" t="s">
        <v>1649</v>
      </c>
      <c r="I55" s="607" t="s">
        <v>2059</v>
      </c>
      <c r="J55" s="592">
        <v>41</v>
      </c>
      <c r="K55" s="590">
        <v>52</v>
      </c>
      <c r="L55" s="590">
        <v>50</v>
      </c>
      <c r="M55" s="588">
        <v>57</v>
      </c>
      <c r="N55" s="593">
        <v>38</v>
      </c>
      <c r="O55" s="590">
        <f t="shared" si="0"/>
        <v>200</v>
      </c>
      <c r="P55" s="626">
        <v>49</v>
      </c>
      <c r="Q55" s="626">
        <v>30</v>
      </c>
      <c r="R55" s="626">
        <v>52</v>
      </c>
      <c r="S55" s="626">
        <v>32</v>
      </c>
      <c r="T55" s="626">
        <v>50</v>
      </c>
      <c r="U55" s="626">
        <v>33</v>
      </c>
      <c r="V55" s="626">
        <v>59</v>
      </c>
      <c r="W55" s="626">
        <v>36</v>
      </c>
      <c r="X55" s="626">
        <v>40</v>
      </c>
      <c r="Y55" s="627">
        <v>35</v>
      </c>
      <c r="Z55" s="628">
        <f t="shared" si="1"/>
        <v>416</v>
      </c>
    </row>
    <row r="56" spans="1:46" s="609" customFormat="1" ht="19" thickBot="1">
      <c r="A56" s="583">
        <v>253</v>
      </c>
      <c r="B56" s="584" t="s">
        <v>810</v>
      </c>
      <c r="C56" s="584" t="s">
        <v>706</v>
      </c>
      <c r="D56" s="584" t="s">
        <v>811</v>
      </c>
      <c r="E56" s="585" t="s">
        <v>812</v>
      </c>
      <c r="F56" s="583">
        <v>313950068</v>
      </c>
      <c r="G56" s="583">
        <v>1285</v>
      </c>
      <c r="H56" s="606" t="s">
        <v>1649</v>
      </c>
      <c r="I56" s="607" t="s">
        <v>2059</v>
      </c>
      <c r="J56" s="592">
        <v>39</v>
      </c>
      <c r="K56" s="590">
        <v>33</v>
      </c>
      <c r="L56" s="590">
        <v>39</v>
      </c>
      <c r="M56" s="588">
        <v>53</v>
      </c>
      <c r="N56" s="593">
        <v>37</v>
      </c>
      <c r="O56" s="590">
        <f t="shared" si="0"/>
        <v>164</v>
      </c>
      <c r="P56" s="626">
        <v>38</v>
      </c>
      <c r="Q56" s="626">
        <v>30</v>
      </c>
      <c r="R56" s="626">
        <v>33</v>
      </c>
      <c r="S56" s="626">
        <v>30</v>
      </c>
      <c r="T56" s="626">
        <v>42</v>
      </c>
      <c r="U56" s="626">
        <v>31</v>
      </c>
      <c r="V56" s="626">
        <v>59</v>
      </c>
      <c r="W56" s="626">
        <v>35</v>
      </c>
      <c r="X56" s="626">
        <v>36</v>
      </c>
      <c r="Y56" s="627">
        <v>34</v>
      </c>
      <c r="Z56" s="628">
        <f t="shared" si="1"/>
        <v>368</v>
      </c>
      <c r="AA56" s="604"/>
      <c r="AB56" s="604"/>
      <c r="AC56" s="604"/>
      <c r="AD56" s="604"/>
      <c r="AE56" s="604"/>
      <c r="AF56" s="604"/>
      <c r="AG56" s="604"/>
      <c r="AH56" s="604"/>
      <c r="AI56" s="604"/>
      <c r="AJ56" s="604"/>
      <c r="AK56" s="604"/>
      <c r="AL56" s="604"/>
      <c r="AM56" s="604"/>
      <c r="AN56" s="604"/>
      <c r="AO56" s="604"/>
      <c r="AP56" s="604"/>
      <c r="AQ56" s="604"/>
      <c r="AR56" s="604"/>
      <c r="AS56" s="604"/>
      <c r="AT56" s="604"/>
    </row>
    <row r="57" spans="1:46" s="591" customFormat="1" ht="19" thickBot="1">
      <c r="A57" s="583">
        <v>254</v>
      </c>
      <c r="B57" s="584" t="s">
        <v>813</v>
      </c>
      <c r="C57" s="584" t="s">
        <v>814</v>
      </c>
      <c r="D57" s="584" t="s">
        <v>815</v>
      </c>
      <c r="E57" s="585" t="s">
        <v>816</v>
      </c>
      <c r="F57" s="583">
        <v>310277557</v>
      </c>
      <c r="G57" s="583">
        <v>1268</v>
      </c>
      <c r="H57" s="606" t="s">
        <v>1649</v>
      </c>
      <c r="I57" s="607" t="s">
        <v>2059</v>
      </c>
      <c r="J57" s="592">
        <v>58</v>
      </c>
      <c r="K57" s="590">
        <v>47</v>
      </c>
      <c r="L57" s="590">
        <v>58</v>
      </c>
      <c r="M57" s="588">
        <v>55</v>
      </c>
      <c r="N57" s="593">
        <v>51</v>
      </c>
      <c r="O57" s="590">
        <f t="shared" si="0"/>
        <v>218</v>
      </c>
      <c r="P57" s="626">
        <v>50</v>
      </c>
      <c r="Q57" s="626">
        <v>38</v>
      </c>
      <c r="R57" s="626">
        <v>54</v>
      </c>
      <c r="S57" s="626">
        <v>35</v>
      </c>
      <c r="T57" s="626">
        <v>59</v>
      </c>
      <c r="U57" s="626">
        <v>38</v>
      </c>
      <c r="V57" s="626">
        <v>58</v>
      </c>
      <c r="W57" s="626">
        <v>36</v>
      </c>
      <c r="X57" s="626">
        <v>49</v>
      </c>
      <c r="Y57" s="627">
        <v>36</v>
      </c>
      <c r="Z57" s="628">
        <f t="shared" si="1"/>
        <v>453</v>
      </c>
    </row>
    <row r="58" spans="1:46" s="591" customFormat="1" ht="19" thickBot="1">
      <c r="A58" s="583">
        <v>255</v>
      </c>
      <c r="B58" s="584" t="s">
        <v>683</v>
      </c>
      <c r="C58" s="584" t="s">
        <v>1150</v>
      </c>
      <c r="D58" s="584" t="s">
        <v>684</v>
      </c>
      <c r="E58" s="585" t="s">
        <v>685</v>
      </c>
      <c r="F58" s="583">
        <v>312732705</v>
      </c>
      <c r="G58" s="583">
        <v>1317</v>
      </c>
      <c r="H58" s="606" t="s">
        <v>1649</v>
      </c>
      <c r="I58" s="607" t="s">
        <v>2059</v>
      </c>
      <c r="J58" s="592">
        <v>35</v>
      </c>
      <c r="K58" s="590">
        <v>34</v>
      </c>
      <c r="L58" s="590">
        <v>43</v>
      </c>
      <c r="M58" s="588">
        <v>39</v>
      </c>
      <c r="N58" s="593">
        <v>39</v>
      </c>
      <c r="O58" s="590">
        <f t="shared" si="0"/>
        <v>151</v>
      </c>
      <c r="P58" s="626">
        <v>34</v>
      </c>
      <c r="Q58" s="626">
        <v>30</v>
      </c>
      <c r="R58" s="626">
        <v>38</v>
      </c>
      <c r="S58" s="626">
        <v>30</v>
      </c>
      <c r="T58" s="626">
        <v>46</v>
      </c>
      <c r="U58" s="626">
        <v>32</v>
      </c>
      <c r="V58" s="626">
        <v>54</v>
      </c>
      <c r="W58" s="626">
        <v>31</v>
      </c>
      <c r="X58" s="626">
        <v>40</v>
      </c>
      <c r="Y58" s="627">
        <v>32</v>
      </c>
      <c r="Z58" s="628">
        <f t="shared" si="1"/>
        <v>367</v>
      </c>
    </row>
    <row r="59" spans="1:46" s="591" customFormat="1" ht="19" thickBot="1">
      <c r="A59" s="583">
        <v>256</v>
      </c>
      <c r="B59" s="584" t="s">
        <v>679</v>
      </c>
      <c r="C59" s="584" t="s">
        <v>3318</v>
      </c>
      <c r="D59" s="584" t="s">
        <v>680</v>
      </c>
      <c r="E59" s="585" t="s">
        <v>681</v>
      </c>
      <c r="F59" s="583">
        <v>307913077</v>
      </c>
      <c r="G59" s="583">
        <v>1448</v>
      </c>
      <c r="H59" s="606" t="s">
        <v>1649</v>
      </c>
      <c r="I59" s="607" t="s">
        <v>2059</v>
      </c>
      <c r="J59" s="592">
        <v>44</v>
      </c>
      <c r="K59" s="590">
        <v>36</v>
      </c>
      <c r="L59" s="590">
        <v>56</v>
      </c>
      <c r="M59" s="588">
        <v>42</v>
      </c>
      <c r="N59" s="593">
        <v>38</v>
      </c>
      <c r="O59" s="590">
        <f t="shared" si="0"/>
        <v>178</v>
      </c>
      <c r="P59" s="626">
        <v>32</v>
      </c>
      <c r="Q59" s="626">
        <v>31</v>
      </c>
      <c r="R59" s="626">
        <v>36</v>
      </c>
      <c r="S59" s="626">
        <v>30</v>
      </c>
      <c r="T59" s="626">
        <v>39</v>
      </c>
      <c r="U59" s="626">
        <v>34</v>
      </c>
      <c r="V59" s="626">
        <v>48</v>
      </c>
      <c r="W59" s="626">
        <v>31</v>
      </c>
      <c r="X59" s="626">
        <v>44</v>
      </c>
      <c r="Y59" s="627">
        <v>30</v>
      </c>
      <c r="Z59" s="628">
        <f t="shared" si="1"/>
        <v>355</v>
      </c>
    </row>
    <row r="60" spans="1:46" s="591" customFormat="1" ht="19" thickBot="1">
      <c r="A60" s="583">
        <v>257</v>
      </c>
      <c r="B60" s="584" t="s">
        <v>687</v>
      </c>
      <c r="C60" s="584" t="s">
        <v>51</v>
      </c>
      <c r="D60" s="584" t="s">
        <v>688</v>
      </c>
      <c r="E60" s="585" t="s">
        <v>689</v>
      </c>
      <c r="F60" s="583">
        <v>310716838</v>
      </c>
      <c r="G60" s="583">
        <v>1228</v>
      </c>
      <c r="H60" s="606" t="s">
        <v>1649</v>
      </c>
      <c r="I60" s="607" t="s">
        <v>2059</v>
      </c>
      <c r="J60" s="592">
        <v>50</v>
      </c>
      <c r="K60" s="590">
        <v>36</v>
      </c>
      <c r="L60" s="590">
        <v>57</v>
      </c>
      <c r="M60" s="588">
        <v>51</v>
      </c>
      <c r="N60" s="593">
        <v>38</v>
      </c>
      <c r="O60" s="590">
        <f t="shared" si="0"/>
        <v>194</v>
      </c>
      <c r="P60" s="626">
        <v>55</v>
      </c>
      <c r="Q60" s="626">
        <v>34</v>
      </c>
      <c r="R60" s="626">
        <v>38</v>
      </c>
      <c r="S60" s="626">
        <v>30</v>
      </c>
      <c r="T60" s="626">
        <v>52</v>
      </c>
      <c r="U60" s="626">
        <v>38</v>
      </c>
      <c r="V60" s="626">
        <v>56</v>
      </c>
      <c r="W60" s="626">
        <v>35</v>
      </c>
      <c r="X60" s="626">
        <v>48</v>
      </c>
      <c r="Y60" s="627">
        <v>35</v>
      </c>
      <c r="Z60" s="628">
        <f t="shared" si="1"/>
        <v>421</v>
      </c>
    </row>
    <row r="61" spans="1:46" s="591" customFormat="1" ht="19" thickBot="1">
      <c r="A61" s="583">
        <v>258</v>
      </c>
      <c r="B61" s="584" t="s">
        <v>825</v>
      </c>
      <c r="C61" s="584" t="s">
        <v>826</v>
      </c>
      <c r="D61" s="584" t="s">
        <v>827</v>
      </c>
      <c r="E61" s="585" t="s">
        <v>828</v>
      </c>
      <c r="F61" s="583">
        <v>311248206</v>
      </c>
      <c r="G61" s="583">
        <v>1516</v>
      </c>
      <c r="H61" s="606" t="s">
        <v>1649</v>
      </c>
      <c r="I61" s="607" t="s">
        <v>2059</v>
      </c>
      <c r="J61" s="592">
        <v>40</v>
      </c>
      <c r="K61" s="590">
        <v>30</v>
      </c>
      <c r="L61" s="590">
        <v>35</v>
      </c>
      <c r="M61" s="588">
        <v>33</v>
      </c>
      <c r="N61" s="593">
        <v>35</v>
      </c>
      <c r="O61" s="590">
        <f t="shared" si="0"/>
        <v>138</v>
      </c>
      <c r="P61" s="626">
        <v>42</v>
      </c>
      <c r="Q61" s="626">
        <v>30</v>
      </c>
      <c r="R61" s="626">
        <v>35</v>
      </c>
      <c r="S61" s="626">
        <v>30</v>
      </c>
      <c r="T61" s="626">
        <v>42</v>
      </c>
      <c r="U61" s="626">
        <v>30</v>
      </c>
      <c r="V61" s="626">
        <v>42</v>
      </c>
      <c r="W61" s="626">
        <v>30</v>
      </c>
      <c r="X61" s="626">
        <v>47</v>
      </c>
      <c r="Y61" s="627">
        <v>31</v>
      </c>
      <c r="Z61" s="628">
        <f t="shared" si="1"/>
        <v>359</v>
      </c>
    </row>
    <row r="62" spans="1:46" s="604" customFormat="1" ht="19" thickBot="1">
      <c r="A62" s="583">
        <v>259</v>
      </c>
      <c r="B62" s="602" t="s">
        <v>697</v>
      </c>
      <c r="C62" s="602" t="s">
        <v>698</v>
      </c>
      <c r="D62" s="602" t="s">
        <v>699</v>
      </c>
      <c r="E62" s="603" t="s">
        <v>700</v>
      </c>
      <c r="F62" s="590">
        <v>315260297</v>
      </c>
      <c r="G62" s="590">
        <v>1131</v>
      </c>
      <c r="H62" s="606" t="s">
        <v>1649</v>
      </c>
      <c r="I62" s="607" t="s">
        <v>2059</v>
      </c>
      <c r="J62" s="592">
        <v>35</v>
      </c>
      <c r="K62" s="590">
        <v>35</v>
      </c>
      <c r="L62" s="590">
        <v>44</v>
      </c>
      <c r="M62" s="588">
        <v>39</v>
      </c>
      <c r="N62" s="593">
        <v>45</v>
      </c>
      <c r="O62" s="590">
        <f t="shared" si="0"/>
        <v>153</v>
      </c>
      <c r="P62" s="626">
        <v>31</v>
      </c>
      <c r="Q62" s="626">
        <v>30</v>
      </c>
      <c r="R62" s="626">
        <v>36</v>
      </c>
      <c r="S62" s="626">
        <v>30</v>
      </c>
      <c r="T62" s="626">
        <v>46</v>
      </c>
      <c r="U62" s="626">
        <v>32</v>
      </c>
      <c r="V62" s="626">
        <v>49</v>
      </c>
      <c r="W62" s="626">
        <v>32</v>
      </c>
      <c r="X62" s="626">
        <v>48</v>
      </c>
      <c r="Y62" s="627">
        <v>34</v>
      </c>
      <c r="Z62" s="628">
        <f t="shared" si="1"/>
        <v>368</v>
      </c>
    </row>
    <row r="63" spans="1:46" s="591" customFormat="1" ht="19" thickBot="1">
      <c r="A63" s="583">
        <v>260</v>
      </c>
      <c r="B63" s="584" t="s">
        <v>701</v>
      </c>
      <c r="C63" s="584" t="s">
        <v>702</v>
      </c>
      <c r="D63" s="584" t="s">
        <v>703</v>
      </c>
      <c r="E63" s="585" t="s">
        <v>704</v>
      </c>
      <c r="F63" s="583"/>
      <c r="G63" s="583">
        <v>1559</v>
      </c>
      <c r="H63" s="606" t="s">
        <v>1649</v>
      </c>
      <c r="I63" s="607" t="s">
        <v>2059</v>
      </c>
      <c r="J63" s="592">
        <v>52</v>
      </c>
      <c r="K63" s="590">
        <v>38</v>
      </c>
      <c r="L63" s="590">
        <v>38</v>
      </c>
      <c r="M63" s="588">
        <v>42</v>
      </c>
      <c r="N63" s="593">
        <v>38</v>
      </c>
      <c r="O63" s="590">
        <f t="shared" si="0"/>
        <v>170</v>
      </c>
      <c r="P63" s="626">
        <v>41</v>
      </c>
      <c r="Q63" s="626">
        <v>35</v>
      </c>
      <c r="R63" s="626">
        <v>39</v>
      </c>
      <c r="S63" s="626">
        <v>30</v>
      </c>
      <c r="T63" s="626">
        <v>40</v>
      </c>
      <c r="U63" s="626">
        <v>30</v>
      </c>
      <c r="V63" s="626">
        <v>47</v>
      </c>
      <c r="W63" s="626">
        <v>32</v>
      </c>
      <c r="X63" s="626">
        <v>45</v>
      </c>
      <c r="Y63" s="627">
        <v>34</v>
      </c>
      <c r="Z63" s="628">
        <f t="shared" si="1"/>
        <v>373</v>
      </c>
    </row>
    <row r="64" spans="1:46" s="604" customFormat="1" ht="19" thickBot="1">
      <c r="A64" s="583">
        <v>261</v>
      </c>
      <c r="B64" s="602" t="s">
        <v>694</v>
      </c>
      <c r="C64" s="602" t="s">
        <v>1151</v>
      </c>
      <c r="D64" s="602" t="s">
        <v>695</v>
      </c>
      <c r="E64" s="603" t="s">
        <v>696</v>
      </c>
      <c r="F64" s="590">
        <v>313812063</v>
      </c>
      <c r="G64" s="590">
        <v>1611</v>
      </c>
      <c r="H64" s="606" t="s">
        <v>1649</v>
      </c>
      <c r="I64" s="607" t="s">
        <v>2059</v>
      </c>
      <c r="J64" s="592">
        <v>58</v>
      </c>
      <c r="K64" s="590">
        <v>42</v>
      </c>
      <c r="L64" s="590">
        <v>56</v>
      </c>
      <c r="M64" s="588">
        <v>49</v>
      </c>
      <c r="N64" s="593">
        <v>43</v>
      </c>
      <c r="O64" s="590">
        <f t="shared" si="0"/>
        <v>205</v>
      </c>
      <c r="P64" s="626">
        <v>53</v>
      </c>
      <c r="Q64" s="626">
        <v>38</v>
      </c>
      <c r="R64" s="626">
        <v>36</v>
      </c>
      <c r="S64" s="626">
        <v>32</v>
      </c>
      <c r="T64" s="626">
        <v>53</v>
      </c>
      <c r="U64" s="626">
        <v>37</v>
      </c>
      <c r="V64" s="626">
        <v>55</v>
      </c>
      <c r="W64" s="626">
        <v>36</v>
      </c>
      <c r="X64" s="626">
        <v>46</v>
      </c>
      <c r="Y64" s="627">
        <v>35</v>
      </c>
      <c r="Z64" s="628">
        <f t="shared" si="1"/>
        <v>421</v>
      </c>
    </row>
    <row r="65" spans="1:40" s="81" customFormat="1" ht="19" thickBot="1">
      <c r="A65" s="583">
        <v>262</v>
      </c>
      <c r="B65" s="604" t="s">
        <v>1558</v>
      </c>
      <c r="C65" s="604" t="s">
        <v>2694</v>
      </c>
      <c r="D65" s="604" t="s">
        <v>1559</v>
      </c>
      <c r="E65" s="610" t="s">
        <v>1560</v>
      </c>
      <c r="F65" s="611">
        <v>313812083</v>
      </c>
      <c r="G65" s="611">
        <v>1296</v>
      </c>
      <c r="H65" s="606" t="s">
        <v>1649</v>
      </c>
      <c r="I65" s="607" t="s">
        <v>2059</v>
      </c>
      <c r="J65" s="592">
        <v>44</v>
      </c>
      <c r="K65" s="590">
        <v>34</v>
      </c>
      <c r="L65" s="590">
        <v>41</v>
      </c>
      <c r="M65" s="588">
        <v>49</v>
      </c>
      <c r="N65" s="593">
        <v>34</v>
      </c>
      <c r="O65" s="590">
        <f t="shared" si="0"/>
        <v>168</v>
      </c>
      <c r="P65" s="626">
        <v>53</v>
      </c>
      <c r="Q65" s="626">
        <v>32</v>
      </c>
      <c r="R65" s="626">
        <v>39</v>
      </c>
      <c r="S65" s="626">
        <v>30</v>
      </c>
      <c r="T65" s="626">
        <v>45</v>
      </c>
      <c r="U65" s="626">
        <v>32</v>
      </c>
      <c r="V65" s="626">
        <v>51</v>
      </c>
      <c r="W65" s="626">
        <v>35</v>
      </c>
      <c r="X65" s="626">
        <v>48</v>
      </c>
      <c r="Y65" s="627">
        <v>33</v>
      </c>
      <c r="Z65" s="628">
        <f t="shared" si="1"/>
        <v>398</v>
      </c>
      <c r="AA65" s="604"/>
      <c r="AB65" s="604"/>
      <c r="AC65" s="604"/>
      <c r="AD65" s="604"/>
      <c r="AE65" s="604"/>
      <c r="AF65" s="604"/>
      <c r="AG65" s="604"/>
      <c r="AH65" s="604"/>
      <c r="AI65" s="604"/>
      <c r="AJ65" s="604"/>
      <c r="AK65" s="604"/>
      <c r="AL65" s="604"/>
      <c r="AM65" s="604"/>
      <c r="AN65" s="604"/>
    </row>
    <row r="66" spans="1:40" s="604" customFormat="1" ht="19" thickBot="1">
      <c r="A66" s="583">
        <v>263</v>
      </c>
      <c r="B66" s="602" t="s">
        <v>836</v>
      </c>
      <c r="C66" s="602" t="s">
        <v>3319</v>
      </c>
      <c r="D66" s="602" t="s">
        <v>18</v>
      </c>
      <c r="E66" s="603" t="s">
        <v>837</v>
      </c>
      <c r="F66" s="590">
        <v>313987744</v>
      </c>
      <c r="G66" s="590">
        <v>1523</v>
      </c>
      <c r="H66" s="606" t="s">
        <v>1649</v>
      </c>
      <c r="I66" s="607" t="s">
        <v>2059</v>
      </c>
      <c r="J66" s="592">
        <v>38</v>
      </c>
      <c r="K66" s="590">
        <v>36</v>
      </c>
      <c r="L66" s="590">
        <v>50</v>
      </c>
      <c r="M66" s="588">
        <v>50</v>
      </c>
      <c r="N66" s="593">
        <v>37</v>
      </c>
      <c r="O66" s="590">
        <f t="shared" si="0"/>
        <v>174</v>
      </c>
      <c r="P66" s="626">
        <v>37</v>
      </c>
      <c r="Q66" s="626">
        <v>30</v>
      </c>
      <c r="R66" s="626">
        <v>34</v>
      </c>
      <c r="S66" s="626">
        <v>30</v>
      </c>
      <c r="T66" s="626">
        <v>48</v>
      </c>
      <c r="U66" s="626">
        <v>34</v>
      </c>
      <c r="V66" s="626">
        <v>52</v>
      </c>
      <c r="W66" s="626">
        <v>35</v>
      </c>
      <c r="X66" s="626">
        <v>38</v>
      </c>
      <c r="Y66" s="627">
        <v>34</v>
      </c>
      <c r="Z66" s="628">
        <f t="shared" si="1"/>
        <v>372</v>
      </c>
    </row>
    <row r="67" spans="1:40" s="591" customFormat="1" ht="19" thickBot="1">
      <c r="A67" s="583">
        <v>264</v>
      </c>
      <c r="B67" s="584" t="s">
        <v>708</v>
      </c>
      <c r="C67" s="584" t="s">
        <v>709</v>
      </c>
      <c r="D67" s="584" t="s">
        <v>710</v>
      </c>
      <c r="E67" s="585" t="s">
        <v>711</v>
      </c>
      <c r="F67" s="583">
        <v>313812071</v>
      </c>
      <c r="G67" s="583">
        <v>1226</v>
      </c>
      <c r="H67" s="606" t="s">
        <v>1649</v>
      </c>
      <c r="I67" s="607" t="s">
        <v>2059</v>
      </c>
      <c r="J67" s="592">
        <v>40</v>
      </c>
      <c r="K67" s="590">
        <v>41</v>
      </c>
      <c r="L67" s="590">
        <v>48</v>
      </c>
      <c r="M67" s="588">
        <v>56</v>
      </c>
      <c r="N67" s="593">
        <v>37</v>
      </c>
      <c r="O67" s="590">
        <f t="shared" si="0"/>
        <v>185</v>
      </c>
      <c r="P67" s="626">
        <v>43</v>
      </c>
      <c r="Q67" s="626">
        <v>30</v>
      </c>
      <c r="R67" s="626">
        <v>39</v>
      </c>
      <c r="S67" s="626">
        <v>30</v>
      </c>
      <c r="T67" s="626">
        <v>43</v>
      </c>
      <c r="U67" s="626">
        <v>32</v>
      </c>
      <c r="V67" s="626">
        <v>46</v>
      </c>
      <c r="W67" s="626">
        <v>36</v>
      </c>
      <c r="X67" s="626">
        <v>43</v>
      </c>
      <c r="Y67" s="627">
        <v>36</v>
      </c>
      <c r="Z67" s="628">
        <f t="shared" si="1"/>
        <v>378</v>
      </c>
    </row>
    <row r="68" spans="1:40" s="591" customFormat="1" ht="19" thickBot="1">
      <c r="A68" s="583">
        <v>265</v>
      </c>
      <c r="B68" s="584" t="s">
        <v>64</v>
      </c>
      <c r="C68" s="584" t="s">
        <v>850</v>
      </c>
      <c r="D68" s="584" t="s">
        <v>851</v>
      </c>
      <c r="E68" s="585" t="s">
        <v>852</v>
      </c>
      <c r="F68" s="583">
        <v>310242660</v>
      </c>
      <c r="G68" s="583">
        <v>1509</v>
      </c>
      <c r="H68" s="606" t="s">
        <v>1649</v>
      </c>
      <c r="I68" s="607" t="s">
        <v>2059</v>
      </c>
      <c r="J68" s="592">
        <v>53</v>
      </c>
      <c r="K68" s="590">
        <v>42</v>
      </c>
      <c r="L68" s="590">
        <v>44</v>
      </c>
      <c r="M68" s="588">
        <v>55</v>
      </c>
      <c r="N68" s="593">
        <v>36</v>
      </c>
      <c r="O68" s="590">
        <f t="shared" si="0"/>
        <v>194</v>
      </c>
      <c r="P68" s="626">
        <v>47</v>
      </c>
      <c r="Q68" s="626">
        <v>36</v>
      </c>
      <c r="R68" s="626">
        <v>42</v>
      </c>
      <c r="S68" s="626">
        <v>30</v>
      </c>
      <c r="T68" s="626">
        <v>51</v>
      </c>
      <c r="U68" s="626">
        <v>32</v>
      </c>
      <c r="V68" s="626">
        <v>55</v>
      </c>
      <c r="W68" s="626">
        <v>35</v>
      </c>
      <c r="X68" s="626">
        <v>49</v>
      </c>
      <c r="Y68" s="627">
        <v>34</v>
      </c>
      <c r="Z68" s="628">
        <f t="shared" si="1"/>
        <v>411</v>
      </c>
    </row>
    <row r="69" spans="1:40" s="591" customFormat="1" ht="19" thickBot="1">
      <c r="A69" s="583">
        <v>266</v>
      </c>
      <c r="B69" s="584" t="s">
        <v>842</v>
      </c>
      <c r="C69" s="584" t="s">
        <v>843</v>
      </c>
      <c r="D69" s="584" t="s">
        <v>844</v>
      </c>
      <c r="E69" s="585" t="s">
        <v>845</v>
      </c>
      <c r="F69" s="583">
        <v>314716091</v>
      </c>
      <c r="G69" s="583">
        <v>1432</v>
      </c>
      <c r="H69" s="606" t="s">
        <v>1649</v>
      </c>
      <c r="I69" s="607" t="s">
        <v>2059</v>
      </c>
      <c r="J69" s="592">
        <v>52</v>
      </c>
      <c r="K69" s="590">
        <v>36</v>
      </c>
      <c r="L69" s="590">
        <v>49</v>
      </c>
      <c r="M69" s="588">
        <v>55</v>
      </c>
      <c r="N69" s="593">
        <v>37</v>
      </c>
      <c r="O69" s="590">
        <f t="shared" ref="O69:O85" si="2">SUM(J69:M69)</f>
        <v>192</v>
      </c>
      <c r="P69" s="626">
        <v>51</v>
      </c>
      <c r="Q69" s="626">
        <v>34</v>
      </c>
      <c r="R69" s="626">
        <v>36</v>
      </c>
      <c r="S69" s="626">
        <v>30</v>
      </c>
      <c r="T69" s="626">
        <v>46</v>
      </c>
      <c r="U69" s="626">
        <v>35</v>
      </c>
      <c r="V69" s="626">
        <v>44</v>
      </c>
      <c r="W69" s="626">
        <v>36</v>
      </c>
      <c r="X69" s="626">
        <v>49</v>
      </c>
      <c r="Y69" s="627">
        <v>35</v>
      </c>
      <c r="Z69" s="628">
        <f t="shared" ref="Z69:Z97" si="3">SUM(P69:Y69)</f>
        <v>396</v>
      </c>
    </row>
    <row r="70" spans="1:40" s="591" customFormat="1" ht="19" thickBot="1">
      <c r="A70" s="583">
        <v>267</v>
      </c>
      <c r="B70" s="584" t="s">
        <v>727</v>
      </c>
      <c r="C70" s="584" t="s">
        <v>3320</v>
      </c>
      <c r="D70" s="584" t="s">
        <v>728</v>
      </c>
      <c r="E70" s="585" t="s">
        <v>1156</v>
      </c>
      <c r="F70" s="583">
        <v>311275755</v>
      </c>
      <c r="G70" s="583">
        <v>1176</v>
      </c>
      <c r="H70" s="606" t="s">
        <v>1649</v>
      </c>
      <c r="I70" s="607" t="s">
        <v>2059</v>
      </c>
      <c r="J70" s="592">
        <v>49</v>
      </c>
      <c r="K70" s="590">
        <v>40</v>
      </c>
      <c r="L70" s="590">
        <v>46</v>
      </c>
      <c r="M70" s="588">
        <v>56</v>
      </c>
      <c r="N70" s="593">
        <v>39</v>
      </c>
      <c r="O70" s="590">
        <f t="shared" si="2"/>
        <v>191</v>
      </c>
      <c r="P70" s="626">
        <v>37</v>
      </c>
      <c r="Q70" s="626">
        <v>34</v>
      </c>
      <c r="R70" s="626">
        <v>39</v>
      </c>
      <c r="S70" s="626">
        <v>30</v>
      </c>
      <c r="T70" s="626">
        <v>46</v>
      </c>
      <c r="U70" s="626">
        <v>32</v>
      </c>
      <c r="V70" s="626">
        <v>48</v>
      </c>
      <c r="W70" s="626">
        <v>35</v>
      </c>
      <c r="X70" s="626">
        <v>47</v>
      </c>
      <c r="Y70" s="627">
        <v>34</v>
      </c>
      <c r="Z70" s="628">
        <f t="shared" si="3"/>
        <v>382</v>
      </c>
    </row>
    <row r="71" spans="1:40" s="591" customFormat="1" ht="19" thickBot="1">
      <c r="A71" s="583">
        <v>268</v>
      </c>
      <c r="B71" s="584" t="s">
        <v>867</v>
      </c>
      <c r="C71" s="584" t="s">
        <v>3321</v>
      </c>
      <c r="D71" s="584" t="s">
        <v>868</v>
      </c>
      <c r="E71" s="585" t="s">
        <v>869</v>
      </c>
      <c r="F71" s="583">
        <v>316132834</v>
      </c>
      <c r="G71" s="583">
        <v>1183</v>
      </c>
      <c r="H71" s="606" t="s">
        <v>1649</v>
      </c>
      <c r="I71" s="607" t="s">
        <v>2059</v>
      </c>
      <c r="J71" s="592">
        <v>59</v>
      </c>
      <c r="K71" s="590">
        <v>52</v>
      </c>
      <c r="L71" s="590">
        <v>57</v>
      </c>
      <c r="M71" s="588">
        <v>56</v>
      </c>
      <c r="N71" s="593">
        <v>46</v>
      </c>
      <c r="O71" s="590">
        <f t="shared" si="2"/>
        <v>224</v>
      </c>
      <c r="P71" s="626">
        <v>44</v>
      </c>
      <c r="Q71" s="626">
        <v>39</v>
      </c>
      <c r="R71" s="626">
        <v>41</v>
      </c>
      <c r="S71" s="626">
        <v>37</v>
      </c>
      <c r="T71" s="626">
        <v>47</v>
      </c>
      <c r="U71" s="626">
        <v>38</v>
      </c>
      <c r="V71" s="626">
        <v>58</v>
      </c>
      <c r="W71" s="626">
        <v>38</v>
      </c>
      <c r="X71" s="626">
        <v>52</v>
      </c>
      <c r="Y71" s="627">
        <v>37</v>
      </c>
      <c r="Z71" s="628">
        <f t="shared" si="3"/>
        <v>431</v>
      </c>
    </row>
    <row r="72" spans="1:40" s="591" customFormat="1" ht="19" thickBot="1">
      <c r="A72" s="583">
        <v>269</v>
      </c>
      <c r="B72" s="584" t="s">
        <v>870</v>
      </c>
      <c r="C72" s="584" t="s">
        <v>871</v>
      </c>
      <c r="D72" s="584" t="s">
        <v>872</v>
      </c>
      <c r="E72" s="585" t="s">
        <v>873</v>
      </c>
      <c r="F72" s="583">
        <v>311724136</v>
      </c>
      <c r="G72" s="583">
        <v>1189</v>
      </c>
      <c r="H72" s="606" t="s">
        <v>1649</v>
      </c>
      <c r="I72" s="607" t="s">
        <v>2059</v>
      </c>
      <c r="J72" s="592">
        <v>45</v>
      </c>
      <c r="K72" s="590">
        <v>40</v>
      </c>
      <c r="L72" s="590">
        <v>49</v>
      </c>
      <c r="M72" s="588">
        <v>55</v>
      </c>
      <c r="N72" s="593">
        <v>37</v>
      </c>
      <c r="O72" s="590">
        <f t="shared" si="2"/>
        <v>189</v>
      </c>
      <c r="P72" s="626">
        <v>40</v>
      </c>
      <c r="Q72" s="626">
        <v>34</v>
      </c>
      <c r="R72" s="626">
        <v>37</v>
      </c>
      <c r="S72" s="626">
        <v>30</v>
      </c>
      <c r="T72" s="626">
        <v>50</v>
      </c>
      <c r="U72" s="626">
        <v>35</v>
      </c>
      <c r="V72" s="626">
        <v>50</v>
      </c>
      <c r="W72" s="626">
        <v>36</v>
      </c>
      <c r="X72" s="626">
        <v>42</v>
      </c>
      <c r="Y72" s="627">
        <v>36</v>
      </c>
      <c r="Z72" s="628">
        <f t="shared" si="3"/>
        <v>390</v>
      </c>
    </row>
    <row r="73" spans="1:40" s="591" customFormat="1" ht="19" thickBot="1">
      <c r="A73" s="583">
        <v>270</v>
      </c>
      <c r="B73" s="584" t="s">
        <v>2290</v>
      </c>
      <c r="C73" s="584" t="s">
        <v>2289</v>
      </c>
      <c r="D73" s="584" t="s">
        <v>2291</v>
      </c>
      <c r="E73" s="585" t="s">
        <v>2292</v>
      </c>
      <c r="F73" s="583">
        <v>311147916</v>
      </c>
      <c r="G73" s="583">
        <v>1724</v>
      </c>
      <c r="H73" s="606" t="s">
        <v>1649</v>
      </c>
      <c r="I73" s="607" t="s">
        <v>2059</v>
      </c>
      <c r="J73" s="592">
        <v>56</v>
      </c>
      <c r="K73" s="590">
        <v>39</v>
      </c>
      <c r="L73" s="590">
        <v>51</v>
      </c>
      <c r="M73" s="588">
        <v>56</v>
      </c>
      <c r="N73" s="593">
        <v>40</v>
      </c>
      <c r="O73" s="590">
        <f t="shared" si="2"/>
        <v>202</v>
      </c>
      <c r="P73" s="626">
        <v>55</v>
      </c>
      <c r="Q73" s="626">
        <v>38</v>
      </c>
      <c r="R73" s="626">
        <v>43</v>
      </c>
      <c r="S73" s="626">
        <v>30</v>
      </c>
      <c r="T73" s="626">
        <v>54</v>
      </c>
      <c r="U73" s="626">
        <v>35</v>
      </c>
      <c r="V73" s="626">
        <v>51</v>
      </c>
      <c r="W73" s="626">
        <v>38</v>
      </c>
      <c r="X73" s="626">
        <v>51</v>
      </c>
      <c r="Y73" s="627">
        <v>38</v>
      </c>
      <c r="Z73" s="628">
        <f t="shared" si="3"/>
        <v>433</v>
      </c>
    </row>
    <row r="74" spans="1:40" s="591" customFormat="1" ht="19" thickBot="1">
      <c r="A74" s="583">
        <v>271</v>
      </c>
      <c r="B74" s="584" t="s">
        <v>874</v>
      </c>
      <c r="C74" s="584" t="s">
        <v>3322</v>
      </c>
      <c r="D74" s="584" t="s">
        <v>875</v>
      </c>
      <c r="E74" s="585" t="s">
        <v>876</v>
      </c>
      <c r="F74" s="583">
        <v>317881493</v>
      </c>
      <c r="G74" s="583">
        <v>1316</v>
      </c>
      <c r="H74" s="606" t="s">
        <v>1649</v>
      </c>
      <c r="I74" s="607" t="s">
        <v>2059</v>
      </c>
      <c r="J74" s="592">
        <v>54</v>
      </c>
      <c r="K74" s="590">
        <v>44</v>
      </c>
      <c r="L74" s="590">
        <v>48</v>
      </c>
      <c r="M74" s="588">
        <v>55</v>
      </c>
      <c r="N74" s="593">
        <v>42</v>
      </c>
      <c r="O74" s="590">
        <f t="shared" si="2"/>
        <v>201</v>
      </c>
      <c r="P74" s="626">
        <v>39</v>
      </c>
      <c r="Q74" s="626">
        <v>36</v>
      </c>
      <c r="R74" s="626">
        <v>43</v>
      </c>
      <c r="S74" s="626">
        <v>35</v>
      </c>
      <c r="T74" s="626">
        <v>53</v>
      </c>
      <c r="U74" s="626">
        <v>34</v>
      </c>
      <c r="V74" s="626">
        <v>56</v>
      </c>
      <c r="W74" s="626">
        <v>36</v>
      </c>
      <c r="X74" s="626">
        <v>52</v>
      </c>
      <c r="Y74" s="627">
        <v>36</v>
      </c>
      <c r="Z74" s="628">
        <f t="shared" si="3"/>
        <v>420</v>
      </c>
    </row>
    <row r="75" spans="1:40" s="591" customFormat="1" ht="19" thickBot="1">
      <c r="A75" s="583">
        <v>272</v>
      </c>
      <c r="B75" s="591" t="s">
        <v>877</v>
      </c>
      <c r="C75" s="591" t="s">
        <v>878</v>
      </c>
      <c r="D75" s="591" t="s">
        <v>879</v>
      </c>
      <c r="E75" s="612" t="s">
        <v>880</v>
      </c>
      <c r="F75" s="97">
        <v>310236086</v>
      </c>
      <c r="G75" s="97">
        <v>1431</v>
      </c>
      <c r="H75" s="606" t="s">
        <v>1649</v>
      </c>
      <c r="I75" s="607" t="s">
        <v>2059</v>
      </c>
      <c r="J75" s="592">
        <v>57</v>
      </c>
      <c r="K75" s="590">
        <v>48</v>
      </c>
      <c r="L75" s="590">
        <v>54</v>
      </c>
      <c r="M75" s="588">
        <v>56</v>
      </c>
      <c r="N75" s="593">
        <v>48</v>
      </c>
      <c r="O75" s="590">
        <f t="shared" si="2"/>
        <v>215</v>
      </c>
      <c r="P75" s="626">
        <v>51</v>
      </c>
      <c r="Q75" s="626">
        <v>38</v>
      </c>
      <c r="R75" s="626">
        <v>42</v>
      </c>
      <c r="S75" s="626">
        <v>33</v>
      </c>
      <c r="T75" s="626">
        <v>49</v>
      </c>
      <c r="U75" s="626">
        <v>35</v>
      </c>
      <c r="V75" s="626">
        <v>49</v>
      </c>
      <c r="W75" s="626">
        <v>37</v>
      </c>
      <c r="X75" s="626">
        <v>39</v>
      </c>
      <c r="Y75" s="627">
        <v>36</v>
      </c>
      <c r="Z75" s="628">
        <f t="shared" si="3"/>
        <v>409</v>
      </c>
    </row>
    <row r="76" spans="1:40" s="591" customFormat="1" ht="19" thickBot="1">
      <c r="A76" s="583">
        <v>273</v>
      </c>
      <c r="B76" s="591" t="s">
        <v>2286</v>
      </c>
      <c r="C76" s="591" t="s">
        <v>3323</v>
      </c>
      <c r="D76" s="591" t="s">
        <v>2287</v>
      </c>
      <c r="E76" s="612" t="s">
        <v>2288</v>
      </c>
      <c r="F76" s="97">
        <v>306801152</v>
      </c>
      <c r="G76" s="97">
        <v>1767</v>
      </c>
      <c r="H76" s="606" t="s">
        <v>1649</v>
      </c>
      <c r="I76" s="607" t="s">
        <v>2059</v>
      </c>
      <c r="J76" s="592">
        <v>49</v>
      </c>
      <c r="K76" s="590">
        <v>42</v>
      </c>
      <c r="L76" s="590">
        <v>51</v>
      </c>
      <c r="M76" s="588">
        <v>53</v>
      </c>
      <c r="N76" s="593">
        <v>38</v>
      </c>
      <c r="O76" s="590">
        <f t="shared" si="2"/>
        <v>195</v>
      </c>
      <c r="P76" s="626">
        <v>53</v>
      </c>
      <c r="Q76" s="626">
        <v>33</v>
      </c>
      <c r="R76" s="626">
        <v>44</v>
      </c>
      <c r="S76" s="626">
        <v>30</v>
      </c>
      <c r="T76" s="626">
        <v>49</v>
      </c>
      <c r="U76" s="626">
        <v>35</v>
      </c>
      <c r="V76" s="626">
        <v>57</v>
      </c>
      <c r="W76" s="626">
        <v>36</v>
      </c>
      <c r="X76" s="626">
        <v>50</v>
      </c>
      <c r="Y76" s="627">
        <v>35</v>
      </c>
      <c r="Z76" s="628">
        <f t="shared" si="3"/>
        <v>422</v>
      </c>
    </row>
    <row r="77" spans="1:40" s="591" customFormat="1" ht="19" thickBot="1">
      <c r="A77" s="583">
        <v>274</v>
      </c>
      <c r="B77" s="591" t="s">
        <v>883</v>
      </c>
      <c r="C77" s="591" t="s">
        <v>884</v>
      </c>
      <c r="D77" s="591" t="s">
        <v>885</v>
      </c>
      <c r="E77" s="612" t="s">
        <v>3324</v>
      </c>
      <c r="F77" s="97">
        <v>308468444</v>
      </c>
      <c r="G77" s="97">
        <v>1551</v>
      </c>
      <c r="H77" s="606" t="s">
        <v>1649</v>
      </c>
      <c r="I77" s="607" t="s">
        <v>2059</v>
      </c>
      <c r="J77" s="592">
        <v>48</v>
      </c>
      <c r="K77" s="590">
        <v>38</v>
      </c>
      <c r="L77" s="590">
        <v>45</v>
      </c>
      <c r="M77" s="588">
        <v>53</v>
      </c>
      <c r="N77" s="593">
        <v>45</v>
      </c>
      <c r="O77" s="590">
        <f t="shared" si="2"/>
        <v>184</v>
      </c>
      <c r="P77" s="626">
        <v>43</v>
      </c>
      <c r="Q77" s="626">
        <v>32</v>
      </c>
      <c r="R77" s="626">
        <v>37</v>
      </c>
      <c r="S77" s="626">
        <v>30</v>
      </c>
      <c r="T77" s="626">
        <v>41</v>
      </c>
      <c r="U77" s="626">
        <v>34</v>
      </c>
      <c r="V77" s="626">
        <v>48</v>
      </c>
      <c r="W77" s="626">
        <v>36</v>
      </c>
      <c r="X77" s="626">
        <v>45</v>
      </c>
      <c r="Y77" s="627">
        <v>34</v>
      </c>
      <c r="Z77" s="628">
        <f t="shared" si="3"/>
        <v>380</v>
      </c>
    </row>
    <row r="78" spans="1:40" s="591" customFormat="1" ht="19" thickBot="1">
      <c r="A78" s="583">
        <v>275</v>
      </c>
      <c r="B78" s="584" t="s">
        <v>733</v>
      </c>
      <c r="C78" s="584" t="s">
        <v>734</v>
      </c>
      <c r="D78" s="584" t="s">
        <v>735</v>
      </c>
      <c r="E78" s="585" t="s">
        <v>3325</v>
      </c>
      <c r="F78" s="583">
        <v>319919207</v>
      </c>
      <c r="G78" s="583">
        <v>1166</v>
      </c>
      <c r="H78" s="606" t="s">
        <v>1649</v>
      </c>
      <c r="I78" s="607" t="s">
        <v>2059</v>
      </c>
      <c r="J78" s="592">
        <v>53</v>
      </c>
      <c r="K78" s="590">
        <v>45</v>
      </c>
      <c r="L78" s="590">
        <v>35</v>
      </c>
      <c r="M78" s="588">
        <v>54</v>
      </c>
      <c r="N78" s="593">
        <v>38</v>
      </c>
      <c r="O78" s="590">
        <f t="shared" si="2"/>
        <v>187</v>
      </c>
      <c r="P78" s="626">
        <v>51</v>
      </c>
      <c r="Q78" s="626">
        <v>36</v>
      </c>
      <c r="R78" s="626">
        <v>40</v>
      </c>
      <c r="S78" s="626">
        <v>32</v>
      </c>
      <c r="T78" s="626">
        <v>51</v>
      </c>
      <c r="U78" s="626">
        <v>30</v>
      </c>
      <c r="V78" s="626">
        <v>49</v>
      </c>
      <c r="W78" s="626">
        <v>36</v>
      </c>
      <c r="X78" s="626">
        <v>46</v>
      </c>
      <c r="Y78" s="627">
        <v>37</v>
      </c>
      <c r="Z78" s="628">
        <f t="shared" si="3"/>
        <v>408</v>
      </c>
    </row>
    <row r="79" spans="1:40" s="22" customFormat="1" ht="19" thickBot="1">
      <c r="A79" s="583">
        <v>276</v>
      </c>
      <c r="B79" s="613" t="s">
        <v>740</v>
      </c>
      <c r="C79" s="614" t="s">
        <v>2293</v>
      </c>
      <c r="D79" s="81" t="s">
        <v>741</v>
      </c>
      <c r="E79" s="615" t="s">
        <v>742</v>
      </c>
      <c r="F79" s="616">
        <v>306308282</v>
      </c>
      <c r="G79" s="616">
        <v>1380</v>
      </c>
      <c r="H79" s="606" t="s">
        <v>1649</v>
      </c>
      <c r="I79" s="607" t="s">
        <v>2059</v>
      </c>
      <c r="J79" s="592">
        <v>53</v>
      </c>
      <c r="K79" s="590">
        <v>37</v>
      </c>
      <c r="L79" s="590">
        <v>58</v>
      </c>
      <c r="M79" s="588">
        <v>56</v>
      </c>
      <c r="N79" s="593">
        <v>39</v>
      </c>
      <c r="O79" s="590">
        <f t="shared" si="2"/>
        <v>204</v>
      </c>
      <c r="P79" s="626">
        <v>57</v>
      </c>
      <c r="Q79" s="626">
        <v>36</v>
      </c>
      <c r="R79" s="626">
        <v>46</v>
      </c>
      <c r="S79" s="626">
        <v>30</v>
      </c>
      <c r="T79" s="626">
        <v>58</v>
      </c>
      <c r="U79" s="626">
        <v>38</v>
      </c>
      <c r="V79" s="626">
        <v>58</v>
      </c>
      <c r="W79" s="626">
        <v>38</v>
      </c>
      <c r="X79" s="626">
        <v>53</v>
      </c>
      <c r="Y79" s="627">
        <v>37</v>
      </c>
      <c r="Z79" s="628">
        <f t="shared" si="3"/>
        <v>451</v>
      </c>
    </row>
    <row r="80" spans="1:40" s="591" customFormat="1" ht="19" thickBot="1">
      <c r="A80" s="583">
        <v>277</v>
      </c>
      <c r="B80" s="584" t="s">
        <v>36</v>
      </c>
      <c r="C80" s="584" t="s">
        <v>209</v>
      </c>
      <c r="D80" s="584" t="s">
        <v>743</v>
      </c>
      <c r="E80" s="585" t="s">
        <v>744</v>
      </c>
      <c r="F80" s="583">
        <v>310997628</v>
      </c>
      <c r="G80" s="583">
        <v>1419</v>
      </c>
      <c r="H80" s="606" t="s">
        <v>1649</v>
      </c>
      <c r="I80" s="607" t="s">
        <v>2059</v>
      </c>
      <c r="J80" s="592">
        <v>52</v>
      </c>
      <c r="K80" s="590">
        <v>36</v>
      </c>
      <c r="L80" s="590">
        <v>38</v>
      </c>
      <c r="M80" s="588">
        <v>52</v>
      </c>
      <c r="N80" s="593">
        <v>32</v>
      </c>
      <c r="O80" s="590">
        <f t="shared" si="2"/>
        <v>178</v>
      </c>
      <c r="P80" s="626">
        <v>46</v>
      </c>
      <c r="Q80" s="626">
        <v>35</v>
      </c>
      <c r="R80" s="626">
        <v>44</v>
      </c>
      <c r="S80" s="626">
        <v>30</v>
      </c>
      <c r="T80" s="626">
        <v>51</v>
      </c>
      <c r="U80" s="626">
        <v>30</v>
      </c>
      <c r="V80" s="626">
        <v>39</v>
      </c>
      <c r="W80" s="626">
        <v>35</v>
      </c>
      <c r="X80" s="626">
        <v>49</v>
      </c>
      <c r="Y80" s="627">
        <v>34</v>
      </c>
      <c r="Z80" s="628">
        <f t="shared" si="3"/>
        <v>393</v>
      </c>
    </row>
    <row r="81" spans="1:26" s="591" customFormat="1" ht="19" thickBot="1">
      <c r="A81" s="583">
        <v>278</v>
      </c>
      <c r="B81" s="584" t="s">
        <v>3326</v>
      </c>
      <c r="C81" s="584" t="s">
        <v>3327</v>
      </c>
      <c r="D81" s="584" t="s">
        <v>3328</v>
      </c>
      <c r="E81" s="585" t="s">
        <v>940</v>
      </c>
      <c r="F81" s="583">
        <v>317655457</v>
      </c>
      <c r="G81" s="583">
        <v>1645</v>
      </c>
      <c r="H81" s="606" t="s">
        <v>1649</v>
      </c>
      <c r="I81" s="607" t="s">
        <v>2059</v>
      </c>
      <c r="J81" s="592">
        <v>42</v>
      </c>
      <c r="K81" s="590">
        <v>33</v>
      </c>
      <c r="L81" s="590">
        <v>32</v>
      </c>
      <c r="M81" s="588">
        <v>43</v>
      </c>
      <c r="N81" s="593">
        <v>33</v>
      </c>
      <c r="O81" s="590">
        <f t="shared" si="2"/>
        <v>150</v>
      </c>
      <c r="P81" s="626">
        <v>45</v>
      </c>
      <c r="Q81" s="626">
        <v>32</v>
      </c>
      <c r="R81" s="626">
        <v>40</v>
      </c>
      <c r="S81" s="626">
        <v>30</v>
      </c>
      <c r="T81" s="626">
        <v>57</v>
      </c>
      <c r="U81" s="626">
        <v>30</v>
      </c>
      <c r="V81" s="626">
        <v>45</v>
      </c>
      <c r="W81" s="626">
        <v>32</v>
      </c>
      <c r="X81" s="626">
        <v>47</v>
      </c>
      <c r="Y81" s="627">
        <v>34</v>
      </c>
      <c r="Z81" s="628">
        <f t="shared" si="3"/>
        <v>392</v>
      </c>
    </row>
    <row r="82" spans="1:26" s="591" customFormat="1" ht="19" thickBot="1">
      <c r="A82" s="583">
        <v>279</v>
      </c>
      <c r="B82" s="584" t="s">
        <v>747</v>
      </c>
      <c r="C82" s="584" t="s">
        <v>748</v>
      </c>
      <c r="D82" s="584" t="s">
        <v>749</v>
      </c>
      <c r="E82" s="585" t="s">
        <v>750</v>
      </c>
      <c r="F82" s="583">
        <v>317338102</v>
      </c>
      <c r="G82" s="583">
        <v>1249</v>
      </c>
      <c r="H82" s="606" t="s">
        <v>1649</v>
      </c>
      <c r="I82" s="607" t="s">
        <v>2059</v>
      </c>
      <c r="J82" s="592">
        <v>39</v>
      </c>
      <c r="K82" s="590">
        <v>36</v>
      </c>
      <c r="L82" s="590">
        <v>43</v>
      </c>
      <c r="M82" s="588">
        <v>54</v>
      </c>
      <c r="N82" s="593">
        <v>34</v>
      </c>
      <c r="O82" s="590">
        <f t="shared" si="2"/>
        <v>172</v>
      </c>
      <c r="P82" s="626">
        <v>39</v>
      </c>
      <c r="Q82" s="626">
        <v>30</v>
      </c>
      <c r="R82" s="626">
        <v>42</v>
      </c>
      <c r="S82" s="626">
        <v>30</v>
      </c>
      <c r="T82" s="626">
        <v>42</v>
      </c>
      <c r="U82" s="626">
        <v>32</v>
      </c>
      <c r="V82" s="626">
        <v>29</v>
      </c>
      <c r="W82" s="626">
        <v>36</v>
      </c>
      <c r="X82" s="626">
        <v>45</v>
      </c>
      <c r="Y82" s="627">
        <v>35</v>
      </c>
      <c r="Z82" s="628">
        <f t="shared" si="3"/>
        <v>360</v>
      </c>
    </row>
    <row r="83" spans="1:26" s="620" customFormat="1" ht="19" thickBot="1">
      <c r="A83" s="594">
        <v>280</v>
      </c>
      <c r="B83" s="617" t="s">
        <v>745</v>
      </c>
      <c r="C83" s="617" t="s">
        <v>574</v>
      </c>
      <c r="D83" s="617" t="s">
        <v>27</v>
      </c>
      <c r="E83" s="596" t="s">
        <v>746</v>
      </c>
      <c r="F83" s="594">
        <v>310557477</v>
      </c>
      <c r="G83" s="594">
        <v>1572</v>
      </c>
      <c r="H83" s="618" t="s">
        <v>1649</v>
      </c>
      <c r="I83" s="619" t="s">
        <v>2059</v>
      </c>
      <c r="J83" s="592">
        <v>31</v>
      </c>
      <c r="K83" s="590">
        <v>40</v>
      </c>
      <c r="L83" s="590">
        <v>37</v>
      </c>
      <c r="M83" s="588">
        <v>49</v>
      </c>
      <c r="N83" s="593">
        <v>35</v>
      </c>
      <c r="O83" s="590">
        <f t="shared" si="2"/>
        <v>157</v>
      </c>
      <c r="P83" s="626">
        <v>32</v>
      </c>
      <c r="Q83" s="626">
        <v>28</v>
      </c>
      <c r="R83" s="626">
        <v>42</v>
      </c>
      <c r="S83" s="626">
        <v>30</v>
      </c>
      <c r="T83" s="626">
        <v>41</v>
      </c>
      <c r="U83" s="626">
        <v>30</v>
      </c>
      <c r="V83" s="626">
        <v>32</v>
      </c>
      <c r="W83" s="626">
        <v>34</v>
      </c>
      <c r="X83" s="626">
        <v>35</v>
      </c>
      <c r="Y83" s="627">
        <v>35</v>
      </c>
      <c r="Z83" s="628">
        <f t="shared" si="3"/>
        <v>339</v>
      </c>
    </row>
    <row r="84" spans="1:26" s="591" customFormat="1" ht="19" thickBot="1">
      <c r="A84" s="583">
        <v>281</v>
      </c>
      <c r="B84" s="584" t="s">
        <v>1158</v>
      </c>
      <c r="C84" s="584" t="s">
        <v>751</v>
      </c>
      <c r="D84" s="584" t="s">
        <v>115</v>
      </c>
      <c r="E84" s="585" t="s">
        <v>1159</v>
      </c>
      <c r="F84" s="583">
        <v>313729480</v>
      </c>
      <c r="G84" s="583">
        <v>1221</v>
      </c>
      <c r="H84" s="606" t="s">
        <v>1649</v>
      </c>
      <c r="I84" s="607" t="s">
        <v>2059</v>
      </c>
      <c r="J84" s="592">
        <v>46</v>
      </c>
      <c r="K84" s="590">
        <v>37</v>
      </c>
      <c r="L84" s="590">
        <v>42</v>
      </c>
      <c r="M84" s="588">
        <v>52</v>
      </c>
      <c r="N84" s="593">
        <v>35</v>
      </c>
      <c r="O84" s="590">
        <f t="shared" si="2"/>
        <v>177</v>
      </c>
      <c r="P84" s="626">
        <v>31</v>
      </c>
      <c r="Q84" s="626">
        <v>32</v>
      </c>
      <c r="R84" s="626">
        <v>48</v>
      </c>
      <c r="S84" s="626">
        <v>30</v>
      </c>
      <c r="T84" s="626">
        <v>37</v>
      </c>
      <c r="U84" s="626">
        <v>32</v>
      </c>
      <c r="V84" s="626">
        <v>30</v>
      </c>
      <c r="W84" s="626">
        <v>35</v>
      </c>
      <c r="X84" s="626">
        <v>35</v>
      </c>
      <c r="Y84" s="627">
        <v>32</v>
      </c>
      <c r="Z84" s="628">
        <f t="shared" si="3"/>
        <v>342</v>
      </c>
    </row>
    <row r="85" spans="1:26" s="591" customFormat="1" ht="19" thickBot="1">
      <c r="A85" s="583">
        <v>282</v>
      </c>
      <c r="B85" s="591" t="s">
        <v>893</v>
      </c>
      <c r="C85" s="591" t="s">
        <v>894</v>
      </c>
      <c r="D85" s="591" t="s">
        <v>895</v>
      </c>
      <c r="E85" s="612" t="s">
        <v>896</v>
      </c>
      <c r="F85" s="97">
        <v>314916700</v>
      </c>
      <c r="G85" s="97">
        <v>1274</v>
      </c>
      <c r="H85" s="606" t="s">
        <v>1649</v>
      </c>
      <c r="I85" s="607" t="s">
        <v>2059</v>
      </c>
      <c r="J85" s="592">
        <v>42</v>
      </c>
      <c r="K85" s="590">
        <v>34</v>
      </c>
      <c r="L85" s="590">
        <v>35</v>
      </c>
      <c r="M85" s="588">
        <v>55</v>
      </c>
      <c r="N85" s="593">
        <v>35</v>
      </c>
      <c r="O85" s="590">
        <f t="shared" si="2"/>
        <v>166</v>
      </c>
      <c r="P85" s="626">
        <v>35</v>
      </c>
      <c r="Q85" s="626">
        <v>32</v>
      </c>
      <c r="R85" s="626">
        <v>49</v>
      </c>
      <c r="S85" s="626">
        <v>30</v>
      </c>
      <c r="T85" s="626">
        <v>49</v>
      </c>
      <c r="U85" s="626">
        <v>30</v>
      </c>
      <c r="V85" s="626">
        <v>40</v>
      </c>
      <c r="W85" s="626">
        <v>36</v>
      </c>
      <c r="X85" s="626">
        <v>43</v>
      </c>
      <c r="Y85" s="627">
        <v>33</v>
      </c>
      <c r="Z85" s="628">
        <f t="shared" si="3"/>
        <v>377</v>
      </c>
    </row>
    <row r="86" spans="1:26" s="591" customFormat="1" ht="19" thickBot="1">
      <c r="A86" s="583">
        <v>283</v>
      </c>
      <c r="B86" s="600" t="s">
        <v>941</v>
      </c>
      <c r="C86" s="600" t="s">
        <v>3329</v>
      </c>
      <c r="D86" s="600" t="s">
        <v>3330</v>
      </c>
      <c r="E86" s="585" t="s">
        <v>942</v>
      </c>
      <c r="F86" s="583">
        <v>315338021</v>
      </c>
      <c r="G86" s="583">
        <v>1444</v>
      </c>
      <c r="H86" s="606" t="s">
        <v>1649</v>
      </c>
      <c r="I86" s="607" t="s">
        <v>2059</v>
      </c>
      <c r="J86" s="592">
        <v>40</v>
      </c>
      <c r="K86" s="590">
        <v>36</v>
      </c>
      <c r="L86" s="590">
        <v>42</v>
      </c>
      <c r="M86" s="588">
        <v>55</v>
      </c>
      <c r="N86" s="593">
        <v>38</v>
      </c>
      <c r="O86" s="590">
        <f t="shared" ref="O86:O97" si="4">SUM(J86:N86)</f>
        <v>211</v>
      </c>
      <c r="P86" s="626">
        <v>36</v>
      </c>
      <c r="Q86" s="626">
        <v>30</v>
      </c>
      <c r="R86" s="626">
        <v>39</v>
      </c>
      <c r="S86" s="626">
        <v>30</v>
      </c>
      <c r="T86" s="626">
        <v>46</v>
      </c>
      <c r="U86" s="626">
        <v>32</v>
      </c>
      <c r="V86" s="626">
        <v>35</v>
      </c>
      <c r="W86" s="626">
        <v>36</v>
      </c>
      <c r="X86" s="626">
        <v>41</v>
      </c>
      <c r="Y86" s="627">
        <v>36</v>
      </c>
      <c r="Z86" s="628">
        <f t="shared" si="3"/>
        <v>361</v>
      </c>
    </row>
    <row r="87" spans="1:26" s="591" customFormat="1" ht="19" thickBot="1">
      <c r="A87" s="583">
        <v>284</v>
      </c>
      <c r="B87" s="591" t="s">
        <v>898</v>
      </c>
      <c r="C87" s="591" t="s">
        <v>850</v>
      </c>
      <c r="D87" s="591" t="s">
        <v>899</v>
      </c>
      <c r="E87" s="612" t="s">
        <v>900</v>
      </c>
      <c r="F87" s="97">
        <v>313245561</v>
      </c>
      <c r="G87" s="97">
        <v>1161</v>
      </c>
      <c r="H87" s="606" t="s">
        <v>1649</v>
      </c>
      <c r="I87" s="607" t="s">
        <v>2059</v>
      </c>
      <c r="J87" s="592">
        <v>45</v>
      </c>
      <c r="K87" s="590">
        <v>39</v>
      </c>
      <c r="L87" s="590">
        <v>41</v>
      </c>
      <c r="M87" s="588">
        <v>51</v>
      </c>
      <c r="N87" s="593">
        <v>35</v>
      </c>
      <c r="O87" s="590">
        <f t="shared" si="4"/>
        <v>211</v>
      </c>
      <c r="P87" s="626">
        <v>34</v>
      </c>
      <c r="Q87" s="626">
        <v>33</v>
      </c>
      <c r="R87" s="626">
        <v>40</v>
      </c>
      <c r="S87" s="626">
        <v>30</v>
      </c>
      <c r="T87" s="626">
        <v>43</v>
      </c>
      <c r="U87" s="626">
        <v>32</v>
      </c>
      <c r="V87" s="626">
        <v>34</v>
      </c>
      <c r="W87" s="626">
        <v>35</v>
      </c>
      <c r="X87" s="626">
        <v>38</v>
      </c>
      <c r="Y87" s="627">
        <v>35</v>
      </c>
      <c r="Z87" s="628">
        <f t="shared" si="3"/>
        <v>354</v>
      </c>
    </row>
    <row r="88" spans="1:26" s="604" customFormat="1" ht="19" thickBot="1">
      <c r="A88" s="583">
        <v>285</v>
      </c>
      <c r="B88" s="604" t="s">
        <v>925</v>
      </c>
      <c r="C88" s="604" t="s">
        <v>926</v>
      </c>
      <c r="D88" s="604" t="s">
        <v>927</v>
      </c>
      <c r="E88" s="610" t="s">
        <v>928</v>
      </c>
      <c r="F88" s="611">
        <v>306471547</v>
      </c>
      <c r="G88" s="611">
        <v>1272</v>
      </c>
      <c r="H88" s="621" t="s">
        <v>1649</v>
      </c>
      <c r="I88" s="622" t="s">
        <v>2059</v>
      </c>
      <c r="J88" s="592">
        <v>51</v>
      </c>
      <c r="K88" s="590">
        <v>46</v>
      </c>
      <c r="L88" s="590">
        <v>38</v>
      </c>
      <c r="M88" s="588">
        <v>55</v>
      </c>
      <c r="N88" s="593">
        <v>49</v>
      </c>
      <c r="O88" s="590">
        <f t="shared" si="4"/>
        <v>239</v>
      </c>
      <c r="P88" s="626">
        <v>52</v>
      </c>
      <c r="Q88" s="626">
        <v>35</v>
      </c>
      <c r="R88" s="626">
        <v>48</v>
      </c>
      <c r="S88" s="626">
        <v>32</v>
      </c>
      <c r="T88" s="626">
        <v>55</v>
      </c>
      <c r="U88" s="626">
        <v>30</v>
      </c>
      <c r="V88" s="626">
        <v>45</v>
      </c>
      <c r="W88" s="626">
        <v>35</v>
      </c>
      <c r="X88" s="626">
        <v>54</v>
      </c>
      <c r="Y88" s="627">
        <v>37</v>
      </c>
      <c r="Z88" s="628">
        <f t="shared" si="3"/>
        <v>423</v>
      </c>
    </row>
    <row r="89" spans="1:26" s="591" customFormat="1" ht="19" thickBot="1">
      <c r="A89" s="583">
        <v>286</v>
      </c>
      <c r="B89" s="591" t="s">
        <v>3331</v>
      </c>
      <c r="C89" s="591" t="s">
        <v>48</v>
      </c>
      <c r="D89" s="591" t="s">
        <v>904</v>
      </c>
      <c r="E89" s="612" t="s">
        <v>905</v>
      </c>
      <c r="F89" s="97">
        <v>314256452</v>
      </c>
      <c r="G89" s="97">
        <v>1370</v>
      </c>
      <c r="H89" s="606" t="s">
        <v>1649</v>
      </c>
      <c r="I89" s="607" t="s">
        <v>2059</v>
      </c>
      <c r="J89" s="592">
        <v>37</v>
      </c>
      <c r="K89" s="590">
        <v>39</v>
      </c>
      <c r="L89" s="590">
        <v>39</v>
      </c>
      <c r="M89" s="588">
        <v>47</v>
      </c>
      <c r="N89" s="593">
        <v>35</v>
      </c>
      <c r="O89" s="590">
        <f t="shared" si="4"/>
        <v>197</v>
      </c>
      <c r="P89" s="626">
        <v>37</v>
      </c>
      <c r="Q89" s="626">
        <v>30</v>
      </c>
      <c r="R89" s="626">
        <v>42</v>
      </c>
      <c r="S89" s="626">
        <v>30</v>
      </c>
      <c r="T89" s="626">
        <v>46</v>
      </c>
      <c r="U89" s="626">
        <v>30</v>
      </c>
      <c r="V89" s="626">
        <v>41</v>
      </c>
      <c r="W89" s="626">
        <v>34</v>
      </c>
      <c r="X89" s="626">
        <v>45</v>
      </c>
      <c r="Y89" s="627">
        <v>34</v>
      </c>
      <c r="Z89" s="628">
        <f t="shared" si="3"/>
        <v>369</v>
      </c>
    </row>
    <row r="90" spans="1:26" s="604" customFormat="1" ht="19" thickBot="1">
      <c r="A90" s="583">
        <v>287</v>
      </c>
      <c r="B90" s="604" t="s">
        <v>915</v>
      </c>
      <c r="C90" s="604" t="s">
        <v>916</v>
      </c>
      <c r="D90" s="604" t="s">
        <v>917</v>
      </c>
      <c r="E90" s="610" t="s">
        <v>918</v>
      </c>
      <c r="F90" s="611">
        <v>309221669</v>
      </c>
      <c r="G90" s="611">
        <v>1372</v>
      </c>
      <c r="H90" s="621" t="s">
        <v>1649</v>
      </c>
      <c r="I90" s="622" t="s">
        <v>2059</v>
      </c>
      <c r="J90" s="592">
        <v>39</v>
      </c>
      <c r="K90" s="590">
        <v>34</v>
      </c>
      <c r="L90" s="590">
        <v>40</v>
      </c>
      <c r="M90" s="588">
        <v>52</v>
      </c>
      <c r="N90" s="593">
        <v>32</v>
      </c>
      <c r="O90" s="590">
        <f t="shared" si="4"/>
        <v>197</v>
      </c>
      <c r="P90" s="626">
        <v>35</v>
      </c>
      <c r="Q90" s="626">
        <v>30</v>
      </c>
      <c r="R90" s="626">
        <v>36</v>
      </c>
      <c r="S90" s="626">
        <v>30</v>
      </c>
      <c r="T90" s="626">
        <v>37</v>
      </c>
      <c r="U90" s="626">
        <v>30</v>
      </c>
      <c r="V90" s="626">
        <v>35</v>
      </c>
      <c r="W90" s="626">
        <v>35</v>
      </c>
      <c r="X90" s="626">
        <v>32</v>
      </c>
      <c r="Y90" s="627">
        <v>32</v>
      </c>
      <c r="Z90" s="628">
        <f t="shared" si="3"/>
        <v>332</v>
      </c>
    </row>
    <row r="91" spans="1:26" s="591" customFormat="1" ht="19" thickBot="1">
      <c r="A91" s="583">
        <v>288</v>
      </c>
      <c r="B91" s="591" t="s">
        <v>919</v>
      </c>
      <c r="C91" s="591" t="s">
        <v>920</v>
      </c>
      <c r="D91" s="591" t="s">
        <v>921</v>
      </c>
      <c r="E91" s="612" t="s">
        <v>922</v>
      </c>
      <c r="F91" s="97"/>
      <c r="G91" s="97">
        <v>1440</v>
      </c>
      <c r="H91" s="606" t="s">
        <v>1649</v>
      </c>
      <c r="I91" s="607" t="s">
        <v>2059</v>
      </c>
      <c r="J91" s="592">
        <v>41</v>
      </c>
      <c r="K91" s="590">
        <v>37</v>
      </c>
      <c r="L91" s="590">
        <v>35</v>
      </c>
      <c r="M91" s="588">
        <v>56</v>
      </c>
      <c r="N91" s="593">
        <v>38</v>
      </c>
      <c r="O91" s="590">
        <f t="shared" si="4"/>
        <v>207</v>
      </c>
      <c r="P91" s="626">
        <v>49</v>
      </c>
      <c r="Q91" s="626">
        <v>32</v>
      </c>
      <c r="R91" s="626">
        <v>45</v>
      </c>
      <c r="S91" s="626">
        <v>30</v>
      </c>
      <c r="T91" s="626">
        <v>43</v>
      </c>
      <c r="U91" s="626">
        <v>30</v>
      </c>
      <c r="V91" s="626">
        <v>41</v>
      </c>
      <c r="W91" s="626">
        <v>30</v>
      </c>
      <c r="X91" s="626">
        <v>35</v>
      </c>
      <c r="Y91" s="627">
        <v>30</v>
      </c>
      <c r="Z91" s="628">
        <f t="shared" si="3"/>
        <v>365</v>
      </c>
    </row>
    <row r="92" spans="1:26" s="591" customFormat="1" ht="19" thickBot="1">
      <c r="A92" s="583">
        <v>289</v>
      </c>
      <c r="B92" s="584" t="s">
        <v>765</v>
      </c>
      <c r="C92" s="584" t="s">
        <v>766</v>
      </c>
      <c r="D92" s="584" t="s">
        <v>767</v>
      </c>
      <c r="E92" s="585" t="s">
        <v>768</v>
      </c>
      <c r="F92" s="583">
        <v>314136817</v>
      </c>
      <c r="G92" s="583">
        <v>1213</v>
      </c>
      <c r="H92" s="606" t="s">
        <v>1649</v>
      </c>
      <c r="I92" s="607" t="s">
        <v>2059</v>
      </c>
      <c r="J92" s="592">
        <v>35</v>
      </c>
      <c r="K92" s="590">
        <v>39</v>
      </c>
      <c r="L92" s="590">
        <v>34</v>
      </c>
      <c r="M92" s="588">
        <v>55</v>
      </c>
      <c r="N92" s="593">
        <v>37</v>
      </c>
      <c r="O92" s="590">
        <f t="shared" si="4"/>
        <v>200</v>
      </c>
      <c r="P92" s="626">
        <v>42</v>
      </c>
      <c r="Q92" s="626">
        <v>30</v>
      </c>
      <c r="R92" s="626">
        <v>42</v>
      </c>
      <c r="S92" s="626">
        <v>30</v>
      </c>
      <c r="T92" s="626">
        <v>43</v>
      </c>
      <c r="U92" s="626">
        <v>30</v>
      </c>
      <c r="V92" s="626">
        <v>46</v>
      </c>
      <c r="W92" s="626">
        <v>35</v>
      </c>
      <c r="X92" s="626">
        <v>46</v>
      </c>
      <c r="Y92" s="627">
        <v>37</v>
      </c>
      <c r="Z92" s="628">
        <f t="shared" si="3"/>
        <v>381</v>
      </c>
    </row>
    <row r="93" spans="1:26" s="591" customFormat="1" ht="19" thickBot="1">
      <c r="A93" s="583">
        <v>290</v>
      </c>
      <c r="B93" s="584" t="s">
        <v>1167</v>
      </c>
      <c r="C93" s="584" t="s">
        <v>1168</v>
      </c>
      <c r="D93" s="584" t="s">
        <v>1169</v>
      </c>
      <c r="E93" s="585" t="s">
        <v>769</v>
      </c>
      <c r="F93" s="583">
        <v>317261064</v>
      </c>
      <c r="G93" s="583">
        <v>1347</v>
      </c>
      <c r="H93" s="606" t="s">
        <v>1649</v>
      </c>
      <c r="I93" s="607" t="s">
        <v>2059</v>
      </c>
      <c r="J93" s="592">
        <v>36</v>
      </c>
      <c r="K93" s="590">
        <v>39</v>
      </c>
      <c r="L93" s="590">
        <v>37</v>
      </c>
      <c r="M93" s="588">
        <v>38</v>
      </c>
      <c r="N93" s="593">
        <v>37</v>
      </c>
      <c r="O93" s="590">
        <f t="shared" si="4"/>
        <v>187</v>
      </c>
      <c r="P93" s="626">
        <v>31</v>
      </c>
      <c r="Q93" s="626">
        <v>30</v>
      </c>
      <c r="R93" s="626">
        <v>36</v>
      </c>
      <c r="S93" s="626">
        <v>30</v>
      </c>
      <c r="T93" s="626">
        <v>35</v>
      </c>
      <c r="U93" s="626">
        <v>30</v>
      </c>
      <c r="V93" s="626">
        <v>36</v>
      </c>
      <c r="W93" s="626">
        <v>30</v>
      </c>
      <c r="X93" s="626">
        <v>32</v>
      </c>
      <c r="Y93" s="627">
        <v>34</v>
      </c>
      <c r="Z93" s="628">
        <f t="shared" si="3"/>
        <v>324</v>
      </c>
    </row>
    <row r="94" spans="1:26" s="591" customFormat="1" ht="19" thickBot="1">
      <c r="A94" s="583">
        <v>291</v>
      </c>
      <c r="B94" s="584" t="s">
        <v>770</v>
      </c>
      <c r="C94" s="584" t="s">
        <v>771</v>
      </c>
      <c r="D94" s="584" t="s">
        <v>772</v>
      </c>
      <c r="E94" s="585" t="s">
        <v>773</v>
      </c>
      <c r="F94" s="583">
        <v>317564917</v>
      </c>
      <c r="G94" s="583">
        <v>1198</v>
      </c>
      <c r="H94" s="606" t="s">
        <v>1649</v>
      </c>
      <c r="I94" s="607" t="s">
        <v>2059</v>
      </c>
      <c r="J94" s="592">
        <v>36</v>
      </c>
      <c r="K94" s="590">
        <v>36</v>
      </c>
      <c r="L94" s="590">
        <v>34</v>
      </c>
      <c r="M94" s="588">
        <v>55</v>
      </c>
      <c r="N94" s="593">
        <v>34</v>
      </c>
      <c r="O94" s="590">
        <f t="shared" si="4"/>
        <v>195</v>
      </c>
      <c r="P94" s="626">
        <v>46</v>
      </c>
      <c r="Q94" s="626">
        <v>30</v>
      </c>
      <c r="R94" s="626">
        <v>41</v>
      </c>
      <c r="S94" s="626">
        <v>30</v>
      </c>
      <c r="T94" s="626">
        <v>43</v>
      </c>
      <c r="U94" s="626">
        <v>30</v>
      </c>
      <c r="V94" s="626">
        <v>40</v>
      </c>
      <c r="W94" s="626">
        <v>35</v>
      </c>
      <c r="X94" s="626">
        <v>38</v>
      </c>
      <c r="Y94" s="627">
        <v>36</v>
      </c>
      <c r="Z94" s="628">
        <f t="shared" si="3"/>
        <v>369</v>
      </c>
    </row>
    <row r="95" spans="1:26" s="591" customFormat="1" ht="19" thickBot="1">
      <c r="A95" s="583">
        <v>292</v>
      </c>
      <c r="B95" s="584" t="s">
        <v>774</v>
      </c>
      <c r="C95" s="584" t="s">
        <v>775</v>
      </c>
      <c r="D95" s="584" t="s">
        <v>776</v>
      </c>
      <c r="E95" s="585" t="s">
        <v>777</v>
      </c>
      <c r="F95" s="583">
        <v>304706754</v>
      </c>
      <c r="G95" s="583">
        <v>1640</v>
      </c>
      <c r="H95" s="606" t="s">
        <v>1649</v>
      </c>
      <c r="I95" s="607" t="s">
        <v>2059</v>
      </c>
      <c r="J95" s="592">
        <v>46</v>
      </c>
      <c r="K95" s="590">
        <v>31</v>
      </c>
      <c r="L95" s="590">
        <v>47</v>
      </c>
      <c r="M95" s="588">
        <v>30</v>
      </c>
      <c r="N95" s="593">
        <v>36</v>
      </c>
      <c r="O95" s="590">
        <f t="shared" si="4"/>
        <v>190</v>
      </c>
      <c r="P95" s="626">
        <v>39</v>
      </c>
      <c r="Q95" s="626">
        <v>34</v>
      </c>
      <c r="R95" s="626">
        <v>38</v>
      </c>
      <c r="S95" s="626">
        <v>30</v>
      </c>
      <c r="T95" s="626">
        <v>43</v>
      </c>
      <c r="U95" s="626">
        <v>35</v>
      </c>
      <c r="V95" s="626">
        <v>38</v>
      </c>
      <c r="W95" s="626">
        <v>30</v>
      </c>
      <c r="X95" s="626">
        <v>36</v>
      </c>
      <c r="Y95" s="627">
        <v>32</v>
      </c>
      <c r="Z95" s="628">
        <f t="shared" si="3"/>
        <v>355</v>
      </c>
    </row>
    <row r="96" spans="1:26" s="583" customFormat="1" ht="19" thickBot="1">
      <c r="A96" s="583">
        <v>293</v>
      </c>
      <c r="B96" s="591" t="s">
        <v>933</v>
      </c>
      <c r="C96" s="591" t="s">
        <v>934</v>
      </c>
      <c r="D96" s="591" t="s">
        <v>935</v>
      </c>
      <c r="E96" s="612" t="s">
        <v>936</v>
      </c>
      <c r="F96" s="97">
        <v>310282307</v>
      </c>
      <c r="G96" s="97">
        <v>1261</v>
      </c>
      <c r="H96" s="606" t="s">
        <v>1649</v>
      </c>
      <c r="I96" s="607" t="s">
        <v>2059</v>
      </c>
      <c r="J96" s="592">
        <v>44</v>
      </c>
      <c r="K96" s="590">
        <v>35</v>
      </c>
      <c r="L96" s="590">
        <v>45</v>
      </c>
      <c r="M96" s="588">
        <v>35</v>
      </c>
      <c r="N96" s="593">
        <v>40</v>
      </c>
      <c r="O96" s="590">
        <f t="shared" si="4"/>
        <v>199</v>
      </c>
      <c r="P96" s="626">
        <v>48</v>
      </c>
      <c r="Q96" s="626">
        <v>32</v>
      </c>
      <c r="R96" s="626">
        <v>49</v>
      </c>
      <c r="S96" s="626">
        <v>36</v>
      </c>
      <c r="T96" s="626">
        <v>51</v>
      </c>
      <c r="U96" s="626">
        <v>33</v>
      </c>
      <c r="V96" s="626">
        <v>48</v>
      </c>
      <c r="W96" s="626">
        <v>36</v>
      </c>
      <c r="X96" s="626">
        <v>48</v>
      </c>
      <c r="Y96" s="627">
        <v>32</v>
      </c>
      <c r="Z96" s="628">
        <f t="shared" si="3"/>
        <v>413</v>
      </c>
    </row>
    <row r="97" spans="1:26" s="601" customFormat="1" ht="19" thickBot="1">
      <c r="A97" s="583">
        <v>294</v>
      </c>
      <c r="B97" s="584" t="s">
        <v>44</v>
      </c>
      <c r="C97" s="584" t="s">
        <v>3332</v>
      </c>
      <c r="D97" s="584" t="s">
        <v>778</v>
      </c>
      <c r="E97" s="585" t="s">
        <v>1170</v>
      </c>
      <c r="F97" s="583">
        <v>316797092</v>
      </c>
      <c r="G97" s="583">
        <v>1379</v>
      </c>
      <c r="H97" s="606" t="s">
        <v>1649</v>
      </c>
      <c r="I97" s="607" t="s">
        <v>2059</v>
      </c>
      <c r="J97" s="623">
        <v>38</v>
      </c>
      <c r="K97" s="624">
        <v>37</v>
      </c>
      <c r="L97" s="624">
        <v>47</v>
      </c>
      <c r="M97" s="588">
        <v>39</v>
      </c>
      <c r="N97" s="625">
        <v>40</v>
      </c>
      <c r="O97" s="590">
        <f t="shared" si="4"/>
        <v>201</v>
      </c>
      <c r="P97" s="626">
        <v>37</v>
      </c>
      <c r="Q97" s="626">
        <v>30</v>
      </c>
      <c r="R97" s="626">
        <v>43</v>
      </c>
      <c r="S97" s="626">
        <v>30</v>
      </c>
      <c r="T97" s="626">
        <v>43</v>
      </c>
      <c r="U97" s="626">
        <v>34</v>
      </c>
      <c r="V97" s="626">
        <v>37</v>
      </c>
      <c r="W97" s="626">
        <v>30</v>
      </c>
      <c r="X97" s="626">
        <v>35</v>
      </c>
      <c r="Y97" s="627">
        <v>33</v>
      </c>
      <c r="Z97" s="628">
        <f t="shared" si="3"/>
        <v>352</v>
      </c>
    </row>
  </sheetData>
  <mergeCells count="4">
    <mergeCell ref="A1:J1"/>
    <mergeCell ref="A2:I2"/>
    <mergeCell ref="J2:N2"/>
    <mergeCell ref="P2:Z2"/>
  </mergeCells>
  <phoneticPr fontId="77" type="noConversion"/>
  <pageMargins left="0" right="0" top="0" bottom="0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tabColor rgb="FFC00000"/>
  </sheetPr>
  <dimension ref="A1:Z76"/>
  <sheetViews>
    <sheetView topLeftCell="C4" workbookViewId="0">
      <selection activeCell="D5" sqref="D5:D11"/>
    </sheetView>
  </sheetViews>
  <sheetFormatPr defaultRowHeight="14.5"/>
  <cols>
    <col min="2" max="2" width="29.1796875" customWidth="1"/>
    <col min="3" max="3" width="34.1796875" customWidth="1"/>
    <col min="4" max="4" width="27" customWidth="1"/>
    <col min="5" max="5" width="12.81640625" style="250" customWidth="1"/>
    <col min="6" max="6" width="18.54296875" customWidth="1"/>
    <col min="7" max="7" width="7.54296875" customWidth="1"/>
    <col min="8" max="8" width="8.81640625" style="12"/>
    <col min="10" max="10" width="10.453125" style="3" customWidth="1"/>
    <col min="11" max="14" width="10.453125" style="12" customWidth="1"/>
  </cols>
  <sheetData>
    <row r="1" spans="1:26" ht="21.5" thickBot="1">
      <c r="J1" s="1218" t="s">
        <v>75</v>
      </c>
      <c r="K1" s="1218"/>
      <c r="L1" s="1218"/>
      <c r="M1" s="1218"/>
      <c r="N1" s="1218"/>
      <c r="P1" s="1222" t="s">
        <v>506</v>
      </c>
      <c r="Q1" s="1222"/>
      <c r="R1" s="1222"/>
      <c r="S1" s="1222"/>
      <c r="T1" s="1222"/>
      <c r="U1" s="1222"/>
      <c r="V1" s="1222"/>
      <c r="W1" s="1222"/>
      <c r="X1" s="1222"/>
      <c r="Y1" s="1222"/>
      <c r="Z1" s="1222"/>
    </row>
    <row r="2" spans="1:26" s="377" customFormat="1" ht="38" thickTop="1">
      <c r="A2" s="1" t="s">
        <v>0</v>
      </c>
      <c r="B2" s="1" t="s">
        <v>1</v>
      </c>
      <c r="C2" s="1" t="s">
        <v>2</v>
      </c>
      <c r="D2" s="1" t="s">
        <v>3</v>
      </c>
      <c r="E2" s="376" t="s">
        <v>4</v>
      </c>
      <c r="F2" s="1" t="s">
        <v>5</v>
      </c>
      <c r="G2" s="4" t="s">
        <v>6</v>
      </c>
      <c r="H2" s="244" t="s">
        <v>7</v>
      </c>
      <c r="I2" s="244" t="s">
        <v>8</v>
      </c>
      <c r="J2" s="498" t="s">
        <v>3440</v>
      </c>
      <c r="K2" s="498" t="s">
        <v>10</v>
      </c>
      <c r="L2" s="498" t="s">
        <v>3251</v>
      </c>
      <c r="M2" s="498" t="s">
        <v>3254</v>
      </c>
      <c r="N2" s="498" t="s">
        <v>3437</v>
      </c>
      <c r="O2" s="498" t="s">
        <v>3448</v>
      </c>
      <c r="P2" s="629" t="s">
        <v>3440</v>
      </c>
      <c r="Q2" s="629" t="s">
        <v>74</v>
      </c>
      <c r="R2" s="629" t="s">
        <v>3445</v>
      </c>
      <c r="S2" s="629" t="s">
        <v>74</v>
      </c>
      <c r="T2" s="629" t="s">
        <v>3251</v>
      </c>
      <c r="U2" s="629" t="s">
        <v>74</v>
      </c>
      <c r="V2" s="629" t="s">
        <v>3254</v>
      </c>
      <c r="W2" s="629" t="s">
        <v>74</v>
      </c>
      <c r="X2" s="629" t="s">
        <v>3454</v>
      </c>
      <c r="Y2" s="629" t="s">
        <v>74</v>
      </c>
      <c r="Z2" s="634" t="s">
        <v>3448</v>
      </c>
    </row>
    <row r="3" spans="1:26" ht="18.5">
      <c r="A3" s="254">
        <v>301</v>
      </c>
      <c r="B3" s="7" t="s">
        <v>1457</v>
      </c>
      <c r="C3" s="7" t="s">
        <v>1458</v>
      </c>
      <c r="D3" s="7" t="s">
        <v>224</v>
      </c>
      <c r="E3" s="13" t="s">
        <v>1459</v>
      </c>
      <c r="F3" s="14">
        <v>305598422</v>
      </c>
      <c r="G3" s="14">
        <v>1087</v>
      </c>
      <c r="H3" s="16" t="s">
        <v>489</v>
      </c>
      <c r="I3" s="255" t="s">
        <v>2059</v>
      </c>
      <c r="J3" s="14">
        <v>60</v>
      </c>
      <c r="K3" s="16">
        <v>59</v>
      </c>
      <c r="L3" s="16">
        <v>57</v>
      </c>
      <c r="M3" s="16">
        <v>60</v>
      </c>
      <c r="N3" s="16">
        <v>59</v>
      </c>
      <c r="O3" s="520">
        <f>J3+K3+L3+M3</f>
        <v>236</v>
      </c>
      <c r="P3" s="626">
        <v>60</v>
      </c>
      <c r="Q3" s="626">
        <v>39</v>
      </c>
      <c r="R3" s="626">
        <v>58</v>
      </c>
      <c r="S3" s="626">
        <v>39</v>
      </c>
      <c r="T3" s="626">
        <v>59</v>
      </c>
      <c r="U3" s="626">
        <v>37</v>
      </c>
      <c r="V3" s="626">
        <v>58</v>
      </c>
      <c r="W3" s="626">
        <v>39</v>
      </c>
      <c r="X3" s="626">
        <v>60</v>
      </c>
      <c r="Y3" s="631">
        <v>39</v>
      </c>
      <c r="Z3" s="628">
        <f>SUM(P3:Y3)</f>
        <v>488</v>
      </c>
    </row>
    <row r="4" spans="1:26" ht="18.5">
      <c r="A4" s="254">
        <v>302</v>
      </c>
      <c r="B4" s="7" t="s">
        <v>1460</v>
      </c>
      <c r="C4" s="7" t="s">
        <v>1461</v>
      </c>
      <c r="D4" s="7" t="s">
        <v>3333</v>
      </c>
      <c r="E4" s="13" t="s">
        <v>1462</v>
      </c>
      <c r="F4" s="14">
        <v>306644021</v>
      </c>
      <c r="G4" s="14">
        <v>1237</v>
      </c>
      <c r="H4" s="16" t="s">
        <v>489</v>
      </c>
      <c r="I4" s="255" t="s">
        <v>2059</v>
      </c>
      <c r="J4" s="14">
        <v>55</v>
      </c>
      <c r="K4" s="16">
        <v>41</v>
      </c>
      <c r="L4" s="16">
        <v>50</v>
      </c>
      <c r="M4" s="16">
        <v>44</v>
      </c>
      <c r="N4" s="16">
        <v>55</v>
      </c>
      <c r="O4" s="520">
        <f t="shared" ref="O4:O67" si="0">J4+K4+L4+M4</f>
        <v>190</v>
      </c>
      <c r="P4" s="626">
        <v>57</v>
      </c>
      <c r="Q4" s="626">
        <v>37</v>
      </c>
      <c r="R4" s="626">
        <v>56</v>
      </c>
      <c r="S4" s="626">
        <v>32</v>
      </c>
      <c r="T4" s="626">
        <v>51</v>
      </c>
      <c r="U4" s="626">
        <v>35</v>
      </c>
      <c r="V4" s="626">
        <v>56</v>
      </c>
      <c r="W4" s="626">
        <v>35</v>
      </c>
      <c r="X4" s="626">
        <v>59</v>
      </c>
      <c r="Y4" s="631">
        <v>38</v>
      </c>
      <c r="Z4" s="628">
        <f t="shared" ref="Z4:Z67" si="1">SUM(P4:Y4)</f>
        <v>456</v>
      </c>
    </row>
    <row r="5" spans="1:26" ht="18.5">
      <c r="A5" s="254">
        <v>303</v>
      </c>
      <c r="B5" s="7" t="s">
        <v>1463</v>
      </c>
      <c r="C5" s="7" t="s">
        <v>1464</v>
      </c>
      <c r="D5" s="7" t="s">
        <v>1465</v>
      </c>
      <c r="E5" s="13" t="s">
        <v>1466</v>
      </c>
      <c r="F5" s="14">
        <v>311762946</v>
      </c>
      <c r="G5" s="14">
        <v>1441</v>
      </c>
      <c r="H5" s="16" t="s">
        <v>489</v>
      </c>
      <c r="I5" s="255" t="s">
        <v>2059</v>
      </c>
      <c r="J5" s="14">
        <v>56</v>
      </c>
      <c r="K5" s="16">
        <v>57</v>
      </c>
      <c r="L5" s="16">
        <v>58</v>
      </c>
      <c r="M5" s="16">
        <v>57</v>
      </c>
      <c r="N5" s="16">
        <v>58</v>
      </c>
      <c r="O5" s="520">
        <f t="shared" si="0"/>
        <v>228</v>
      </c>
      <c r="P5" s="626">
        <v>59</v>
      </c>
      <c r="Q5" s="626">
        <v>38</v>
      </c>
      <c r="R5" s="626">
        <v>57</v>
      </c>
      <c r="S5" s="626">
        <v>37</v>
      </c>
      <c r="T5" s="626">
        <v>57</v>
      </c>
      <c r="U5" s="626">
        <v>37</v>
      </c>
      <c r="V5" s="626">
        <v>60</v>
      </c>
      <c r="W5" s="626">
        <v>38</v>
      </c>
      <c r="X5" s="626">
        <v>59</v>
      </c>
      <c r="Y5" s="631">
        <v>38</v>
      </c>
      <c r="Z5" s="628">
        <f t="shared" si="1"/>
        <v>480</v>
      </c>
    </row>
    <row r="6" spans="1:26" ht="18.5">
      <c r="A6" s="254">
        <v>304</v>
      </c>
      <c r="B6" s="7" t="s">
        <v>1467</v>
      </c>
      <c r="C6" s="7" t="s">
        <v>937</v>
      </c>
      <c r="D6" s="7" t="s">
        <v>456</v>
      </c>
      <c r="E6" s="13" t="s">
        <v>1468</v>
      </c>
      <c r="F6" s="14">
        <v>317565579</v>
      </c>
      <c r="G6" s="14">
        <v>1443</v>
      </c>
      <c r="H6" s="16" t="s">
        <v>489</v>
      </c>
      <c r="I6" s="255" t="s">
        <v>2059</v>
      </c>
      <c r="J6" s="14">
        <v>59</v>
      </c>
      <c r="K6" s="16">
        <v>53</v>
      </c>
      <c r="L6" s="16">
        <v>55</v>
      </c>
      <c r="M6" s="16">
        <v>52</v>
      </c>
      <c r="N6" s="16">
        <v>56</v>
      </c>
      <c r="O6" s="520">
        <f t="shared" si="0"/>
        <v>219</v>
      </c>
      <c r="P6" s="626">
        <v>58</v>
      </c>
      <c r="Q6" s="626">
        <v>38</v>
      </c>
      <c r="R6" s="626">
        <v>51</v>
      </c>
      <c r="S6" s="626">
        <v>36</v>
      </c>
      <c r="T6" s="626">
        <v>52</v>
      </c>
      <c r="U6" s="626">
        <v>36</v>
      </c>
      <c r="V6" s="626">
        <v>56</v>
      </c>
      <c r="W6" s="626">
        <v>35</v>
      </c>
      <c r="X6" s="626">
        <v>59</v>
      </c>
      <c r="Y6" s="631">
        <v>38</v>
      </c>
      <c r="Z6" s="628">
        <f t="shared" si="1"/>
        <v>459</v>
      </c>
    </row>
    <row r="7" spans="1:26" ht="18.5">
      <c r="A7" s="254">
        <v>305</v>
      </c>
      <c r="B7" s="7" t="s">
        <v>1469</v>
      </c>
      <c r="C7" s="7" t="s">
        <v>1470</v>
      </c>
      <c r="D7" s="7" t="s">
        <v>3037</v>
      </c>
      <c r="E7" s="13" t="s">
        <v>1471</v>
      </c>
      <c r="F7" s="14">
        <v>320526206</v>
      </c>
      <c r="G7" s="14">
        <v>1297</v>
      </c>
      <c r="H7" s="16" t="s">
        <v>489</v>
      </c>
      <c r="I7" s="255" t="s">
        <v>2059</v>
      </c>
      <c r="J7" s="14">
        <v>58</v>
      </c>
      <c r="K7" s="16">
        <v>60</v>
      </c>
      <c r="L7" s="16">
        <v>60</v>
      </c>
      <c r="M7" s="16">
        <v>60</v>
      </c>
      <c r="N7" s="16">
        <v>59</v>
      </c>
      <c r="O7" s="520">
        <f t="shared" si="0"/>
        <v>238</v>
      </c>
      <c r="P7" s="626">
        <v>59</v>
      </c>
      <c r="Q7" s="626">
        <v>38</v>
      </c>
      <c r="R7" s="626">
        <v>59</v>
      </c>
      <c r="S7" s="626">
        <v>39</v>
      </c>
      <c r="T7" s="626">
        <v>60</v>
      </c>
      <c r="U7" s="626">
        <v>39</v>
      </c>
      <c r="V7" s="626">
        <v>60</v>
      </c>
      <c r="W7" s="626">
        <v>39</v>
      </c>
      <c r="X7" s="626">
        <v>60</v>
      </c>
      <c r="Y7" s="631">
        <v>39</v>
      </c>
      <c r="Z7" s="628">
        <f t="shared" si="1"/>
        <v>492</v>
      </c>
    </row>
    <row r="8" spans="1:26" ht="18.5">
      <c r="A8" s="254">
        <v>306</v>
      </c>
      <c r="B8" s="7" t="s">
        <v>1472</v>
      </c>
      <c r="C8" s="7" t="s">
        <v>3334</v>
      </c>
      <c r="D8" s="7" t="s">
        <v>1269</v>
      </c>
      <c r="E8" s="13" t="s">
        <v>1473</v>
      </c>
      <c r="F8" s="14">
        <v>311762947</v>
      </c>
      <c r="G8" s="14">
        <v>1150</v>
      </c>
      <c r="H8" s="16" t="s">
        <v>489</v>
      </c>
      <c r="I8" s="255" t="s">
        <v>2059</v>
      </c>
      <c r="J8" s="14">
        <v>49</v>
      </c>
      <c r="K8" s="16">
        <v>38</v>
      </c>
      <c r="L8" s="16">
        <v>43</v>
      </c>
      <c r="M8" s="16">
        <v>39</v>
      </c>
      <c r="N8" s="16">
        <v>48</v>
      </c>
      <c r="O8" s="520">
        <f t="shared" si="0"/>
        <v>169</v>
      </c>
      <c r="P8" s="626">
        <v>48</v>
      </c>
      <c r="Q8" s="626">
        <v>33</v>
      </c>
      <c r="R8" s="626">
        <v>37</v>
      </c>
      <c r="S8" s="626">
        <v>30</v>
      </c>
      <c r="T8" s="626">
        <v>45</v>
      </c>
      <c r="U8" s="626">
        <v>31</v>
      </c>
      <c r="V8" s="626">
        <v>50</v>
      </c>
      <c r="W8" s="626">
        <v>30</v>
      </c>
      <c r="X8" s="626">
        <v>55</v>
      </c>
      <c r="Y8" s="631">
        <v>37</v>
      </c>
      <c r="Z8" s="628">
        <f t="shared" si="1"/>
        <v>396</v>
      </c>
    </row>
    <row r="9" spans="1:26" ht="18.5">
      <c r="A9" s="254">
        <v>307</v>
      </c>
      <c r="B9" s="7" t="s">
        <v>1474</v>
      </c>
      <c r="C9" s="7" t="s">
        <v>1271</v>
      </c>
      <c r="D9" s="7" t="s">
        <v>1475</v>
      </c>
      <c r="E9" s="13" t="s">
        <v>1476</v>
      </c>
      <c r="F9" s="14">
        <v>310379567</v>
      </c>
      <c r="G9" s="14">
        <v>1468</v>
      </c>
      <c r="H9" s="16" t="s">
        <v>489</v>
      </c>
      <c r="I9" s="255" t="s">
        <v>2059</v>
      </c>
      <c r="J9" s="14">
        <v>51</v>
      </c>
      <c r="K9" s="16">
        <v>43</v>
      </c>
      <c r="L9" s="16">
        <v>31</v>
      </c>
      <c r="M9" s="16">
        <v>38</v>
      </c>
      <c r="N9" s="16">
        <v>55</v>
      </c>
      <c r="O9" s="520">
        <f t="shared" si="0"/>
        <v>163</v>
      </c>
      <c r="P9" s="626">
        <v>55</v>
      </c>
      <c r="Q9" s="626">
        <v>35</v>
      </c>
      <c r="R9" s="626">
        <v>36</v>
      </c>
      <c r="S9" s="626">
        <v>32</v>
      </c>
      <c r="T9" s="626">
        <v>36</v>
      </c>
      <c r="U9" s="626">
        <v>30</v>
      </c>
      <c r="V9" s="626">
        <v>43</v>
      </c>
      <c r="W9" s="626">
        <v>31</v>
      </c>
      <c r="X9" s="626">
        <v>57</v>
      </c>
      <c r="Y9" s="631">
        <v>37</v>
      </c>
      <c r="Z9" s="628">
        <f t="shared" si="1"/>
        <v>392</v>
      </c>
    </row>
    <row r="10" spans="1:26" ht="18.5">
      <c r="A10" s="254">
        <v>308</v>
      </c>
      <c r="B10" s="7" t="s">
        <v>1477</v>
      </c>
      <c r="C10" s="7" t="s">
        <v>1478</v>
      </c>
      <c r="D10" s="7" t="s">
        <v>408</v>
      </c>
      <c r="E10" s="13" t="s">
        <v>1479</v>
      </c>
      <c r="F10" s="14">
        <v>316953434</v>
      </c>
      <c r="G10" s="14">
        <v>1170</v>
      </c>
      <c r="H10" s="16" t="s">
        <v>489</v>
      </c>
      <c r="I10" s="255" t="s">
        <v>2059</v>
      </c>
      <c r="J10" s="14">
        <v>56</v>
      </c>
      <c r="K10" s="16">
        <v>48</v>
      </c>
      <c r="L10" s="16">
        <v>59</v>
      </c>
      <c r="M10" s="16">
        <v>52</v>
      </c>
      <c r="N10" s="16">
        <v>57</v>
      </c>
      <c r="O10" s="520">
        <f t="shared" si="0"/>
        <v>215</v>
      </c>
      <c r="P10" s="626">
        <v>55</v>
      </c>
      <c r="Q10" s="626">
        <v>35</v>
      </c>
      <c r="R10" s="626">
        <v>47</v>
      </c>
      <c r="S10" s="626">
        <v>35</v>
      </c>
      <c r="T10" s="626">
        <v>48</v>
      </c>
      <c r="U10" s="626">
        <v>38</v>
      </c>
      <c r="V10" s="626">
        <v>47</v>
      </c>
      <c r="W10" s="626">
        <v>35</v>
      </c>
      <c r="X10" s="626">
        <v>57</v>
      </c>
      <c r="Y10" s="631">
        <v>36</v>
      </c>
      <c r="Z10" s="628">
        <f t="shared" si="1"/>
        <v>433</v>
      </c>
    </row>
    <row r="11" spans="1:26" ht="18.5">
      <c r="A11" s="254">
        <v>309</v>
      </c>
      <c r="B11" s="7" t="s">
        <v>1480</v>
      </c>
      <c r="C11" s="7" t="s">
        <v>1481</v>
      </c>
      <c r="D11" s="7" t="s">
        <v>924</v>
      </c>
      <c r="E11" s="13" t="s">
        <v>1482</v>
      </c>
      <c r="F11" s="14">
        <v>307250663</v>
      </c>
      <c r="G11" s="14">
        <v>1178</v>
      </c>
      <c r="H11" s="16" t="s">
        <v>489</v>
      </c>
      <c r="I11" s="255" t="s">
        <v>2059</v>
      </c>
      <c r="J11" s="14">
        <v>58</v>
      </c>
      <c r="K11" s="16">
        <v>48</v>
      </c>
      <c r="L11" s="16">
        <v>52</v>
      </c>
      <c r="M11" s="16">
        <v>53</v>
      </c>
      <c r="N11" s="16">
        <v>58</v>
      </c>
      <c r="O11" s="520">
        <f t="shared" si="0"/>
        <v>211</v>
      </c>
      <c r="P11" s="626">
        <v>54</v>
      </c>
      <c r="Q11" s="626">
        <v>38</v>
      </c>
      <c r="R11" s="626">
        <v>47</v>
      </c>
      <c r="S11" s="626">
        <v>35</v>
      </c>
      <c r="T11" s="626">
        <v>48</v>
      </c>
      <c r="U11" s="626">
        <v>35</v>
      </c>
      <c r="V11" s="626">
        <v>53</v>
      </c>
      <c r="W11" s="626">
        <v>36</v>
      </c>
      <c r="X11" s="626">
        <v>57</v>
      </c>
      <c r="Y11" s="631">
        <v>37</v>
      </c>
      <c r="Z11" s="628">
        <f t="shared" si="1"/>
        <v>440</v>
      </c>
    </row>
    <row r="12" spans="1:26" ht="18.5">
      <c r="A12" s="254">
        <v>310</v>
      </c>
      <c r="B12" s="7" t="s">
        <v>1483</v>
      </c>
      <c r="C12" s="7" t="s">
        <v>1484</v>
      </c>
      <c r="D12" s="7" t="s">
        <v>1485</v>
      </c>
      <c r="E12" s="13" t="s">
        <v>1486</v>
      </c>
      <c r="F12" s="14">
        <v>304862604</v>
      </c>
      <c r="G12" s="14">
        <v>1207</v>
      </c>
      <c r="H12" s="16" t="s">
        <v>489</v>
      </c>
      <c r="I12" s="255" t="s">
        <v>2059</v>
      </c>
      <c r="J12" s="14">
        <v>48</v>
      </c>
      <c r="K12" s="16">
        <v>39</v>
      </c>
      <c r="L12" s="16">
        <v>49</v>
      </c>
      <c r="M12" s="16">
        <v>42</v>
      </c>
      <c r="N12" s="16">
        <v>49</v>
      </c>
      <c r="O12" s="520">
        <f t="shared" si="0"/>
        <v>178</v>
      </c>
      <c r="P12" s="626">
        <v>52</v>
      </c>
      <c r="Q12" s="626">
        <v>35</v>
      </c>
      <c r="R12" s="626">
        <v>49</v>
      </c>
      <c r="S12" s="626">
        <v>30</v>
      </c>
      <c r="T12" s="626">
        <v>42</v>
      </c>
      <c r="U12" s="626">
        <v>34</v>
      </c>
      <c r="V12" s="626">
        <v>49</v>
      </c>
      <c r="W12" s="626">
        <v>32</v>
      </c>
      <c r="X12" s="626">
        <v>56</v>
      </c>
      <c r="Y12" s="631">
        <v>37</v>
      </c>
      <c r="Z12" s="628">
        <f t="shared" si="1"/>
        <v>416</v>
      </c>
    </row>
    <row r="13" spans="1:26" ht="18.5">
      <c r="A13" s="254">
        <v>311</v>
      </c>
      <c r="B13" s="7" t="s">
        <v>1487</v>
      </c>
      <c r="C13" s="7" t="s">
        <v>3493</v>
      </c>
      <c r="D13" s="7" t="s">
        <v>3335</v>
      </c>
      <c r="E13" s="13" t="s">
        <v>422</v>
      </c>
      <c r="F13" s="14">
        <v>304482213</v>
      </c>
      <c r="G13" s="14">
        <v>1247</v>
      </c>
      <c r="H13" s="16" t="s">
        <v>489</v>
      </c>
      <c r="I13" s="255" t="s">
        <v>2059</v>
      </c>
      <c r="J13" s="14">
        <v>57</v>
      </c>
      <c r="K13" s="16">
        <v>58</v>
      </c>
      <c r="L13" s="16">
        <v>52</v>
      </c>
      <c r="M13" s="16">
        <v>53</v>
      </c>
      <c r="N13" s="16">
        <v>59</v>
      </c>
      <c r="O13" s="520">
        <f t="shared" si="0"/>
        <v>220</v>
      </c>
      <c r="P13" s="626">
        <v>58</v>
      </c>
      <c r="Q13" s="626">
        <v>38</v>
      </c>
      <c r="R13" s="626">
        <v>55</v>
      </c>
      <c r="S13" s="626">
        <v>37</v>
      </c>
      <c r="T13" s="626">
        <v>52</v>
      </c>
      <c r="U13" s="626">
        <v>36</v>
      </c>
      <c r="V13" s="626">
        <v>57</v>
      </c>
      <c r="W13" s="626">
        <v>36</v>
      </c>
      <c r="X13" s="626">
        <v>58</v>
      </c>
      <c r="Y13" s="631">
        <v>37</v>
      </c>
      <c r="Z13" s="628">
        <f t="shared" si="1"/>
        <v>464</v>
      </c>
    </row>
    <row r="14" spans="1:26" ht="18.5">
      <c r="A14" s="254">
        <v>312</v>
      </c>
      <c r="B14" s="7" t="s">
        <v>3336</v>
      </c>
      <c r="C14" s="7" t="s">
        <v>3337</v>
      </c>
      <c r="D14" s="7" t="s">
        <v>3338</v>
      </c>
      <c r="E14" s="13" t="s">
        <v>1488</v>
      </c>
      <c r="F14" s="14">
        <v>308409827</v>
      </c>
      <c r="G14" s="14">
        <v>1065</v>
      </c>
      <c r="H14" s="16" t="s">
        <v>489</v>
      </c>
      <c r="I14" s="255" t="s">
        <v>2059</v>
      </c>
      <c r="J14" s="14">
        <v>55</v>
      </c>
      <c r="K14" s="16">
        <v>57</v>
      </c>
      <c r="L14" s="16">
        <v>44</v>
      </c>
      <c r="M14" s="16">
        <v>56</v>
      </c>
      <c r="N14" s="16">
        <v>55</v>
      </c>
      <c r="O14" s="520">
        <f t="shared" si="0"/>
        <v>212</v>
      </c>
      <c r="P14" s="626">
        <v>53</v>
      </c>
      <c r="Q14" s="626">
        <v>37</v>
      </c>
      <c r="R14" s="626">
        <v>49</v>
      </c>
      <c r="S14" s="626">
        <v>38</v>
      </c>
      <c r="T14" s="626">
        <v>50</v>
      </c>
      <c r="U14" s="626">
        <v>32</v>
      </c>
      <c r="V14" s="626">
        <v>57</v>
      </c>
      <c r="W14" s="626">
        <v>37</v>
      </c>
      <c r="X14" s="626">
        <v>60</v>
      </c>
      <c r="Y14" s="631">
        <v>39</v>
      </c>
      <c r="Z14" s="628">
        <f t="shared" si="1"/>
        <v>452</v>
      </c>
    </row>
    <row r="15" spans="1:26" s="227" customFormat="1" ht="18.5">
      <c r="A15" s="855">
        <v>313</v>
      </c>
      <c r="B15" s="857" t="s">
        <v>1489</v>
      </c>
      <c r="C15" s="857" t="s">
        <v>103</v>
      </c>
      <c r="D15" s="857" t="s">
        <v>257</v>
      </c>
      <c r="E15" s="858" t="s">
        <v>1490</v>
      </c>
      <c r="F15" s="817">
        <v>317261079</v>
      </c>
      <c r="G15" s="817">
        <v>1235</v>
      </c>
      <c r="H15" s="859" t="s">
        <v>489</v>
      </c>
      <c r="I15" s="860" t="s">
        <v>2059</v>
      </c>
      <c r="J15" s="817">
        <v>40</v>
      </c>
      <c r="K15" s="859">
        <v>34</v>
      </c>
      <c r="L15" s="859">
        <v>31</v>
      </c>
      <c r="M15" s="859">
        <v>33</v>
      </c>
      <c r="N15" s="859">
        <v>39</v>
      </c>
      <c r="O15" s="861">
        <f t="shared" si="0"/>
        <v>138</v>
      </c>
      <c r="P15" s="862">
        <v>34</v>
      </c>
      <c r="Q15" s="862">
        <v>30</v>
      </c>
      <c r="R15" s="862">
        <v>35</v>
      </c>
      <c r="S15" s="862">
        <v>30</v>
      </c>
      <c r="T15" s="862">
        <v>36</v>
      </c>
      <c r="U15" s="862">
        <v>30</v>
      </c>
      <c r="V15" s="862">
        <v>35</v>
      </c>
      <c r="W15" s="862">
        <v>30</v>
      </c>
      <c r="X15" s="862">
        <v>38</v>
      </c>
      <c r="Y15" s="816">
        <v>30</v>
      </c>
      <c r="Z15" s="863">
        <f t="shared" si="1"/>
        <v>328</v>
      </c>
    </row>
    <row r="16" spans="1:26" ht="18.5">
      <c r="A16" s="254">
        <v>314</v>
      </c>
      <c r="B16" s="7" t="s">
        <v>1491</v>
      </c>
      <c r="C16" s="7" t="s">
        <v>1492</v>
      </c>
      <c r="D16" s="7" t="s">
        <v>1493</v>
      </c>
      <c r="E16" s="13" t="s">
        <v>1494</v>
      </c>
      <c r="F16" s="14">
        <v>305551032</v>
      </c>
      <c r="G16" s="14">
        <v>1113</v>
      </c>
      <c r="H16" s="16" t="s">
        <v>489</v>
      </c>
      <c r="I16" s="255" t="s">
        <v>2059</v>
      </c>
      <c r="J16" s="14">
        <v>51</v>
      </c>
      <c r="K16" s="16">
        <v>56</v>
      </c>
      <c r="L16" s="16">
        <v>46</v>
      </c>
      <c r="M16" s="16">
        <v>39</v>
      </c>
      <c r="N16" s="16">
        <v>54</v>
      </c>
      <c r="O16" s="520">
        <f t="shared" si="0"/>
        <v>192</v>
      </c>
      <c r="P16" s="626">
        <v>47</v>
      </c>
      <c r="Q16" s="626">
        <v>35</v>
      </c>
      <c r="R16" s="626">
        <v>40</v>
      </c>
      <c r="S16" s="626">
        <v>36</v>
      </c>
      <c r="T16" s="626">
        <v>51</v>
      </c>
      <c r="U16" s="626">
        <v>34</v>
      </c>
      <c r="V16" s="626">
        <v>42</v>
      </c>
      <c r="W16" s="626">
        <v>30</v>
      </c>
      <c r="X16" s="626">
        <v>37</v>
      </c>
      <c r="Y16" s="631">
        <v>30</v>
      </c>
      <c r="Z16" s="628">
        <f t="shared" si="1"/>
        <v>382</v>
      </c>
    </row>
    <row r="17" spans="1:26" ht="18.5">
      <c r="A17" s="254">
        <v>315</v>
      </c>
      <c r="B17" s="378" t="s">
        <v>2294</v>
      </c>
      <c r="C17" s="378" t="s">
        <v>1680</v>
      </c>
      <c r="D17" s="378" t="s">
        <v>1681</v>
      </c>
      <c r="E17" s="382" t="s">
        <v>1682</v>
      </c>
      <c r="F17" s="379">
        <v>303828755</v>
      </c>
      <c r="G17" s="379">
        <v>1675</v>
      </c>
      <c r="H17" s="16" t="s">
        <v>489</v>
      </c>
      <c r="I17" s="255" t="s">
        <v>2059</v>
      </c>
      <c r="J17" s="14">
        <v>56</v>
      </c>
      <c r="K17" s="16">
        <v>54</v>
      </c>
      <c r="L17" s="16">
        <v>37</v>
      </c>
      <c r="M17" s="16">
        <v>48</v>
      </c>
      <c r="N17" s="16">
        <v>58</v>
      </c>
      <c r="O17" s="520">
        <f t="shared" si="0"/>
        <v>195</v>
      </c>
      <c r="P17" s="626">
        <v>53</v>
      </c>
      <c r="Q17" s="626">
        <v>37</v>
      </c>
      <c r="R17" s="626">
        <v>53</v>
      </c>
      <c r="S17" s="626">
        <v>35</v>
      </c>
      <c r="T17" s="626">
        <v>43</v>
      </c>
      <c r="U17" s="626">
        <v>30</v>
      </c>
      <c r="V17" s="626">
        <v>59</v>
      </c>
      <c r="W17" s="626">
        <v>35</v>
      </c>
      <c r="X17" s="626">
        <v>59</v>
      </c>
      <c r="Y17" s="631">
        <v>38</v>
      </c>
      <c r="Z17" s="628">
        <f t="shared" si="1"/>
        <v>442</v>
      </c>
    </row>
    <row r="18" spans="1:26" ht="18.5">
      <c r="A18" s="254">
        <v>316</v>
      </c>
      <c r="B18" s="7" t="s">
        <v>1495</v>
      </c>
      <c r="C18" s="7" t="s">
        <v>1496</v>
      </c>
      <c r="D18" s="7" t="s">
        <v>1497</v>
      </c>
      <c r="E18" s="13" t="s">
        <v>1498</v>
      </c>
      <c r="F18" s="14">
        <v>303499928</v>
      </c>
      <c r="G18" s="14">
        <v>1149</v>
      </c>
      <c r="H18" s="16" t="s">
        <v>489</v>
      </c>
      <c r="I18" s="255" t="s">
        <v>2059</v>
      </c>
      <c r="J18" s="14">
        <v>53</v>
      </c>
      <c r="K18" s="16">
        <v>51</v>
      </c>
      <c r="L18" s="16">
        <v>42</v>
      </c>
      <c r="M18" s="16">
        <v>39</v>
      </c>
      <c r="N18" s="16">
        <v>49</v>
      </c>
      <c r="O18" s="520">
        <f t="shared" si="0"/>
        <v>185</v>
      </c>
      <c r="P18" s="626">
        <v>50</v>
      </c>
      <c r="Q18" s="626">
        <v>36</v>
      </c>
      <c r="R18" s="626">
        <v>40</v>
      </c>
      <c r="S18" s="626">
        <v>35</v>
      </c>
      <c r="T18" s="626">
        <v>49</v>
      </c>
      <c r="U18" s="626">
        <v>32</v>
      </c>
      <c r="V18" s="626">
        <v>42</v>
      </c>
      <c r="W18" s="626">
        <v>30</v>
      </c>
      <c r="X18" s="626">
        <v>55</v>
      </c>
      <c r="Y18" s="631">
        <v>37</v>
      </c>
      <c r="Z18" s="628">
        <f t="shared" si="1"/>
        <v>406</v>
      </c>
    </row>
    <row r="19" spans="1:26" ht="18.5">
      <c r="A19" s="254">
        <v>317</v>
      </c>
      <c r="B19" s="7" t="s">
        <v>1499</v>
      </c>
      <c r="C19" s="7" t="s">
        <v>490</v>
      </c>
      <c r="D19" s="7" t="s">
        <v>42</v>
      </c>
      <c r="E19" s="13" t="s">
        <v>1500</v>
      </c>
      <c r="F19" s="14">
        <v>316072743</v>
      </c>
      <c r="G19" s="14">
        <v>1110</v>
      </c>
      <c r="H19" s="16" t="s">
        <v>489</v>
      </c>
      <c r="I19" s="255" t="s">
        <v>2059</v>
      </c>
      <c r="J19" s="14">
        <v>55</v>
      </c>
      <c r="K19" s="16">
        <v>49</v>
      </c>
      <c r="L19" s="16">
        <v>49</v>
      </c>
      <c r="M19" s="16">
        <v>40</v>
      </c>
      <c r="N19" s="16">
        <v>57</v>
      </c>
      <c r="O19" s="520">
        <f t="shared" si="0"/>
        <v>193</v>
      </c>
      <c r="P19" s="626">
        <v>55</v>
      </c>
      <c r="Q19" s="626">
        <v>36</v>
      </c>
      <c r="R19" s="626">
        <v>49</v>
      </c>
      <c r="S19" s="626">
        <v>35</v>
      </c>
      <c r="T19" s="626">
        <v>48</v>
      </c>
      <c r="U19" s="626">
        <v>35</v>
      </c>
      <c r="V19" s="626">
        <v>47</v>
      </c>
      <c r="W19" s="626">
        <v>30</v>
      </c>
      <c r="X19" s="626">
        <v>55</v>
      </c>
      <c r="Y19" s="631">
        <v>37</v>
      </c>
      <c r="Z19" s="628">
        <f t="shared" si="1"/>
        <v>427</v>
      </c>
    </row>
    <row r="20" spans="1:26" ht="18.5">
      <c r="A20" s="254">
        <v>318</v>
      </c>
      <c r="B20" s="7" t="s">
        <v>1501</v>
      </c>
      <c r="C20" s="7" t="s">
        <v>1502</v>
      </c>
      <c r="D20" s="7" t="s">
        <v>1503</v>
      </c>
      <c r="E20" s="13" t="s">
        <v>330</v>
      </c>
      <c r="F20" s="14">
        <v>316735396</v>
      </c>
      <c r="G20" s="14">
        <v>1206</v>
      </c>
      <c r="H20" s="16" t="s">
        <v>489</v>
      </c>
      <c r="I20" s="255" t="s">
        <v>2059</v>
      </c>
      <c r="J20" s="14">
        <v>56</v>
      </c>
      <c r="K20" s="16">
        <v>53</v>
      </c>
      <c r="L20" s="16">
        <v>55</v>
      </c>
      <c r="M20" s="16">
        <v>42</v>
      </c>
      <c r="N20" s="16">
        <v>55</v>
      </c>
      <c r="O20" s="520">
        <f t="shared" si="0"/>
        <v>206</v>
      </c>
      <c r="P20" s="626">
        <v>59</v>
      </c>
      <c r="Q20" s="626">
        <v>35</v>
      </c>
      <c r="R20" s="626">
        <v>46</v>
      </c>
      <c r="S20" s="626">
        <v>36</v>
      </c>
      <c r="T20" s="626">
        <v>58</v>
      </c>
      <c r="U20" s="626">
        <v>36</v>
      </c>
      <c r="V20" s="626">
        <v>58</v>
      </c>
      <c r="W20" s="626">
        <v>32</v>
      </c>
      <c r="X20" s="626">
        <v>60</v>
      </c>
      <c r="Y20" s="631">
        <v>39</v>
      </c>
      <c r="Z20" s="628">
        <f t="shared" si="1"/>
        <v>459</v>
      </c>
    </row>
    <row r="21" spans="1:26" ht="18.5">
      <c r="A21" s="254">
        <v>319</v>
      </c>
      <c r="B21" s="7" t="s">
        <v>1504</v>
      </c>
      <c r="C21" s="7" t="s">
        <v>99</v>
      </c>
      <c r="D21" s="7" t="s">
        <v>119</v>
      </c>
      <c r="E21" s="13" t="s">
        <v>368</v>
      </c>
      <c r="F21" s="14">
        <v>318919674</v>
      </c>
      <c r="G21" s="14">
        <v>1171</v>
      </c>
      <c r="H21" s="16" t="s">
        <v>489</v>
      </c>
      <c r="I21" s="255" t="s">
        <v>2059</v>
      </c>
      <c r="J21" s="14">
        <v>58</v>
      </c>
      <c r="K21" s="16">
        <v>55</v>
      </c>
      <c r="L21" s="16">
        <v>54</v>
      </c>
      <c r="M21" s="16">
        <v>49</v>
      </c>
      <c r="N21" s="16">
        <v>59</v>
      </c>
      <c r="O21" s="520">
        <f t="shared" si="0"/>
        <v>216</v>
      </c>
      <c r="P21" s="626">
        <v>59</v>
      </c>
      <c r="Q21" s="626">
        <v>37</v>
      </c>
      <c r="R21" s="626">
        <v>55</v>
      </c>
      <c r="S21" s="626">
        <v>36</v>
      </c>
      <c r="T21" s="626">
        <v>58</v>
      </c>
      <c r="U21" s="626">
        <v>36</v>
      </c>
      <c r="V21" s="626">
        <v>56</v>
      </c>
      <c r="W21" s="626">
        <v>32</v>
      </c>
      <c r="X21" s="626">
        <v>60</v>
      </c>
      <c r="Y21" s="631">
        <v>39</v>
      </c>
      <c r="Z21" s="628">
        <f t="shared" si="1"/>
        <v>468</v>
      </c>
    </row>
    <row r="22" spans="1:26" ht="18.5">
      <c r="A22" s="254">
        <v>320</v>
      </c>
      <c r="B22" s="7" t="s">
        <v>1505</v>
      </c>
      <c r="C22" s="7" t="s">
        <v>599</v>
      </c>
      <c r="D22" s="7" t="s">
        <v>924</v>
      </c>
      <c r="E22" s="13" t="s">
        <v>1506</v>
      </c>
      <c r="F22" s="14">
        <v>316953871</v>
      </c>
      <c r="G22" s="14">
        <v>1173</v>
      </c>
      <c r="H22" s="16" t="s">
        <v>489</v>
      </c>
      <c r="I22" s="255" t="s">
        <v>2059</v>
      </c>
      <c r="J22" s="14">
        <v>51</v>
      </c>
      <c r="K22" s="16">
        <v>36</v>
      </c>
      <c r="L22" s="16">
        <v>30</v>
      </c>
      <c r="M22" s="16">
        <v>38</v>
      </c>
      <c r="N22" s="16">
        <v>33</v>
      </c>
      <c r="O22" s="520">
        <f t="shared" si="0"/>
        <v>155</v>
      </c>
      <c r="P22" s="632">
        <v>50</v>
      </c>
      <c r="Q22" s="632">
        <v>35</v>
      </c>
      <c r="R22" s="632">
        <v>40</v>
      </c>
      <c r="S22" s="632">
        <v>30</v>
      </c>
      <c r="T22" s="632">
        <v>36</v>
      </c>
      <c r="U22" s="632">
        <v>30</v>
      </c>
      <c r="V22" s="632">
        <v>38</v>
      </c>
      <c r="W22" s="632">
        <v>31</v>
      </c>
      <c r="X22" s="632">
        <v>47</v>
      </c>
      <c r="Y22" s="631">
        <v>30</v>
      </c>
      <c r="Z22" s="628">
        <f t="shared" si="1"/>
        <v>367</v>
      </c>
    </row>
    <row r="23" spans="1:26" ht="18.5">
      <c r="A23" s="254">
        <v>321</v>
      </c>
      <c r="B23" s="7" t="s">
        <v>1507</v>
      </c>
      <c r="C23" s="7" t="s">
        <v>1383</v>
      </c>
      <c r="D23" s="7" t="s">
        <v>1384</v>
      </c>
      <c r="E23" s="13" t="s">
        <v>1508</v>
      </c>
      <c r="F23" s="14">
        <v>307995775</v>
      </c>
      <c r="G23" s="14">
        <v>1136</v>
      </c>
      <c r="H23" s="16" t="s">
        <v>489</v>
      </c>
      <c r="I23" s="255" t="s">
        <v>2059</v>
      </c>
      <c r="J23" s="14">
        <v>56</v>
      </c>
      <c r="K23" s="16">
        <v>42</v>
      </c>
      <c r="L23" s="16">
        <v>50</v>
      </c>
      <c r="M23" s="16">
        <v>38</v>
      </c>
      <c r="N23" s="16">
        <v>54</v>
      </c>
      <c r="O23" s="520">
        <f t="shared" si="0"/>
        <v>186</v>
      </c>
      <c r="P23" s="626">
        <v>58</v>
      </c>
      <c r="Q23" s="626">
        <v>38</v>
      </c>
      <c r="R23" s="626">
        <v>45</v>
      </c>
      <c r="S23" s="626">
        <v>32</v>
      </c>
      <c r="T23" s="626">
        <v>51</v>
      </c>
      <c r="U23" s="626">
        <v>35</v>
      </c>
      <c r="V23" s="626">
        <v>47</v>
      </c>
      <c r="W23" s="626">
        <v>30</v>
      </c>
      <c r="X23" s="626">
        <v>55</v>
      </c>
      <c r="Y23" s="631">
        <v>37</v>
      </c>
      <c r="Z23" s="628">
        <f t="shared" si="1"/>
        <v>428</v>
      </c>
    </row>
    <row r="24" spans="1:26" ht="18.5">
      <c r="A24" s="254">
        <v>322</v>
      </c>
      <c r="B24" s="378" t="s">
        <v>1509</v>
      </c>
      <c r="C24" s="378" t="s">
        <v>1510</v>
      </c>
      <c r="D24" s="378" t="s">
        <v>1511</v>
      </c>
      <c r="E24" s="380" t="s">
        <v>1512</v>
      </c>
      <c r="F24" s="379">
        <v>310449579</v>
      </c>
      <c r="G24" s="379">
        <v>1565</v>
      </c>
      <c r="H24" s="16" t="s">
        <v>489</v>
      </c>
      <c r="I24" s="255" t="s">
        <v>2059</v>
      </c>
      <c r="J24" s="14">
        <v>39</v>
      </c>
      <c r="K24" s="16">
        <v>37</v>
      </c>
      <c r="L24" s="16">
        <v>37</v>
      </c>
      <c r="M24" s="16">
        <v>39</v>
      </c>
      <c r="N24" s="16">
        <v>30</v>
      </c>
      <c r="O24" s="520">
        <f t="shared" si="0"/>
        <v>152</v>
      </c>
      <c r="P24" s="626">
        <v>43</v>
      </c>
      <c r="Q24" s="626">
        <v>30</v>
      </c>
      <c r="R24" s="626">
        <v>35</v>
      </c>
      <c r="S24" s="626">
        <v>30</v>
      </c>
      <c r="T24" s="626">
        <v>42</v>
      </c>
      <c r="U24" s="626">
        <v>30</v>
      </c>
      <c r="V24" s="626">
        <v>37</v>
      </c>
      <c r="W24" s="626">
        <v>30</v>
      </c>
      <c r="X24" s="626">
        <v>48</v>
      </c>
      <c r="Y24" s="631">
        <v>35</v>
      </c>
      <c r="Z24" s="628">
        <f t="shared" si="1"/>
        <v>360</v>
      </c>
    </row>
    <row r="25" spans="1:26" ht="18.5">
      <c r="A25" s="254">
        <v>323</v>
      </c>
      <c r="B25" s="7" t="s">
        <v>1572</v>
      </c>
      <c r="C25" s="7" t="s">
        <v>1573</v>
      </c>
      <c r="D25" s="7" t="s">
        <v>1574</v>
      </c>
      <c r="E25" s="13" t="s">
        <v>1575</v>
      </c>
      <c r="F25" s="14">
        <v>311049836</v>
      </c>
      <c r="G25" s="14">
        <v>1180</v>
      </c>
      <c r="H25" s="16" t="s">
        <v>489</v>
      </c>
      <c r="I25" s="255" t="s">
        <v>2059</v>
      </c>
      <c r="J25" s="14">
        <v>54</v>
      </c>
      <c r="K25" s="16">
        <v>52</v>
      </c>
      <c r="L25" s="16">
        <v>41</v>
      </c>
      <c r="M25" s="16">
        <v>30</v>
      </c>
      <c r="N25" s="16">
        <v>52</v>
      </c>
      <c r="O25" s="520">
        <f t="shared" si="0"/>
        <v>177</v>
      </c>
      <c r="P25" s="626">
        <v>51</v>
      </c>
      <c r="Q25" s="626">
        <v>36</v>
      </c>
      <c r="R25" s="626">
        <v>53</v>
      </c>
      <c r="S25" s="626">
        <v>35</v>
      </c>
      <c r="T25" s="626">
        <v>53</v>
      </c>
      <c r="U25" s="626">
        <v>32</v>
      </c>
      <c r="V25" s="626">
        <v>47</v>
      </c>
      <c r="W25" s="626">
        <v>30</v>
      </c>
      <c r="X25" s="626">
        <v>55</v>
      </c>
      <c r="Y25" s="631">
        <v>37</v>
      </c>
      <c r="Z25" s="628">
        <f t="shared" si="1"/>
        <v>429</v>
      </c>
    </row>
    <row r="26" spans="1:26" ht="18.5">
      <c r="A26" s="254">
        <v>324</v>
      </c>
      <c r="B26" s="7" t="s">
        <v>1576</v>
      </c>
      <c r="C26" s="7" t="s">
        <v>605</v>
      </c>
      <c r="D26" s="7" t="s">
        <v>1577</v>
      </c>
      <c r="E26" s="13" t="s">
        <v>824</v>
      </c>
      <c r="F26" s="14">
        <v>307907981</v>
      </c>
      <c r="G26" s="14">
        <v>1064</v>
      </c>
      <c r="H26" s="16" t="s">
        <v>489</v>
      </c>
      <c r="I26" s="255" t="s">
        <v>2059</v>
      </c>
      <c r="J26" s="14">
        <v>37</v>
      </c>
      <c r="K26" s="16">
        <v>45</v>
      </c>
      <c r="L26" s="16">
        <v>47</v>
      </c>
      <c r="M26" s="16">
        <v>38</v>
      </c>
      <c r="N26" s="16">
        <v>39</v>
      </c>
      <c r="O26" s="520">
        <f t="shared" si="0"/>
        <v>167</v>
      </c>
      <c r="P26" s="626">
        <v>40</v>
      </c>
      <c r="Q26" s="626">
        <v>30</v>
      </c>
      <c r="R26" s="626">
        <v>42</v>
      </c>
      <c r="S26" s="626">
        <v>34</v>
      </c>
      <c r="T26" s="626">
        <v>47</v>
      </c>
      <c r="U26" s="626">
        <v>34</v>
      </c>
      <c r="V26" s="626">
        <v>45</v>
      </c>
      <c r="W26" s="626">
        <v>30</v>
      </c>
      <c r="X26" s="626">
        <v>50</v>
      </c>
      <c r="Y26" s="631">
        <v>35</v>
      </c>
      <c r="Z26" s="628">
        <f t="shared" si="1"/>
        <v>387</v>
      </c>
    </row>
    <row r="27" spans="1:26" ht="18.5">
      <c r="A27" s="254">
        <v>325</v>
      </c>
      <c r="B27" s="7" t="s">
        <v>1513</v>
      </c>
      <c r="C27" s="7" t="s">
        <v>987</v>
      </c>
      <c r="D27" s="7" t="s">
        <v>988</v>
      </c>
      <c r="E27" s="13" t="s">
        <v>1514</v>
      </c>
      <c r="F27" s="14">
        <v>304507985</v>
      </c>
      <c r="G27" s="14">
        <v>1104</v>
      </c>
      <c r="H27" s="16" t="s">
        <v>489</v>
      </c>
      <c r="I27" s="255" t="s">
        <v>2059</v>
      </c>
      <c r="J27" s="14">
        <v>57</v>
      </c>
      <c r="K27" s="16">
        <v>54</v>
      </c>
      <c r="L27" s="16">
        <v>51</v>
      </c>
      <c r="M27" s="16">
        <v>40</v>
      </c>
      <c r="N27" s="16">
        <v>55</v>
      </c>
      <c r="O27" s="520">
        <f t="shared" si="0"/>
        <v>202</v>
      </c>
      <c r="P27" s="626">
        <v>54</v>
      </c>
      <c r="Q27" s="626">
        <v>38</v>
      </c>
      <c r="R27" s="626">
        <v>47</v>
      </c>
      <c r="S27" s="626">
        <v>36</v>
      </c>
      <c r="T27" s="626">
        <v>49</v>
      </c>
      <c r="U27" s="626">
        <v>35</v>
      </c>
      <c r="V27" s="626">
        <v>49</v>
      </c>
      <c r="W27" s="626">
        <v>30</v>
      </c>
      <c r="X27" s="626">
        <v>59</v>
      </c>
      <c r="Y27" s="631">
        <v>38</v>
      </c>
      <c r="Z27" s="628">
        <f t="shared" si="1"/>
        <v>435</v>
      </c>
    </row>
    <row r="28" spans="1:26" ht="18.5">
      <c r="A28" s="254">
        <v>326</v>
      </c>
      <c r="B28" s="7" t="s">
        <v>1515</v>
      </c>
      <c r="C28" s="7" t="s">
        <v>1316</v>
      </c>
      <c r="D28" s="7" t="s">
        <v>1317</v>
      </c>
      <c r="E28" s="13" t="s">
        <v>1516</v>
      </c>
      <c r="F28" s="14">
        <v>307419306</v>
      </c>
      <c r="G28" s="14">
        <v>1159</v>
      </c>
      <c r="H28" s="16" t="s">
        <v>489</v>
      </c>
      <c r="I28" s="255" t="s">
        <v>2059</v>
      </c>
      <c r="J28" s="14">
        <v>54</v>
      </c>
      <c r="K28" s="16">
        <v>46</v>
      </c>
      <c r="L28" s="16">
        <v>30</v>
      </c>
      <c r="M28" s="16">
        <v>39</v>
      </c>
      <c r="N28" s="16">
        <v>44</v>
      </c>
      <c r="O28" s="520">
        <f t="shared" si="0"/>
        <v>169</v>
      </c>
      <c r="P28" s="626">
        <v>41</v>
      </c>
      <c r="Q28" s="626">
        <v>36</v>
      </c>
      <c r="R28" s="626">
        <v>40</v>
      </c>
      <c r="S28" s="626">
        <v>34</v>
      </c>
      <c r="T28" s="626">
        <v>43</v>
      </c>
      <c r="U28" s="626">
        <v>30</v>
      </c>
      <c r="V28" s="626">
        <v>35</v>
      </c>
      <c r="W28" s="626">
        <v>30</v>
      </c>
      <c r="X28" s="626">
        <v>43</v>
      </c>
      <c r="Y28" s="631">
        <v>32</v>
      </c>
      <c r="Z28" s="628">
        <f t="shared" si="1"/>
        <v>364</v>
      </c>
    </row>
    <row r="29" spans="1:26" ht="18.5">
      <c r="A29" s="254">
        <v>327</v>
      </c>
      <c r="B29" s="7" t="s">
        <v>1517</v>
      </c>
      <c r="C29" s="7" t="s">
        <v>1411</v>
      </c>
      <c r="D29" s="7" t="s">
        <v>763</v>
      </c>
      <c r="E29" s="13" t="s">
        <v>1518</v>
      </c>
      <c r="F29" s="14">
        <v>306372440</v>
      </c>
      <c r="G29" s="14">
        <v>1300</v>
      </c>
      <c r="H29" s="16" t="s">
        <v>489</v>
      </c>
      <c r="I29" s="255" t="s">
        <v>2059</v>
      </c>
      <c r="J29" s="14">
        <v>41</v>
      </c>
      <c r="K29" s="16">
        <v>48</v>
      </c>
      <c r="L29" s="16">
        <v>37</v>
      </c>
      <c r="M29" s="16">
        <v>36</v>
      </c>
      <c r="N29" s="16">
        <v>32</v>
      </c>
      <c r="O29" s="520">
        <f t="shared" si="0"/>
        <v>162</v>
      </c>
      <c r="P29" s="626">
        <v>44</v>
      </c>
      <c r="Q29" s="626">
        <v>32</v>
      </c>
      <c r="R29" s="626">
        <v>40</v>
      </c>
      <c r="S29" s="626">
        <v>34</v>
      </c>
      <c r="T29" s="626">
        <v>47</v>
      </c>
      <c r="U29" s="626">
        <v>30</v>
      </c>
      <c r="V29" s="626">
        <v>47</v>
      </c>
      <c r="W29" s="626">
        <v>30</v>
      </c>
      <c r="X29" s="626">
        <v>40</v>
      </c>
      <c r="Y29" s="631">
        <v>31</v>
      </c>
      <c r="Z29" s="628">
        <f t="shared" si="1"/>
        <v>375</v>
      </c>
    </row>
    <row r="30" spans="1:26" ht="18.5">
      <c r="A30" s="254">
        <v>328</v>
      </c>
      <c r="B30" s="7" t="s">
        <v>1519</v>
      </c>
      <c r="C30" s="7" t="s">
        <v>639</v>
      </c>
      <c r="D30" s="7" t="s">
        <v>1520</v>
      </c>
      <c r="E30" s="13" t="s">
        <v>361</v>
      </c>
      <c r="F30" s="14">
        <v>308556467</v>
      </c>
      <c r="G30" s="14">
        <v>1187</v>
      </c>
      <c r="H30" s="16" t="s">
        <v>489</v>
      </c>
      <c r="I30" s="255" t="s">
        <v>2059</v>
      </c>
      <c r="J30" s="14">
        <v>46</v>
      </c>
      <c r="K30" s="16">
        <v>46</v>
      </c>
      <c r="L30" s="16">
        <v>35</v>
      </c>
      <c r="M30" s="16">
        <v>37</v>
      </c>
      <c r="N30" s="16">
        <v>46</v>
      </c>
      <c r="O30" s="520">
        <f t="shared" si="0"/>
        <v>164</v>
      </c>
      <c r="P30" s="626">
        <v>56</v>
      </c>
      <c r="Q30" s="626">
        <v>34</v>
      </c>
      <c r="R30" s="626">
        <v>42</v>
      </c>
      <c r="S30" s="626">
        <v>34</v>
      </c>
      <c r="T30" s="626">
        <v>42</v>
      </c>
      <c r="U30" s="626">
        <v>30</v>
      </c>
      <c r="V30" s="626">
        <v>47</v>
      </c>
      <c r="W30" s="626">
        <v>30</v>
      </c>
      <c r="X30" s="626">
        <v>57</v>
      </c>
      <c r="Y30" s="631">
        <v>35</v>
      </c>
      <c r="Z30" s="628">
        <f t="shared" si="1"/>
        <v>407</v>
      </c>
    </row>
    <row r="31" spans="1:26" ht="18.5">
      <c r="A31" s="254">
        <v>329</v>
      </c>
      <c r="B31" s="7" t="s">
        <v>1521</v>
      </c>
      <c r="C31" s="7" t="s">
        <v>3321</v>
      </c>
      <c r="D31" s="7" t="s">
        <v>868</v>
      </c>
      <c r="E31" s="13" t="s">
        <v>1522</v>
      </c>
      <c r="F31" s="14">
        <v>316132833</v>
      </c>
      <c r="G31" s="14">
        <v>1184</v>
      </c>
      <c r="H31" s="16" t="s">
        <v>489</v>
      </c>
      <c r="I31" s="255" t="s">
        <v>2059</v>
      </c>
      <c r="J31" s="14">
        <v>45</v>
      </c>
      <c r="K31" s="16">
        <v>36</v>
      </c>
      <c r="L31" s="16">
        <v>42</v>
      </c>
      <c r="M31" s="16">
        <v>33</v>
      </c>
      <c r="N31" s="16">
        <v>40</v>
      </c>
      <c r="O31" s="520">
        <f t="shared" si="0"/>
        <v>156</v>
      </c>
      <c r="P31" s="626">
        <v>40</v>
      </c>
      <c r="Q31" s="626">
        <v>34</v>
      </c>
      <c r="R31" s="626">
        <v>40</v>
      </c>
      <c r="S31" s="626">
        <v>30</v>
      </c>
      <c r="T31" s="626">
        <v>48</v>
      </c>
      <c r="U31" s="626">
        <v>32</v>
      </c>
      <c r="V31" s="626">
        <v>38</v>
      </c>
      <c r="W31" s="626">
        <v>30</v>
      </c>
      <c r="X31" s="626">
        <v>38</v>
      </c>
      <c r="Y31" s="631">
        <v>31</v>
      </c>
      <c r="Z31" s="628">
        <f t="shared" si="1"/>
        <v>361</v>
      </c>
    </row>
    <row r="32" spans="1:26" ht="18.5">
      <c r="A32" s="254">
        <v>330</v>
      </c>
      <c r="B32" s="7" t="s">
        <v>1527</v>
      </c>
      <c r="C32" s="7" t="s">
        <v>1528</v>
      </c>
      <c r="D32" s="7" t="s">
        <v>486</v>
      </c>
      <c r="E32" s="13" t="s">
        <v>1529</v>
      </c>
      <c r="F32" s="14">
        <v>305179924</v>
      </c>
      <c r="G32" s="14">
        <v>1256</v>
      </c>
      <c r="H32" s="16" t="s">
        <v>489</v>
      </c>
      <c r="I32" s="255" t="s">
        <v>2059</v>
      </c>
      <c r="J32" s="14">
        <v>40</v>
      </c>
      <c r="K32" s="16">
        <v>35</v>
      </c>
      <c r="L32" s="16">
        <v>53</v>
      </c>
      <c r="M32" s="16">
        <v>33</v>
      </c>
      <c r="N32" s="16">
        <v>39</v>
      </c>
      <c r="O32" s="520">
        <f t="shared" si="0"/>
        <v>161</v>
      </c>
      <c r="P32" s="626">
        <v>50</v>
      </c>
      <c r="Q32" s="626">
        <v>30</v>
      </c>
      <c r="R32" s="626">
        <v>46</v>
      </c>
      <c r="S32" s="626">
        <v>30</v>
      </c>
      <c r="T32" s="626">
        <v>47</v>
      </c>
      <c r="U32" s="626">
        <v>36</v>
      </c>
      <c r="V32" s="626">
        <v>43</v>
      </c>
      <c r="W32" s="626">
        <v>30</v>
      </c>
      <c r="X32" s="626">
        <v>55</v>
      </c>
      <c r="Y32" s="631">
        <v>36</v>
      </c>
      <c r="Z32" s="628">
        <f t="shared" si="1"/>
        <v>403</v>
      </c>
    </row>
    <row r="33" spans="1:26" ht="18.5">
      <c r="A33" s="254">
        <v>331</v>
      </c>
      <c r="B33" s="7" t="s">
        <v>1523</v>
      </c>
      <c r="C33" s="7" t="s">
        <v>1524</v>
      </c>
      <c r="D33" s="7" t="s">
        <v>1525</v>
      </c>
      <c r="E33" s="13" t="s">
        <v>1526</v>
      </c>
      <c r="F33" s="14">
        <v>315270763</v>
      </c>
      <c r="G33" s="14">
        <v>1148</v>
      </c>
      <c r="H33" s="16" t="s">
        <v>489</v>
      </c>
      <c r="I33" s="255" t="s">
        <v>2059</v>
      </c>
      <c r="J33" s="14">
        <v>40</v>
      </c>
      <c r="K33" s="16">
        <v>37</v>
      </c>
      <c r="L33" s="16">
        <v>43</v>
      </c>
      <c r="M33" s="16">
        <v>30</v>
      </c>
      <c r="N33" s="16">
        <v>42</v>
      </c>
      <c r="O33" s="520">
        <f t="shared" si="0"/>
        <v>150</v>
      </c>
      <c r="P33" s="626">
        <v>54</v>
      </c>
      <c r="Q33" s="626">
        <v>30</v>
      </c>
      <c r="R33" s="626">
        <v>42</v>
      </c>
      <c r="S33" s="626">
        <v>30</v>
      </c>
      <c r="T33" s="626">
        <v>51</v>
      </c>
      <c r="U33" s="626">
        <v>32</v>
      </c>
      <c r="V33" s="626">
        <v>54</v>
      </c>
      <c r="W33" s="626">
        <v>30</v>
      </c>
      <c r="X33" s="626">
        <v>56</v>
      </c>
      <c r="Y33" s="631">
        <v>36</v>
      </c>
      <c r="Z33" s="628">
        <f t="shared" si="1"/>
        <v>415</v>
      </c>
    </row>
    <row r="34" spans="1:26" ht="18.5">
      <c r="A34" s="254">
        <v>332</v>
      </c>
      <c r="B34" s="378" t="s">
        <v>3339</v>
      </c>
      <c r="C34" s="378" t="s">
        <v>235</v>
      </c>
      <c r="D34" s="378" t="s">
        <v>3340</v>
      </c>
      <c r="E34" s="380" t="s">
        <v>1626</v>
      </c>
      <c r="F34" s="379">
        <v>310143391</v>
      </c>
      <c r="G34" s="379">
        <v>1599</v>
      </c>
      <c r="H34" s="16" t="s">
        <v>489</v>
      </c>
      <c r="I34" s="255" t="s">
        <v>2059</v>
      </c>
      <c r="J34" s="14">
        <v>50</v>
      </c>
      <c r="K34" s="16">
        <v>48</v>
      </c>
      <c r="L34" s="16">
        <v>45</v>
      </c>
      <c r="M34" s="16">
        <v>37</v>
      </c>
      <c r="N34" s="16">
        <v>53</v>
      </c>
      <c r="O34" s="520">
        <f t="shared" si="0"/>
        <v>180</v>
      </c>
      <c r="P34" s="626">
        <v>58</v>
      </c>
      <c r="Q34" s="626">
        <v>35</v>
      </c>
      <c r="R34" s="626">
        <v>49</v>
      </c>
      <c r="S34" s="626">
        <v>35</v>
      </c>
      <c r="T34" s="626">
        <v>49</v>
      </c>
      <c r="U34" s="626">
        <v>32</v>
      </c>
      <c r="V34" s="626">
        <v>53</v>
      </c>
      <c r="W34" s="626">
        <v>30</v>
      </c>
      <c r="X34" s="626">
        <v>57</v>
      </c>
      <c r="Y34" s="631">
        <v>36</v>
      </c>
      <c r="Z34" s="628">
        <f t="shared" si="1"/>
        <v>434</v>
      </c>
    </row>
    <row r="35" spans="1:26" ht="18.5">
      <c r="A35" s="254">
        <v>333</v>
      </c>
      <c r="B35" s="7" t="s">
        <v>1530</v>
      </c>
      <c r="C35" s="7" t="s">
        <v>1531</v>
      </c>
      <c r="D35" s="7" t="s">
        <v>31</v>
      </c>
      <c r="E35" s="13" t="s">
        <v>1532</v>
      </c>
      <c r="F35" s="14">
        <v>305144873</v>
      </c>
      <c r="G35" s="14">
        <v>1169</v>
      </c>
      <c r="H35" s="16" t="s">
        <v>489</v>
      </c>
      <c r="I35" s="255" t="s">
        <v>2059</v>
      </c>
      <c r="J35" s="14">
        <v>51</v>
      </c>
      <c r="K35" s="16">
        <v>43</v>
      </c>
      <c r="L35" s="16">
        <v>48</v>
      </c>
      <c r="M35" s="16">
        <v>40</v>
      </c>
      <c r="N35" s="16">
        <v>55</v>
      </c>
      <c r="O35" s="520">
        <f t="shared" si="0"/>
        <v>182</v>
      </c>
      <c r="P35" s="626">
        <v>56</v>
      </c>
      <c r="Q35" s="626">
        <v>34</v>
      </c>
      <c r="R35" s="626">
        <v>48</v>
      </c>
      <c r="S35" s="626">
        <v>32</v>
      </c>
      <c r="T35" s="626">
        <v>59</v>
      </c>
      <c r="U35" s="626">
        <v>34</v>
      </c>
      <c r="V35" s="626">
        <v>45</v>
      </c>
      <c r="W35" s="626">
        <v>30</v>
      </c>
      <c r="X35" s="626">
        <v>58</v>
      </c>
      <c r="Y35" s="631">
        <v>37</v>
      </c>
      <c r="Z35" s="628">
        <f t="shared" si="1"/>
        <v>433</v>
      </c>
    </row>
    <row r="36" spans="1:26" ht="18.5">
      <c r="A36" s="254">
        <v>334</v>
      </c>
      <c r="B36" s="7" t="s">
        <v>1533</v>
      </c>
      <c r="C36" s="7" t="s">
        <v>1534</v>
      </c>
      <c r="D36" s="7" t="s">
        <v>1535</v>
      </c>
      <c r="E36" s="13" t="s">
        <v>1536</v>
      </c>
      <c r="F36" s="14">
        <v>314665985</v>
      </c>
      <c r="G36" s="14">
        <v>1217</v>
      </c>
      <c r="H36" s="16" t="s">
        <v>489</v>
      </c>
      <c r="I36" s="255" t="s">
        <v>2059</v>
      </c>
      <c r="J36" s="14">
        <v>57</v>
      </c>
      <c r="K36" s="16">
        <v>58</v>
      </c>
      <c r="L36" s="16">
        <v>57</v>
      </c>
      <c r="M36" s="16">
        <v>58</v>
      </c>
      <c r="N36" s="16">
        <v>59</v>
      </c>
      <c r="O36" s="520">
        <f t="shared" si="0"/>
        <v>230</v>
      </c>
      <c r="P36" s="626">
        <v>60</v>
      </c>
      <c r="Q36" s="626">
        <v>38</v>
      </c>
      <c r="R36" s="626">
        <v>58</v>
      </c>
      <c r="S36" s="626">
        <v>39</v>
      </c>
      <c r="T36" s="626">
        <v>59</v>
      </c>
      <c r="U36" s="626">
        <v>39</v>
      </c>
      <c r="V36" s="626">
        <v>58</v>
      </c>
      <c r="W36" s="626">
        <v>38</v>
      </c>
      <c r="X36" s="626">
        <v>60</v>
      </c>
      <c r="Y36" s="631">
        <v>39</v>
      </c>
      <c r="Z36" s="628">
        <f t="shared" si="1"/>
        <v>488</v>
      </c>
    </row>
    <row r="37" spans="1:26" ht="18.5">
      <c r="A37" s="254">
        <v>335</v>
      </c>
      <c r="B37" s="7" t="s">
        <v>1537</v>
      </c>
      <c r="C37" s="7" t="s">
        <v>1435</v>
      </c>
      <c r="D37" s="7" t="s">
        <v>3341</v>
      </c>
      <c r="E37" s="13" t="s">
        <v>1538</v>
      </c>
      <c r="F37" s="14">
        <v>323457893</v>
      </c>
      <c r="G37" s="14">
        <v>1111</v>
      </c>
      <c r="H37" s="16" t="s">
        <v>489</v>
      </c>
      <c r="I37" s="255" t="s">
        <v>2059</v>
      </c>
      <c r="J37" s="14">
        <v>55</v>
      </c>
      <c r="K37" s="16">
        <v>53</v>
      </c>
      <c r="L37" s="16">
        <v>52</v>
      </c>
      <c r="M37" s="16">
        <v>55</v>
      </c>
      <c r="N37" s="16">
        <v>59</v>
      </c>
      <c r="O37" s="520">
        <f t="shared" si="0"/>
        <v>215</v>
      </c>
      <c r="P37" s="626">
        <v>58</v>
      </c>
      <c r="Q37" s="626">
        <v>36</v>
      </c>
      <c r="R37" s="626">
        <v>58</v>
      </c>
      <c r="S37" s="626">
        <v>36</v>
      </c>
      <c r="T37" s="626">
        <v>57</v>
      </c>
      <c r="U37" s="626">
        <v>35</v>
      </c>
      <c r="V37" s="626">
        <v>59</v>
      </c>
      <c r="W37" s="626">
        <v>36</v>
      </c>
      <c r="X37" s="626">
        <v>59</v>
      </c>
      <c r="Y37" s="631">
        <v>38</v>
      </c>
      <c r="Z37" s="628">
        <f t="shared" si="1"/>
        <v>472</v>
      </c>
    </row>
    <row r="38" spans="1:26" s="373" customFormat="1" ht="18.5">
      <c r="A38" s="254">
        <v>336</v>
      </c>
      <c r="B38" s="9" t="s">
        <v>1539</v>
      </c>
      <c r="C38" s="9" t="s">
        <v>1540</v>
      </c>
      <c r="D38" s="9" t="s">
        <v>193</v>
      </c>
      <c r="E38" s="20" t="s">
        <v>1541</v>
      </c>
      <c r="F38" s="15">
        <v>317043239</v>
      </c>
      <c r="G38" s="15">
        <v>1163</v>
      </c>
      <c r="H38" s="16" t="s">
        <v>489</v>
      </c>
      <c r="I38" s="255" t="s">
        <v>2059</v>
      </c>
      <c r="J38" s="15">
        <v>37</v>
      </c>
      <c r="K38" s="17">
        <v>42</v>
      </c>
      <c r="L38" s="17">
        <v>45</v>
      </c>
      <c r="M38" s="17">
        <v>35</v>
      </c>
      <c r="N38" s="17">
        <v>30</v>
      </c>
      <c r="O38" s="520">
        <f t="shared" si="0"/>
        <v>159</v>
      </c>
      <c r="P38" s="626">
        <v>40</v>
      </c>
      <c r="Q38" s="626">
        <v>30</v>
      </c>
      <c r="R38" s="626">
        <v>42</v>
      </c>
      <c r="S38" s="626">
        <v>32</v>
      </c>
      <c r="T38" s="626">
        <v>36</v>
      </c>
      <c r="U38" s="626">
        <v>31</v>
      </c>
      <c r="V38" s="626">
        <v>44</v>
      </c>
      <c r="W38" s="626">
        <v>30</v>
      </c>
      <c r="X38" s="626">
        <v>45</v>
      </c>
      <c r="Y38" s="631">
        <v>35</v>
      </c>
      <c r="Z38" s="628">
        <f t="shared" si="1"/>
        <v>365</v>
      </c>
    </row>
    <row r="39" spans="1:26" ht="18.5">
      <c r="A39" s="254">
        <v>337</v>
      </c>
      <c r="B39" s="7" t="s">
        <v>3342</v>
      </c>
      <c r="C39" s="7" t="s">
        <v>3343</v>
      </c>
      <c r="D39" s="7" t="s">
        <v>1542</v>
      </c>
      <c r="E39" s="13" t="s">
        <v>1543</v>
      </c>
      <c r="F39" s="14">
        <v>307320624</v>
      </c>
      <c r="G39" s="14">
        <v>1353</v>
      </c>
      <c r="H39" s="16" t="s">
        <v>489</v>
      </c>
      <c r="I39" s="255" t="s">
        <v>2059</v>
      </c>
      <c r="J39" s="14">
        <v>33</v>
      </c>
      <c r="K39" s="16">
        <v>46</v>
      </c>
      <c r="L39" s="16">
        <v>41</v>
      </c>
      <c r="M39" s="16">
        <v>39</v>
      </c>
      <c r="N39" s="16">
        <v>39</v>
      </c>
      <c r="O39" s="520">
        <f t="shared" si="0"/>
        <v>159</v>
      </c>
      <c r="P39" s="626">
        <v>40</v>
      </c>
      <c r="Q39" s="626">
        <v>30</v>
      </c>
      <c r="R39" s="626">
        <v>37</v>
      </c>
      <c r="S39" s="626">
        <v>32</v>
      </c>
      <c r="T39" s="626">
        <v>44</v>
      </c>
      <c r="U39" s="626">
        <v>32</v>
      </c>
      <c r="V39" s="626">
        <v>44</v>
      </c>
      <c r="W39" s="626">
        <v>31</v>
      </c>
      <c r="X39" s="626">
        <v>50</v>
      </c>
      <c r="Y39" s="631">
        <v>36</v>
      </c>
      <c r="Z39" s="628">
        <f t="shared" si="1"/>
        <v>376</v>
      </c>
    </row>
    <row r="40" spans="1:26" ht="18.5">
      <c r="A40" s="254">
        <v>338</v>
      </c>
      <c r="B40" s="7" t="s">
        <v>1647</v>
      </c>
      <c r="C40" s="7" t="s">
        <v>1332</v>
      </c>
      <c r="D40" s="7" t="s">
        <v>1651</v>
      </c>
      <c r="E40" s="13" t="s">
        <v>1648</v>
      </c>
      <c r="F40" s="14">
        <v>306451656</v>
      </c>
      <c r="G40" s="14">
        <v>1310</v>
      </c>
      <c r="H40" s="16" t="s">
        <v>489</v>
      </c>
      <c r="I40" s="255" t="s">
        <v>2059</v>
      </c>
      <c r="J40" s="14">
        <v>40</v>
      </c>
      <c r="K40" s="16">
        <v>49</v>
      </c>
      <c r="L40" s="16">
        <v>44</v>
      </c>
      <c r="M40" s="16">
        <v>36</v>
      </c>
      <c r="N40" s="16">
        <v>36</v>
      </c>
      <c r="O40" s="520">
        <f t="shared" si="0"/>
        <v>169</v>
      </c>
      <c r="P40" s="626">
        <v>56</v>
      </c>
      <c r="Q40" s="626">
        <v>30</v>
      </c>
      <c r="R40" s="626">
        <v>42</v>
      </c>
      <c r="S40" s="626">
        <v>32</v>
      </c>
      <c r="T40" s="626">
        <v>47</v>
      </c>
      <c r="U40" s="626">
        <v>33</v>
      </c>
      <c r="V40" s="626">
        <v>45</v>
      </c>
      <c r="W40" s="626">
        <v>30</v>
      </c>
      <c r="X40" s="626">
        <v>45</v>
      </c>
      <c r="Y40" s="631">
        <v>30</v>
      </c>
      <c r="Z40" s="628">
        <f t="shared" si="1"/>
        <v>390</v>
      </c>
    </row>
    <row r="41" spans="1:26" ht="18.5">
      <c r="A41" s="254">
        <v>339</v>
      </c>
      <c r="B41" s="7" t="s">
        <v>1544</v>
      </c>
      <c r="C41" s="7" t="s">
        <v>1545</v>
      </c>
      <c r="D41" s="7" t="s">
        <v>1208</v>
      </c>
      <c r="E41" s="13" t="s">
        <v>1546</v>
      </c>
      <c r="F41" s="14">
        <v>315378404</v>
      </c>
      <c r="G41" s="14">
        <v>1283</v>
      </c>
      <c r="H41" s="16" t="s">
        <v>489</v>
      </c>
      <c r="I41" s="255" t="s">
        <v>2059</v>
      </c>
      <c r="J41" s="14">
        <v>35</v>
      </c>
      <c r="K41" s="16">
        <v>50</v>
      </c>
      <c r="L41" s="16">
        <v>49</v>
      </c>
      <c r="M41" s="16">
        <v>38</v>
      </c>
      <c r="N41" s="16">
        <v>44</v>
      </c>
      <c r="O41" s="520">
        <f t="shared" si="0"/>
        <v>172</v>
      </c>
      <c r="P41" s="626">
        <v>51</v>
      </c>
      <c r="Q41" s="626">
        <v>30</v>
      </c>
      <c r="R41" s="626">
        <v>42</v>
      </c>
      <c r="S41" s="626">
        <v>35</v>
      </c>
      <c r="T41" s="626">
        <v>42</v>
      </c>
      <c r="U41" s="626">
        <v>34</v>
      </c>
      <c r="V41" s="626">
        <v>46</v>
      </c>
      <c r="W41" s="626">
        <v>30</v>
      </c>
      <c r="X41" s="626">
        <v>53</v>
      </c>
      <c r="Y41" s="631">
        <v>34</v>
      </c>
      <c r="Z41" s="628">
        <f t="shared" si="1"/>
        <v>397</v>
      </c>
    </row>
    <row r="42" spans="1:26" ht="18.5">
      <c r="A42" s="254">
        <v>340</v>
      </c>
      <c r="B42" s="7" t="s">
        <v>1547</v>
      </c>
      <c r="C42" s="7" t="s">
        <v>1548</v>
      </c>
      <c r="D42" s="7" t="s">
        <v>1549</v>
      </c>
      <c r="E42" s="13" t="s">
        <v>1550</v>
      </c>
      <c r="F42" s="14">
        <v>304686752</v>
      </c>
      <c r="G42" s="14">
        <v>1191</v>
      </c>
      <c r="H42" s="16" t="s">
        <v>489</v>
      </c>
      <c r="I42" s="255" t="s">
        <v>2059</v>
      </c>
      <c r="J42" s="14">
        <v>35</v>
      </c>
      <c r="K42" s="16">
        <v>42</v>
      </c>
      <c r="L42" s="16">
        <v>39</v>
      </c>
      <c r="M42" s="16">
        <v>38</v>
      </c>
      <c r="N42" s="16">
        <v>37</v>
      </c>
      <c r="O42" s="520">
        <f t="shared" si="0"/>
        <v>154</v>
      </c>
      <c r="P42" s="626">
        <v>30</v>
      </c>
      <c r="Q42" s="626">
        <v>30</v>
      </c>
      <c r="R42" s="626">
        <v>35</v>
      </c>
      <c r="S42" s="626">
        <v>32</v>
      </c>
      <c r="T42" s="626">
        <v>38</v>
      </c>
      <c r="U42" s="626">
        <v>32</v>
      </c>
      <c r="V42" s="626">
        <v>41</v>
      </c>
      <c r="W42" s="626">
        <v>30</v>
      </c>
      <c r="X42" s="626">
        <v>38</v>
      </c>
      <c r="Y42" s="631">
        <v>30</v>
      </c>
      <c r="Z42" s="628">
        <f t="shared" si="1"/>
        <v>336</v>
      </c>
    </row>
    <row r="43" spans="1:26" ht="18.5">
      <c r="A43" s="254">
        <v>341</v>
      </c>
      <c r="B43" s="7" t="s">
        <v>1286</v>
      </c>
      <c r="C43" s="7" t="s">
        <v>1551</v>
      </c>
      <c r="D43" s="7" t="s">
        <v>1552</v>
      </c>
      <c r="E43" s="13" t="s">
        <v>1553</v>
      </c>
      <c r="F43" s="14">
        <v>310084317</v>
      </c>
      <c r="G43" s="14">
        <v>1276</v>
      </c>
      <c r="H43" s="16" t="s">
        <v>489</v>
      </c>
      <c r="I43" s="255" t="s">
        <v>2059</v>
      </c>
      <c r="J43" s="14">
        <v>40</v>
      </c>
      <c r="K43" s="16">
        <v>46</v>
      </c>
      <c r="L43" s="16">
        <v>30</v>
      </c>
      <c r="M43" s="16">
        <v>44</v>
      </c>
      <c r="N43" s="16">
        <v>35</v>
      </c>
      <c r="O43" s="520">
        <f t="shared" si="0"/>
        <v>160</v>
      </c>
      <c r="P43" s="626">
        <v>40</v>
      </c>
      <c r="Q43" s="626">
        <v>30</v>
      </c>
      <c r="R43" s="626">
        <v>40</v>
      </c>
      <c r="S43" s="626">
        <v>32</v>
      </c>
      <c r="T43" s="626">
        <v>38</v>
      </c>
      <c r="U43" s="626">
        <v>30</v>
      </c>
      <c r="V43" s="626">
        <v>44</v>
      </c>
      <c r="W43" s="626">
        <v>32</v>
      </c>
      <c r="X43" s="626">
        <v>49</v>
      </c>
      <c r="Y43" s="631">
        <v>35</v>
      </c>
      <c r="Z43" s="628">
        <f t="shared" si="1"/>
        <v>370</v>
      </c>
    </row>
    <row r="44" spans="1:26" ht="18.5">
      <c r="A44" s="254">
        <v>342</v>
      </c>
      <c r="B44" s="8" t="s">
        <v>2295</v>
      </c>
      <c r="C44" s="8" t="s">
        <v>2296</v>
      </c>
      <c r="D44" s="8" t="s">
        <v>2154</v>
      </c>
      <c r="E44" s="250" t="s">
        <v>2297</v>
      </c>
      <c r="F44" s="383">
        <v>315941630</v>
      </c>
      <c r="G44" s="383">
        <v>1787</v>
      </c>
      <c r="H44" s="16" t="s">
        <v>489</v>
      </c>
      <c r="I44" s="255" t="s">
        <v>2059</v>
      </c>
      <c r="J44" s="14">
        <v>33</v>
      </c>
      <c r="K44" s="16">
        <v>45</v>
      </c>
      <c r="L44" s="16">
        <v>37</v>
      </c>
      <c r="M44" s="16">
        <v>38</v>
      </c>
      <c r="N44" s="16">
        <v>36</v>
      </c>
      <c r="O44" s="520">
        <f t="shared" si="0"/>
        <v>153</v>
      </c>
      <c r="P44" s="626">
        <v>42</v>
      </c>
      <c r="Q44" s="626">
        <v>30</v>
      </c>
      <c r="R44" s="626">
        <v>34</v>
      </c>
      <c r="S44" s="626">
        <v>32</v>
      </c>
      <c r="T44" s="626">
        <v>31</v>
      </c>
      <c r="U44" s="626">
        <v>30</v>
      </c>
      <c r="V44" s="626">
        <v>45</v>
      </c>
      <c r="W44" s="626">
        <v>30</v>
      </c>
      <c r="X44" s="626">
        <v>39</v>
      </c>
      <c r="Y44" s="631">
        <v>32</v>
      </c>
      <c r="Z44" s="628">
        <f t="shared" si="1"/>
        <v>345</v>
      </c>
    </row>
    <row r="45" spans="1:26" ht="18.5">
      <c r="A45" s="254">
        <v>343</v>
      </c>
      <c r="B45" s="387" t="s">
        <v>1554</v>
      </c>
      <c r="C45" s="7" t="s">
        <v>1555</v>
      </c>
      <c r="D45" s="7" t="s">
        <v>1556</v>
      </c>
      <c r="E45" s="13" t="s">
        <v>1557</v>
      </c>
      <c r="F45" s="14">
        <v>309408244</v>
      </c>
      <c r="G45" s="14">
        <v>1245</v>
      </c>
      <c r="H45" s="16" t="s">
        <v>489</v>
      </c>
      <c r="I45" s="255" t="s">
        <v>2059</v>
      </c>
      <c r="J45" s="14">
        <v>50</v>
      </c>
      <c r="K45" s="16">
        <v>54</v>
      </c>
      <c r="L45" s="16">
        <v>39</v>
      </c>
      <c r="M45" s="16">
        <v>39</v>
      </c>
      <c r="N45" s="16">
        <v>53</v>
      </c>
      <c r="O45" s="520">
        <f t="shared" si="0"/>
        <v>182</v>
      </c>
      <c r="P45" s="626">
        <v>48</v>
      </c>
      <c r="Q45" s="626">
        <v>35</v>
      </c>
      <c r="R45" s="626">
        <v>48</v>
      </c>
      <c r="S45" s="626">
        <v>36</v>
      </c>
      <c r="T45" s="626">
        <v>42</v>
      </c>
      <c r="U45" s="626">
        <v>30</v>
      </c>
      <c r="V45" s="626">
        <v>49</v>
      </c>
      <c r="W45" s="626">
        <v>30</v>
      </c>
      <c r="X45" s="626">
        <v>55</v>
      </c>
      <c r="Y45" s="631">
        <v>36</v>
      </c>
      <c r="Z45" s="628">
        <f t="shared" si="1"/>
        <v>409</v>
      </c>
    </row>
    <row r="46" spans="1:26" ht="18.5">
      <c r="A46" s="254">
        <v>344</v>
      </c>
      <c r="B46" s="387" t="s">
        <v>1683</v>
      </c>
      <c r="C46" s="7" t="s">
        <v>1684</v>
      </c>
      <c r="D46" s="7" t="s">
        <v>1685</v>
      </c>
      <c r="E46" s="13" t="s">
        <v>1686</v>
      </c>
      <c r="F46" s="14">
        <v>312314759</v>
      </c>
      <c r="G46" s="14">
        <v>1670</v>
      </c>
      <c r="H46" s="16" t="s">
        <v>489</v>
      </c>
      <c r="I46" s="255" t="s">
        <v>2059</v>
      </c>
      <c r="J46" s="14">
        <v>35</v>
      </c>
      <c r="K46" s="16">
        <v>47</v>
      </c>
      <c r="L46" s="16">
        <v>33</v>
      </c>
      <c r="M46" s="16">
        <v>34</v>
      </c>
      <c r="N46" s="16">
        <v>39</v>
      </c>
      <c r="O46" s="520">
        <f t="shared" si="0"/>
        <v>149</v>
      </c>
      <c r="P46" s="626">
        <v>35</v>
      </c>
      <c r="Q46" s="626">
        <v>30</v>
      </c>
      <c r="R46" s="626">
        <v>38</v>
      </c>
      <c r="S46" s="626">
        <v>32</v>
      </c>
      <c r="T46" s="626">
        <v>34</v>
      </c>
      <c r="U46" s="626">
        <v>30</v>
      </c>
      <c r="V46" s="626">
        <v>46</v>
      </c>
      <c r="W46" s="626">
        <v>30</v>
      </c>
      <c r="X46" s="626">
        <v>34</v>
      </c>
      <c r="Y46" s="631">
        <v>30</v>
      </c>
      <c r="Z46" s="628">
        <f t="shared" si="1"/>
        <v>339</v>
      </c>
    </row>
    <row r="47" spans="1:26" ht="18.5">
      <c r="A47" s="254">
        <v>345</v>
      </c>
      <c r="B47" s="8" t="s">
        <v>3489</v>
      </c>
      <c r="C47" s="8" t="s">
        <v>2298</v>
      </c>
      <c r="D47" s="8" t="s">
        <v>2299</v>
      </c>
      <c r="E47" s="382" t="s">
        <v>1606</v>
      </c>
      <c r="F47" s="383">
        <v>3107168028</v>
      </c>
      <c r="G47" s="383">
        <v>1823</v>
      </c>
      <c r="H47" s="16" t="s">
        <v>489</v>
      </c>
      <c r="I47" s="255" t="s">
        <v>2059</v>
      </c>
      <c r="J47" s="14">
        <v>40</v>
      </c>
      <c r="K47" s="16">
        <v>52</v>
      </c>
      <c r="L47" s="16">
        <v>49</v>
      </c>
      <c r="M47" s="16">
        <v>38</v>
      </c>
      <c r="N47" s="16">
        <v>44</v>
      </c>
      <c r="O47" s="520">
        <f t="shared" si="0"/>
        <v>179</v>
      </c>
      <c r="P47" s="626">
        <v>50</v>
      </c>
      <c r="Q47" s="626">
        <v>30</v>
      </c>
      <c r="R47" s="626">
        <v>39</v>
      </c>
      <c r="S47" s="626">
        <v>34</v>
      </c>
      <c r="T47" s="626">
        <v>55</v>
      </c>
      <c r="U47" s="626">
        <v>34</v>
      </c>
      <c r="V47" s="626">
        <v>52</v>
      </c>
      <c r="W47" s="626">
        <v>30</v>
      </c>
      <c r="X47" s="626">
        <v>52</v>
      </c>
      <c r="Y47" s="631">
        <v>35</v>
      </c>
      <c r="Z47" s="628">
        <f t="shared" si="1"/>
        <v>411</v>
      </c>
    </row>
    <row r="48" spans="1:26" s="373" customFormat="1" ht="18.5">
      <c r="A48" s="374">
        <v>346</v>
      </c>
      <c r="B48" s="388" t="s">
        <v>1561</v>
      </c>
      <c r="C48" s="9" t="s">
        <v>1562</v>
      </c>
      <c r="D48" s="9" t="s">
        <v>19</v>
      </c>
      <c r="E48" s="20" t="s">
        <v>1563</v>
      </c>
      <c r="F48" s="15">
        <v>316039003</v>
      </c>
      <c r="G48" s="15">
        <v>1215</v>
      </c>
      <c r="H48" s="16" t="s">
        <v>489</v>
      </c>
      <c r="I48" s="255" t="s">
        <v>2059</v>
      </c>
      <c r="J48" s="15">
        <v>55</v>
      </c>
      <c r="K48" s="17">
        <v>55</v>
      </c>
      <c r="L48" s="17">
        <v>51</v>
      </c>
      <c r="M48" s="17">
        <v>37</v>
      </c>
      <c r="N48" s="17">
        <v>52</v>
      </c>
      <c r="O48" s="520">
        <f t="shared" si="0"/>
        <v>198</v>
      </c>
      <c r="P48" s="626">
        <v>54</v>
      </c>
      <c r="Q48" s="626">
        <v>36</v>
      </c>
      <c r="R48" s="626">
        <v>48</v>
      </c>
      <c r="S48" s="626">
        <v>36</v>
      </c>
      <c r="T48" s="626">
        <v>45</v>
      </c>
      <c r="U48" s="626">
        <v>35</v>
      </c>
      <c r="V48" s="626">
        <v>48</v>
      </c>
      <c r="W48" s="626">
        <v>31</v>
      </c>
      <c r="X48" s="626">
        <v>54</v>
      </c>
      <c r="Y48" s="631">
        <v>34</v>
      </c>
      <c r="Z48" s="628">
        <f t="shared" si="1"/>
        <v>421</v>
      </c>
    </row>
    <row r="49" spans="1:26" ht="18.5">
      <c r="A49" s="254">
        <v>347</v>
      </c>
      <c r="B49" s="387" t="s">
        <v>1564</v>
      </c>
      <c r="C49" s="7" t="s">
        <v>1565</v>
      </c>
      <c r="D49" s="7" t="s">
        <v>1566</v>
      </c>
      <c r="E49" s="13" t="s">
        <v>1567</v>
      </c>
      <c r="F49" s="14">
        <v>315686484</v>
      </c>
      <c r="G49" s="14">
        <v>1141</v>
      </c>
      <c r="H49" s="16" t="s">
        <v>489</v>
      </c>
      <c r="I49" s="255" t="s">
        <v>2059</v>
      </c>
      <c r="J49" s="14">
        <v>41</v>
      </c>
      <c r="K49" s="16">
        <v>49</v>
      </c>
      <c r="L49" s="16">
        <v>40</v>
      </c>
      <c r="M49" s="16">
        <v>38</v>
      </c>
      <c r="N49" s="16">
        <v>37</v>
      </c>
      <c r="O49" s="520">
        <f t="shared" si="0"/>
        <v>168</v>
      </c>
      <c r="P49" s="626">
        <v>39</v>
      </c>
      <c r="Q49" s="626">
        <v>31</v>
      </c>
      <c r="R49" s="626">
        <v>35</v>
      </c>
      <c r="S49" s="626">
        <v>32</v>
      </c>
      <c r="T49" s="626">
        <v>35</v>
      </c>
      <c r="U49" s="626">
        <v>30</v>
      </c>
      <c r="V49" s="626">
        <v>39</v>
      </c>
      <c r="W49" s="626">
        <v>30</v>
      </c>
      <c r="X49" s="626">
        <v>34</v>
      </c>
      <c r="Y49" s="631">
        <v>30</v>
      </c>
      <c r="Z49" s="628">
        <f t="shared" si="1"/>
        <v>335</v>
      </c>
    </row>
    <row r="50" spans="1:26" ht="18.5">
      <c r="A50" s="254">
        <v>348</v>
      </c>
      <c r="B50" s="387" t="s">
        <v>1568</v>
      </c>
      <c r="C50" s="7" t="s">
        <v>1569</v>
      </c>
      <c r="D50" s="7" t="s">
        <v>1570</v>
      </c>
      <c r="E50" s="13" t="s">
        <v>1571</v>
      </c>
      <c r="F50" s="14">
        <v>320600909</v>
      </c>
      <c r="G50" s="14">
        <v>1095</v>
      </c>
      <c r="H50" s="16" t="s">
        <v>489</v>
      </c>
      <c r="I50" s="255" t="s">
        <v>2059</v>
      </c>
      <c r="J50" s="14">
        <v>35</v>
      </c>
      <c r="K50" s="16">
        <v>37</v>
      </c>
      <c r="L50" s="16">
        <v>34</v>
      </c>
      <c r="M50" s="16">
        <v>31</v>
      </c>
      <c r="N50" s="16">
        <v>33</v>
      </c>
      <c r="O50" s="520">
        <f t="shared" si="0"/>
        <v>137</v>
      </c>
      <c r="P50" s="626">
        <v>30</v>
      </c>
      <c r="Q50" s="626">
        <v>30</v>
      </c>
      <c r="R50" s="626">
        <v>30</v>
      </c>
      <c r="S50" s="626">
        <v>30</v>
      </c>
      <c r="T50" s="626">
        <v>38</v>
      </c>
      <c r="U50" s="626">
        <v>30</v>
      </c>
      <c r="V50" s="626">
        <v>40</v>
      </c>
      <c r="W50" s="626">
        <v>30</v>
      </c>
      <c r="X50" s="626">
        <v>30</v>
      </c>
      <c r="Y50" s="631">
        <v>29</v>
      </c>
      <c r="Z50" s="628">
        <f t="shared" si="1"/>
        <v>317</v>
      </c>
    </row>
    <row r="51" spans="1:26" ht="18.5">
      <c r="A51" s="254">
        <v>349</v>
      </c>
      <c r="B51" s="387" t="s">
        <v>1578</v>
      </c>
      <c r="C51" s="7" t="s">
        <v>1579</v>
      </c>
      <c r="D51" s="7" t="s">
        <v>1580</v>
      </c>
      <c r="E51" s="13" t="s">
        <v>1581</v>
      </c>
      <c r="F51" s="14">
        <v>303828752</v>
      </c>
      <c r="G51" s="14">
        <v>1233</v>
      </c>
      <c r="H51" s="16" t="s">
        <v>489</v>
      </c>
      <c r="I51" s="255" t="s">
        <v>2059</v>
      </c>
      <c r="J51" s="14">
        <v>51</v>
      </c>
      <c r="K51" s="16">
        <v>53</v>
      </c>
      <c r="L51" s="16">
        <v>39</v>
      </c>
      <c r="M51" s="16">
        <v>41</v>
      </c>
      <c r="N51" s="16">
        <v>45</v>
      </c>
      <c r="O51" s="520">
        <f t="shared" si="0"/>
        <v>184</v>
      </c>
      <c r="P51" s="626">
        <v>53</v>
      </c>
      <c r="Q51" s="626">
        <v>35</v>
      </c>
      <c r="R51" s="626">
        <v>45</v>
      </c>
      <c r="S51" s="626">
        <v>36</v>
      </c>
      <c r="T51" s="626">
        <v>43</v>
      </c>
      <c r="U51" s="626">
        <v>36</v>
      </c>
      <c r="V51" s="626">
        <v>54</v>
      </c>
      <c r="W51" s="626">
        <v>32</v>
      </c>
      <c r="X51" s="626">
        <v>53</v>
      </c>
      <c r="Y51" s="631">
        <v>33</v>
      </c>
      <c r="Z51" s="628">
        <f t="shared" si="1"/>
        <v>420</v>
      </c>
    </row>
    <row r="52" spans="1:26" ht="18.5">
      <c r="A52" s="254">
        <v>350</v>
      </c>
      <c r="B52" s="387" t="s">
        <v>1582</v>
      </c>
      <c r="C52" s="7" t="s">
        <v>916</v>
      </c>
      <c r="D52" s="7" t="s">
        <v>1583</v>
      </c>
      <c r="E52" s="13" t="s">
        <v>274</v>
      </c>
      <c r="F52" s="14">
        <v>307807766</v>
      </c>
      <c r="G52" s="14">
        <v>1396</v>
      </c>
      <c r="H52" s="16" t="s">
        <v>489</v>
      </c>
      <c r="I52" s="255" t="s">
        <v>2059</v>
      </c>
      <c r="J52" s="14">
        <v>33</v>
      </c>
      <c r="K52" s="16">
        <v>35</v>
      </c>
      <c r="L52" s="16">
        <v>30</v>
      </c>
      <c r="M52" s="16">
        <v>35</v>
      </c>
      <c r="N52" s="16">
        <v>36</v>
      </c>
      <c r="O52" s="520">
        <f t="shared" si="0"/>
        <v>133</v>
      </c>
      <c r="P52" s="626">
        <v>36</v>
      </c>
      <c r="Q52" s="626">
        <v>30</v>
      </c>
      <c r="R52" s="626">
        <v>42</v>
      </c>
      <c r="S52" s="626">
        <v>30</v>
      </c>
      <c r="T52" s="626">
        <v>32</v>
      </c>
      <c r="U52" s="626">
        <v>30</v>
      </c>
      <c r="V52" s="626">
        <v>36</v>
      </c>
      <c r="W52" s="626">
        <v>30</v>
      </c>
      <c r="X52" s="626">
        <v>49</v>
      </c>
      <c r="Y52" s="631">
        <v>32</v>
      </c>
      <c r="Z52" s="628">
        <f t="shared" si="1"/>
        <v>347</v>
      </c>
    </row>
    <row r="53" spans="1:26" ht="18.5">
      <c r="A53" s="254">
        <v>351</v>
      </c>
      <c r="B53" s="387" t="s">
        <v>1584</v>
      </c>
      <c r="C53" s="7" t="s">
        <v>1585</v>
      </c>
      <c r="D53" s="7" t="s">
        <v>1586</v>
      </c>
      <c r="E53" s="13" t="s">
        <v>1587</v>
      </c>
      <c r="F53" s="14">
        <v>306430483</v>
      </c>
      <c r="G53" s="14">
        <v>1331</v>
      </c>
      <c r="H53" s="16" t="s">
        <v>489</v>
      </c>
      <c r="I53" s="255" t="s">
        <v>2059</v>
      </c>
      <c r="J53" s="14">
        <v>33</v>
      </c>
      <c r="K53" s="16">
        <v>47</v>
      </c>
      <c r="L53" s="16">
        <v>39</v>
      </c>
      <c r="M53" s="16">
        <v>33</v>
      </c>
      <c r="N53" s="16">
        <v>32</v>
      </c>
      <c r="O53" s="520">
        <f t="shared" si="0"/>
        <v>152</v>
      </c>
      <c r="P53" s="626">
        <v>50</v>
      </c>
      <c r="Q53" s="626">
        <v>31</v>
      </c>
      <c r="R53" s="626">
        <v>43</v>
      </c>
      <c r="S53" s="626">
        <v>32</v>
      </c>
      <c r="T53" s="626">
        <v>40</v>
      </c>
      <c r="U53" s="626">
        <v>30</v>
      </c>
      <c r="V53" s="626">
        <v>37</v>
      </c>
      <c r="W53" s="626">
        <v>30</v>
      </c>
      <c r="X53" s="626">
        <v>51</v>
      </c>
      <c r="Y53" s="631">
        <v>34</v>
      </c>
      <c r="Z53" s="628">
        <f t="shared" si="1"/>
        <v>378</v>
      </c>
    </row>
    <row r="54" spans="1:26" ht="18.5">
      <c r="A54" s="254">
        <v>352</v>
      </c>
      <c r="B54" s="387" t="s">
        <v>3491</v>
      </c>
      <c r="C54" s="7" t="s">
        <v>1588</v>
      </c>
      <c r="D54" s="7" t="s">
        <v>615</v>
      </c>
      <c r="E54" s="13" t="s">
        <v>880</v>
      </c>
      <c r="F54" s="14">
        <v>313201993</v>
      </c>
      <c r="G54" s="14">
        <v>1547</v>
      </c>
      <c r="H54" s="16" t="s">
        <v>489</v>
      </c>
      <c r="I54" s="255" t="s">
        <v>2059</v>
      </c>
      <c r="J54" s="14">
        <v>55</v>
      </c>
      <c r="K54" s="16">
        <v>48</v>
      </c>
      <c r="L54" s="16">
        <v>39</v>
      </c>
      <c r="M54" s="16">
        <v>38</v>
      </c>
      <c r="N54" s="16">
        <v>45</v>
      </c>
      <c r="O54" s="520">
        <f t="shared" si="0"/>
        <v>180</v>
      </c>
      <c r="P54" s="626">
        <v>57</v>
      </c>
      <c r="Q54" s="626">
        <v>36</v>
      </c>
      <c r="R54" s="626">
        <v>45</v>
      </c>
      <c r="S54" s="626">
        <v>35</v>
      </c>
      <c r="T54" s="626">
        <v>47</v>
      </c>
      <c r="U54" s="626">
        <v>30</v>
      </c>
      <c r="V54" s="626">
        <v>58</v>
      </c>
      <c r="W54" s="626">
        <v>30</v>
      </c>
      <c r="X54" s="626">
        <v>58</v>
      </c>
      <c r="Y54" s="631">
        <v>37</v>
      </c>
      <c r="Z54" s="628">
        <f t="shared" si="1"/>
        <v>433</v>
      </c>
    </row>
    <row r="55" spans="1:26" ht="18.5">
      <c r="A55" s="254">
        <v>353</v>
      </c>
      <c r="B55" s="387" t="s">
        <v>1589</v>
      </c>
      <c r="C55" s="7" t="s">
        <v>1590</v>
      </c>
      <c r="D55" s="7" t="s">
        <v>1591</v>
      </c>
      <c r="E55" s="13" t="s">
        <v>1592</v>
      </c>
      <c r="F55" s="14">
        <v>311804170</v>
      </c>
      <c r="G55" s="14">
        <v>1371</v>
      </c>
      <c r="H55" s="16" t="s">
        <v>489</v>
      </c>
      <c r="I55" s="255" t="s">
        <v>2059</v>
      </c>
      <c r="J55" s="14">
        <v>32</v>
      </c>
      <c r="K55" s="16">
        <v>36</v>
      </c>
      <c r="L55" s="16">
        <v>38</v>
      </c>
      <c r="M55" s="16">
        <v>38</v>
      </c>
      <c r="N55" s="16">
        <v>39</v>
      </c>
      <c r="O55" s="520">
        <f t="shared" si="0"/>
        <v>144</v>
      </c>
      <c r="P55" s="626">
        <v>41</v>
      </c>
      <c r="Q55" s="626">
        <v>30</v>
      </c>
      <c r="R55" s="626">
        <v>35</v>
      </c>
      <c r="S55" s="626">
        <v>30</v>
      </c>
      <c r="T55" s="626">
        <v>38</v>
      </c>
      <c r="U55" s="626">
        <v>30</v>
      </c>
      <c r="V55" s="626">
        <v>40</v>
      </c>
      <c r="W55" s="626">
        <v>30</v>
      </c>
      <c r="X55" s="626">
        <v>43</v>
      </c>
      <c r="Y55" s="631">
        <v>32</v>
      </c>
      <c r="Z55" s="628">
        <f t="shared" si="1"/>
        <v>349</v>
      </c>
    </row>
    <row r="56" spans="1:26" ht="18.5">
      <c r="A56" s="254">
        <v>354</v>
      </c>
      <c r="B56" s="387" t="s">
        <v>1593</v>
      </c>
      <c r="C56" s="7" t="s">
        <v>1153</v>
      </c>
      <c r="D56" s="7" t="s">
        <v>715</v>
      </c>
      <c r="E56" s="13" t="s">
        <v>1594</v>
      </c>
      <c r="F56" s="14">
        <v>309408286</v>
      </c>
      <c r="G56" s="14">
        <v>1142</v>
      </c>
      <c r="H56" s="16" t="s">
        <v>489</v>
      </c>
      <c r="I56" s="255" t="s">
        <v>2059</v>
      </c>
      <c r="J56" s="14">
        <v>38</v>
      </c>
      <c r="K56" s="16">
        <v>38</v>
      </c>
      <c r="L56" s="16">
        <v>33</v>
      </c>
      <c r="M56" s="16">
        <v>32</v>
      </c>
      <c r="N56" s="16">
        <v>37</v>
      </c>
      <c r="O56" s="520">
        <f t="shared" si="0"/>
        <v>141</v>
      </c>
      <c r="P56" s="626">
        <v>35</v>
      </c>
      <c r="Q56" s="626">
        <v>30</v>
      </c>
      <c r="R56" s="626">
        <v>35</v>
      </c>
      <c r="S56" s="626">
        <v>30</v>
      </c>
      <c r="T56" s="626">
        <v>37</v>
      </c>
      <c r="U56" s="626">
        <v>30</v>
      </c>
      <c r="V56" s="626">
        <v>42</v>
      </c>
      <c r="W56" s="626">
        <v>30</v>
      </c>
      <c r="X56" s="626">
        <v>37</v>
      </c>
      <c r="Y56" s="631">
        <v>30</v>
      </c>
      <c r="Z56" s="628">
        <f t="shared" si="1"/>
        <v>336</v>
      </c>
    </row>
    <row r="57" spans="1:26" ht="18.5">
      <c r="A57" s="254">
        <v>355</v>
      </c>
      <c r="B57" s="387" t="s">
        <v>1595</v>
      </c>
      <c r="C57" s="7" t="s">
        <v>834</v>
      </c>
      <c r="D57" s="7" t="s">
        <v>1596</v>
      </c>
      <c r="E57" s="13" t="s">
        <v>1597</v>
      </c>
      <c r="F57" s="14">
        <v>312682523</v>
      </c>
      <c r="G57" s="14">
        <v>1227</v>
      </c>
      <c r="H57" s="16" t="s">
        <v>489</v>
      </c>
      <c r="I57" s="255" t="s">
        <v>2059</v>
      </c>
      <c r="J57" s="14">
        <v>36</v>
      </c>
      <c r="K57" s="16">
        <v>43</v>
      </c>
      <c r="L57" s="16">
        <v>37</v>
      </c>
      <c r="M57" s="16">
        <v>34</v>
      </c>
      <c r="N57" s="16">
        <v>39</v>
      </c>
      <c r="O57" s="520">
        <f t="shared" si="0"/>
        <v>150</v>
      </c>
      <c r="P57" s="626">
        <v>41</v>
      </c>
      <c r="Q57" s="626">
        <v>30</v>
      </c>
      <c r="R57" s="626">
        <v>36</v>
      </c>
      <c r="S57" s="626">
        <v>32</v>
      </c>
      <c r="T57" s="626">
        <v>39</v>
      </c>
      <c r="U57" s="626">
        <v>30</v>
      </c>
      <c r="V57" s="626">
        <v>41</v>
      </c>
      <c r="W57" s="626">
        <v>30</v>
      </c>
      <c r="X57" s="626">
        <v>51</v>
      </c>
      <c r="Y57" s="631">
        <v>34</v>
      </c>
      <c r="Z57" s="628">
        <f t="shared" si="1"/>
        <v>364</v>
      </c>
    </row>
    <row r="58" spans="1:26" ht="18.5">
      <c r="A58" s="254">
        <v>356</v>
      </c>
      <c r="B58" s="387" t="s">
        <v>1598</v>
      </c>
      <c r="C58" s="7" t="s">
        <v>1599</v>
      </c>
      <c r="D58" s="7" t="s">
        <v>1600</v>
      </c>
      <c r="E58" s="13" t="s">
        <v>1601</v>
      </c>
      <c r="F58" s="14">
        <v>310997627</v>
      </c>
      <c r="G58" s="14">
        <v>1420</v>
      </c>
      <c r="H58" s="16" t="s">
        <v>489</v>
      </c>
      <c r="I58" s="255" t="s">
        <v>2059</v>
      </c>
      <c r="J58" s="14">
        <v>37</v>
      </c>
      <c r="K58" s="16">
        <v>42</v>
      </c>
      <c r="L58" s="16">
        <v>38</v>
      </c>
      <c r="M58" s="16">
        <v>35</v>
      </c>
      <c r="N58" s="16">
        <v>40</v>
      </c>
      <c r="O58" s="520">
        <f t="shared" si="0"/>
        <v>152</v>
      </c>
      <c r="P58" s="626">
        <v>50</v>
      </c>
      <c r="Q58" s="626">
        <v>30</v>
      </c>
      <c r="R58" s="626">
        <v>37</v>
      </c>
      <c r="S58" s="626">
        <v>32</v>
      </c>
      <c r="T58" s="626">
        <v>44</v>
      </c>
      <c r="U58" s="626">
        <v>30</v>
      </c>
      <c r="V58" s="626">
        <v>41</v>
      </c>
      <c r="W58" s="626">
        <v>30</v>
      </c>
      <c r="X58" s="626">
        <v>44</v>
      </c>
      <c r="Y58" s="631">
        <v>32</v>
      </c>
      <c r="Z58" s="628">
        <f t="shared" si="1"/>
        <v>370</v>
      </c>
    </row>
    <row r="59" spans="1:26" ht="18.5">
      <c r="A59" s="254">
        <v>357</v>
      </c>
      <c r="B59" s="387" t="s">
        <v>1602</v>
      </c>
      <c r="C59" s="7" t="s">
        <v>1603</v>
      </c>
      <c r="D59" s="7" t="s">
        <v>1604</v>
      </c>
      <c r="E59" s="13" t="s">
        <v>1605</v>
      </c>
      <c r="F59" s="14">
        <v>307251018</v>
      </c>
      <c r="G59" s="14">
        <v>1327</v>
      </c>
      <c r="H59" s="16" t="s">
        <v>489</v>
      </c>
      <c r="I59" s="255" t="s">
        <v>2059</v>
      </c>
      <c r="J59" s="14">
        <v>33</v>
      </c>
      <c r="K59" s="16">
        <v>32</v>
      </c>
      <c r="L59" s="16">
        <v>36</v>
      </c>
      <c r="M59" s="16">
        <v>38</v>
      </c>
      <c r="N59" s="16">
        <v>35</v>
      </c>
      <c r="O59" s="520">
        <f t="shared" si="0"/>
        <v>139</v>
      </c>
      <c r="P59" s="626">
        <v>35</v>
      </c>
      <c r="Q59" s="626">
        <v>30</v>
      </c>
      <c r="R59" s="626">
        <v>37</v>
      </c>
      <c r="S59" s="626">
        <v>30</v>
      </c>
      <c r="T59" s="626">
        <v>36</v>
      </c>
      <c r="U59" s="626">
        <v>30</v>
      </c>
      <c r="V59" s="626">
        <v>39</v>
      </c>
      <c r="W59" s="626">
        <v>30</v>
      </c>
      <c r="X59" s="626">
        <v>30</v>
      </c>
      <c r="Y59" s="631">
        <v>29</v>
      </c>
      <c r="Z59" s="628">
        <f t="shared" si="1"/>
        <v>326</v>
      </c>
    </row>
    <row r="60" spans="1:26" ht="18.5">
      <c r="A60" s="254">
        <v>358</v>
      </c>
      <c r="B60" s="387" t="s">
        <v>1607</v>
      </c>
      <c r="C60" s="7" t="s">
        <v>1608</v>
      </c>
      <c r="D60" s="7" t="s">
        <v>128</v>
      </c>
      <c r="E60" s="13" t="s">
        <v>3490</v>
      </c>
      <c r="F60" s="14">
        <v>311526840</v>
      </c>
      <c r="G60" s="14">
        <v>1063</v>
      </c>
      <c r="H60" s="16" t="s">
        <v>489</v>
      </c>
      <c r="I60" s="255" t="s">
        <v>2059</v>
      </c>
      <c r="J60" s="14">
        <v>35</v>
      </c>
      <c r="K60" s="16">
        <v>39</v>
      </c>
      <c r="L60" s="16">
        <v>50</v>
      </c>
      <c r="M60" s="16">
        <v>34</v>
      </c>
      <c r="N60" s="16">
        <v>33</v>
      </c>
      <c r="O60" s="520">
        <f t="shared" si="0"/>
        <v>158</v>
      </c>
      <c r="P60" s="626">
        <v>40</v>
      </c>
      <c r="Q60" s="626">
        <v>30</v>
      </c>
      <c r="R60" s="626">
        <v>40</v>
      </c>
      <c r="S60" s="626">
        <v>30</v>
      </c>
      <c r="T60" s="626">
        <v>50</v>
      </c>
      <c r="U60" s="626">
        <v>34</v>
      </c>
      <c r="V60" s="626">
        <v>40</v>
      </c>
      <c r="W60" s="626">
        <v>30</v>
      </c>
      <c r="X60" s="626">
        <v>44</v>
      </c>
      <c r="Y60" s="631">
        <v>32</v>
      </c>
      <c r="Z60" s="628">
        <f t="shared" si="1"/>
        <v>370</v>
      </c>
    </row>
    <row r="61" spans="1:26" s="227" customFormat="1" ht="18.5">
      <c r="A61" s="855">
        <v>359</v>
      </c>
      <c r="B61" s="856" t="s">
        <v>1609</v>
      </c>
      <c r="C61" s="857" t="s">
        <v>586</v>
      </c>
      <c r="D61" s="857" t="s">
        <v>128</v>
      </c>
      <c r="E61" s="858" t="s">
        <v>1482</v>
      </c>
      <c r="F61" s="817">
        <v>309593271</v>
      </c>
      <c r="G61" s="817">
        <v>1101</v>
      </c>
      <c r="H61" s="859" t="s">
        <v>489</v>
      </c>
      <c r="I61" s="860" t="s">
        <v>2059</v>
      </c>
      <c r="J61" s="817">
        <v>34</v>
      </c>
      <c r="K61" s="859">
        <v>32</v>
      </c>
      <c r="L61" s="859">
        <v>39</v>
      </c>
      <c r="M61" s="859">
        <v>34</v>
      </c>
      <c r="N61" s="859">
        <v>34</v>
      </c>
      <c r="O61" s="861">
        <f t="shared" si="0"/>
        <v>139</v>
      </c>
      <c r="P61" s="862">
        <v>36</v>
      </c>
      <c r="Q61" s="862">
        <v>30</v>
      </c>
      <c r="R61" s="862">
        <v>38</v>
      </c>
      <c r="S61" s="862">
        <v>30</v>
      </c>
      <c r="T61" s="862">
        <v>37</v>
      </c>
      <c r="U61" s="862">
        <v>30</v>
      </c>
      <c r="V61" s="862">
        <v>41</v>
      </c>
      <c r="W61" s="862">
        <v>30</v>
      </c>
      <c r="X61" s="862">
        <v>35</v>
      </c>
      <c r="Y61" s="816">
        <v>30</v>
      </c>
      <c r="Z61" s="863">
        <f t="shared" si="1"/>
        <v>337</v>
      </c>
    </row>
    <row r="62" spans="1:26" ht="18.5">
      <c r="A62" s="254">
        <v>360</v>
      </c>
      <c r="B62" s="387" t="s">
        <v>1610</v>
      </c>
      <c r="C62" s="7" t="s">
        <v>1611</v>
      </c>
      <c r="D62" s="7" t="s">
        <v>1612</v>
      </c>
      <c r="E62" s="13" t="s">
        <v>1613</v>
      </c>
      <c r="F62" s="14">
        <v>308077294</v>
      </c>
      <c r="G62" s="14">
        <v>1140</v>
      </c>
      <c r="H62" s="16" t="s">
        <v>489</v>
      </c>
      <c r="I62" s="255" t="s">
        <v>2059</v>
      </c>
      <c r="J62" s="14">
        <v>36</v>
      </c>
      <c r="K62" s="16">
        <v>30</v>
      </c>
      <c r="L62" s="16">
        <v>50</v>
      </c>
      <c r="M62" s="16">
        <v>32</v>
      </c>
      <c r="N62" s="16">
        <v>37</v>
      </c>
      <c r="O62" s="520">
        <f t="shared" si="0"/>
        <v>148</v>
      </c>
      <c r="P62" s="626">
        <v>34</v>
      </c>
      <c r="Q62" s="626">
        <v>30</v>
      </c>
      <c r="R62" s="626">
        <v>37</v>
      </c>
      <c r="S62" s="626">
        <v>30</v>
      </c>
      <c r="T62" s="626">
        <v>34</v>
      </c>
      <c r="U62" s="626">
        <v>34</v>
      </c>
      <c r="V62" s="626">
        <v>40</v>
      </c>
      <c r="W62" s="626">
        <v>30</v>
      </c>
      <c r="X62" s="626">
        <v>42</v>
      </c>
      <c r="Y62" s="631">
        <v>32</v>
      </c>
      <c r="Z62" s="628">
        <f t="shared" si="1"/>
        <v>343</v>
      </c>
    </row>
    <row r="63" spans="1:26" s="5" customFormat="1" ht="18.5">
      <c r="A63" s="391">
        <v>361</v>
      </c>
      <c r="B63" s="389" t="s">
        <v>69</v>
      </c>
      <c r="C63" s="384" t="s">
        <v>1614</v>
      </c>
      <c r="D63" s="384" t="s">
        <v>1189</v>
      </c>
      <c r="E63" s="234" t="s">
        <v>1615</v>
      </c>
      <c r="F63" s="232">
        <v>315620606</v>
      </c>
      <c r="G63" s="232">
        <v>1168</v>
      </c>
      <c r="H63" s="385" t="s">
        <v>489</v>
      </c>
      <c r="I63" s="386" t="s">
        <v>2059</v>
      </c>
      <c r="J63" s="232">
        <v>36</v>
      </c>
      <c r="K63" s="385">
        <v>37</v>
      </c>
      <c r="L63" s="385">
        <v>42</v>
      </c>
      <c r="M63" s="385">
        <v>35</v>
      </c>
      <c r="N63" s="385">
        <v>34</v>
      </c>
      <c r="O63" s="520">
        <f t="shared" si="0"/>
        <v>150</v>
      </c>
      <c r="P63" s="626">
        <v>36</v>
      </c>
      <c r="Q63" s="626">
        <v>30</v>
      </c>
      <c r="R63" s="626">
        <v>46</v>
      </c>
      <c r="S63" s="626">
        <v>30</v>
      </c>
      <c r="T63" s="626">
        <v>42</v>
      </c>
      <c r="U63" s="626">
        <v>32</v>
      </c>
      <c r="V63" s="626">
        <v>43</v>
      </c>
      <c r="W63" s="626">
        <v>30</v>
      </c>
      <c r="X63" s="626">
        <v>38</v>
      </c>
      <c r="Y63" s="631">
        <v>30</v>
      </c>
      <c r="Z63" s="628">
        <f t="shared" si="1"/>
        <v>357</v>
      </c>
    </row>
    <row r="64" spans="1:26" ht="18.5">
      <c r="A64" s="254">
        <v>362</v>
      </c>
      <c r="B64" s="387" t="s">
        <v>1616</v>
      </c>
      <c r="C64" s="7" t="s">
        <v>1617</v>
      </c>
      <c r="D64" s="7" t="s">
        <v>1618</v>
      </c>
      <c r="E64" s="13" t="s">
        <v>1619</v>
      </c>
      <c r="F64" s="14">
        <v>306451479</v>
      </c>
      <c r="G64" s="14">
        <v>1598</v>
      </c>
      <c r="H64" s="16" t="s">
        <v>489</v>
      </c>
      <c r="I64" s="255" t="s">
        <v>2059</v>
      </c>
      <c r="J64" s="14">
        <v>46</v>
      </c>
      <c r="K64" s="16">
        <v>38</v>
      </c>
      <c r="L64" s="16">
        <v>39</v>
      </c>
      <c r="M64" s="16">
        <v>39</v>
      </c>
      <c r="N64" s="16">
        <v>45</v>
      </c>
      <c r="O64" s="520">
        <f t="shared" si="0"/>
        <v>162</v>
      </c>
      <c r="P64" s="626">
        <v>49</v>
      </c>
      <c r="Q64" s="626">
        <v>32</v>
      </c>
      <c r="R64" s="626">
        <v>42</v>
      </c>
      <c r="S64" s="626">
        <v>30</v>
      </c>
      <c r="T64" s="626">
        <v>44</v>
      </c>
      <c r="U64" s="626">
        <v>30</v>
      </c>
      <c r="V64" s="626">
        <v>42</v>
      </c>
      <c r="W64" s="626">
        <v>30</v>
      </c>
      <c r="X64" s="626">
        <v>46</v>
      </c>
      <c r="Y64" s="631">
        <v>32</v>
      </c>
      <c r="Z64" s="628">
        <f t="shared" si="1"/>
        <v>377</v>
      </c>
    </row>
    <row r="65" spans="1:26" ht="18.5">
      <c r="A65" s="254">
        <v>363</v>
      </c>
      <c r="B65" s="390" t="s">
        <v>2300</v>
      </c>
      <c r="C65" s="378" t="s">
        <v>2301</v>
      </c>
      <c r="D65" s="378" t="s">
        <v>2302</v>
      </c>
      <c r="E65" s="250" t="s">
        <v>2303</v>
      </c>
      <c r="F65" s="379">
        <v>307750175</v>
      </c>
      <c r="G65" s="379">
        <v>1805</v>
      </c>
      <c r="H65" s="16" t="s">
        <v>489</v>
      </c>
      <c r="I65" s="255" t="s">
        <v>2059</v>
      </c>
      <c r="J65" s="14">
        <v>34</v>
      </c>
      <c r="K65" s="16">
        <v>32</v>
      </c>
      <c r="L65" s="16">
        <v>33</v>
      </c>
      <c r="M65" s="16">
        <v>39</v>
      </c>
      <c r="N65" s="16">
        <v>35</v>
      </c>
      <c r="O65" s="520">
        <f t="shared" si="0"/>
        <v>138</v>
      </c>
      <c r="P65" s="626">
        <v>31</v>
      </c>
      <c r="Q65" s="626">
        <v>30</v>
      </c>
      <c r="R65" s="626">
        <v>36</v>
      </c>
      <c r="S65" s="626">
        <v>30</v>
      </c>
      <c r="T65" s="626">
        <v>33</v>
      </c>
      <c r="U65" s="626">
        <v>30</v>
      </c>
      <c r="V65" s="626">
        <v>40</v>
      </c>
      <c r="W65" s="626">
        <v>30</v>
      </c>
      <c r="X65" s="626">
        <v>31</v>
      </c>
      <c r="Y65" s="631">
        <v>30</v>
      </c>
      <c r="Z65" s="628">
        <f t="shared" si="1"/>
        <v>321</v>
      </c>
    </row>
    <row r="66" spans="1:26" ht="18.5">
      <c r="A66" s="254">
        <v>364</v>
      </c>
      <c r="B66" s="387" t="s">
        <v>1620</v>
      </c>
      <c r="C66" s="7" t="s">
        <v>1061</v>
      </c>
      <c r="D66" s="7" t="s">
        <v>1556</v>
      </c>
      <c r="E66" s="13" t="s">
        <v>1621</v>
      </c>
      <c r="F66" s="14">
        <v>309399066</v>
      </c>
      <c r="G66" s="14">
        <v>1133</v>
      </c>
      <c r="H66" s="16" t="s">
        <v>489</v>
      </c>
      <c r="I66" s="255" t="s">
        <v>2059</v>
      </c>
      <c r="J66" s="14">
        <v>33</v>
      </c>
      <c r="K66" s="16">
        <v>38</v>
      </c>
      <c r="L66" s="16">
        <v>34</v>
      </c>
      <c r="M66" s="16">
        <v>37</v>
      </c>
      <c r="N66" s="16">
        <v>38</v>
      </c>
      <c r="O66" s="520">
        <f t="shared" si="0"/>
        <v>142</v>
      </c>
      <c r="P66" s="626">
        <v>40</v>
      </c>
      <c r="Q66" s="626">
        <v>30</v>
      </c>
      <c r="R66" s="626">
        <v>37</v>
      </c>
      <c r="S66" s="626">
        <v>30</v>
      </c>
      <c r="T66" s="626">
        <v>36</v>
      </c>
      <c r="U66" s="626">
        <v>30</v>
      </c>
      <c r="V66" s="626">
        <v>42</v>
      </c>
      <c r="W66" s="626">
        <v>30</v>
      </c>
      <c r="X66" s="626">
        <v>39</v>
      </c>
      <c r="Y66" s="631">
        <v>32</v>
      </c>
      <c r="Z66" s="628">
        <f t="shared" si="1"/>
        <v>346</v>
      </c>
    </row>
    <row r="67" spans="1:26" ht="18.5">
      <c r="A67" s="254">
        <v>365</v>
      </c>
      <c r="B67" s="387" t="s">
        <v>1622</v>
      </c>
      <c r="C67" s="7" t="s">
        <v>1623</v>
      </c>
      <c r="D67" s="7" t="s">
        <v>1624</v>
      </c>
      <c r="E67" s="13" t="s">
        <v>1625</v>
      </c>
      <c r="F67" s="14">
        <v>317656616</v>
      </c>
      <c r="G67" s="14">
        <v>1358</v>
      </c>
      <c r="H67" s="16" t="s">
        <v>489</v>
      </c>
      <c r="I67" s="255" t="s">
        <v>2059</v>
      </c>
      <c r="J67" s="14">
        <v>57</v>
      </c>
      <c r="K67" s="16">
        <v>50</v>
      </c>
      <c r="L67" s="16">
        <v>48</v>
      </c>
      <c r="M67" s="16">
        <v>49</v>
      </c>
      <c r="N67" s="16">
        <v>52</v>
      </c>
      <c r="O67" s="520">
        <f t="shared" si="0"/>
        <v>204</v>
      </c>
      <c r="P67" s="626">
        <v>58</v>
      </c>
      <c r="Q67" s="626">
        <v>38</v>
      </c>
      <c r="R67" s="626">
        <v>48</v>
      </c>
      <c r="S67" s="626">
        <v>35</v>
      </c>
      <c r="T67" s="626">
        <v>34</v>
      </c>
      <c r="U67" s="626">
        <v>34</v>
      </c>
      <c r="V67" s="626">
        <v>50</v>
      </c>
      <c r="W67" s="626">
        <v>34</v>
      </c>
      <c r="X67" s="626">
        <v>58</v>
      </c>
      <c r="Y67" s="631">
        <v>37</v>
      </c>
      <c r="Z67" s="628">
        <f t="shared" si="1"/>
        <v>426</v>
      </c>
    </row>
    <row r="68" spans="1:26" ht="18.5">
      <c r="A68" s="254">
        <v>366</v>
      </c>
      <c r="B68" s="387" t="s">
        <v>1627</v>
      </c>
      <c r="C68" s="7" t="s">
        <v>1628</v>
      </c>
      <c r="D68" s="7" t="s">
        <v>1629</v>
      </c>
      <c r="E68" s="13" t="s">
        <v>1630</v>
      </c>
      <c r="F68" s="14">
        <v>309883998</v>
      </c>
      <c r="G68" s="14">
        <v>1128</v>
      </c>
      <c r="H68" s="16" t="s">
        <v>489</v>
      </c>
      <c r="I68" s="255" t="s">
        <v>2059</v>
      </c>
      <c r="J68" s="14">
        <v>31</v>
      </c>
      <c r="K68" s="16">
        <v>31</v>
      </c>
      <c r="L68" s="16">
        <v>40</v>
      </c>
      <c r="M68" s="16">
        <v>35</v>
      </c>
      <c r="N68" s="16">
        <v>32</v>
      </c>
      <c r="O68" s="520">
        <f t="shared" ref="O68:O76" si="2">J68+K68+L68+M68</f>
        <v>137</v>
      </c>
      <c r="P68" s="626">
        <v>42</v>
      </c>
      <c r="Q68" s="626">
        <v>30</v>
      </c>
      <c r="R68" s="626">
        <v>42</v>
      </c>
      <c r="S68" s="626">
        <v>30</v>
      </c>
      <c r="T68" s="626">
        <v>39</v>
      </c>
      <c r="U68" s="626">
        <v>30</v>
      </c>
      <c r="V68" s="626">
        <v>43</v>
      </c>
      <c r="W68" s="626">
        <v>30</v>
      </c>
      <c r="X68" s="626">
        <v>34</v>
      </c>
      <c r="Y68" s="631">
        <v>30</v>
      </c>
      <c r="Z68" s="628">
        <f t="shared" ref="Z68:Z76" si="3">SUM(P68:Y68)</f>
        <v>350</v>
      </c>
    </row>
    <row r="69" spans="1:26" ht="18.5">
      <c r="A69" s="254">
        <v>367</v>
      </c>
      <c r="B69" s="387" t="s">
        <v>1631</v>
      </c>
      <c r="C69" s="7" t="s">
        <v>1632</v>
      </c>
      <c r="D69" s="7" t="s">
        <v>1633</v>
      </c>
      <c r="E69" s="13" t="s">
        <v>1634</v>
      </c>
      <c r="F69" s="14">
        <v>312183871</v>
      </c>
      <c r="G69" s="14">
        <v>1066</v>
      </c>
      <c r="H69" s="16" t="s">
        <v>489</v>
      </c>
      <c r="I69" s="255" t="s">
        <v>2059</v>
      </c>
      <c r="J69" s="14">
        <v>49</v>
      </c>
      <c r="K69" s="16">
        <v>54</v>
      </c>
      <c r="L69" s="16">
        <v>38</v>
      </c>
      <c r="M69" s="16">
        <v>44</v>
      </c>
      <c r="N69" s="16">
        <v>41</v>
      </c>
      <c r="O69" s="520">
        <f t="shared" si="2"/>
        <v>185</v>
      </c>
      <c r="P69" s="626">
        <v>50</v>
      </c>
      <c r="Q69" s="626">
        <v>34</v>
      </c>
      <c r="R69" s="626">
        <v>50</v>
      </c>
      <c r="S69" s="626">
        <v>36</v>
      </c>
      <c r="T69" s="626">
        <v>37</v>
      </c>
      <c r="U69" s="626">
        <v>30</v>
      </c>
      <c r="V69" s="626">
        <v>46</v>
      </c>
      <c r="W69" s="626">
        <v>34</v>
      </c>
      <c r="X69" s="626">
        <v>42</v>
      </c>
      <c r="Y69" s="631">
        <v>32</v>
      </c>
      <c r="Z69" s="628">
        <f t="shared" si="3"/>
        <v>391</v>
      </c>
    </row>
    <row r="70" spans="1:26" ht="18.5">
      <c r="A70" s="254">
        <v>368</v>
      </c>
      <c r="B70" s="387" t="s">
        <v>1635</v>
      </c>
      <c r="C70" s="7" t="s">
        <v>1636</v>
      </c>
      <c r="D70" s="7" t="s">
        <v>1637</v>
      </c>
      <c r="E70" s="13" t="s">
        <v>1638</v>
      </c>
      <c r="F70" s="14">
        <v>315808791</v>
      </c>
      <c r="G70" s="14">
        <v>1157</v>
      </c>
      <c r="H70" s="16" t="s">
        <v>489</v>
      </c>
      <c r="I70" s="255" t="s">
        <v>2059</v>
      </c>
      <c r="J70" s="14">
        <v>36</v>
      </c>
      <c r="K70" s="16">
        <v>36</v>
      </c>
      <c r="L70" s="16">
        <v>39</v>
      </c>
      <c r="M70" s="16">
        <v>37</v>
      </c>
      <c r="N70" s="16">
        <v>37</v>
      </c>
      <c r="O70" s="520">
        <f t="shared" si="2"/>
        <v>148</v>
      </c>
      <c r="P70" s="626">
        <v>38</v>
      </c>
      <c r="Q70" s="626">
        <v>30</v>
      </c>
      <c r="R70" s="626">
        <v>38</v>
      </c>
      <c r="S70" s="626">
        <v>30</v>
      </c>
      <c r="T70" s="626">
        <v>34</v>
      </c>
      <c r="U70" s="626">
        <v>30</v>
      </c>
      <c r="V70" s="626">
        <v>44</v>
      </c>
      <c r="W70" s="626">
        <v>30</v>
      </c>
      <c r="X70" s="626">
        <v>38</v>
      </c>
      <c r="Y70" s="631">
        <v>33</v>
      </c>
      <c r="Z70" s="628">
        <f t="shared" si="3"/>
        <v>345</v>
      </c>
    </row>
    <row r="71" spans="1:26" ht="18.5">
      <c r="A71" s="254">
        <v>369</v>
      </c>
      <c r="B71" s="387" t="s">
        <v>1639</v>
      </c>
      <c r="C71" s="7" t="s">
        <v>1640</v>
      </c>
      <c r="D71" s="7" t="s">
        <v>378</v>
      </c>
      <c r="E71" s="13" t="s">
        <v>1164</v>
      </c>
      <c r="F71" s="14">
        <v>313780384</v>
      </c>
      <c r="G71" s="14">
        <v>1351</v>
      </c>
      <c r="H71" s="16" t="s">
        <v>489</v>
      </c>
      <c r="I71" s="255" t="s">
        <v>2059</v>
      </c>
      <c r="J71" s="14">
        <v>48</v>
      </c>
      <c r="K71" s="16">
        <v>45</v>
      </c>
      <c r="L71" s="16">
        <v>54</v>
      </c>
      <c r="M71" s="16">
        <v>39</v>
      </c>
      <c r="N71" s="16">
        <v>41</v>
      </c>
      <c r="O71" s="520">
        <f t="shared" si="2"/>
        <v>186</v>
      </c>
      <c r="P71" s="626">
        <v>56</v>
      </c>
      <c r="Q71" s="626">
        <v>35</v>
      </c>
      <c r="R71" s="626">
        <v>40</v>
      </c>
      <c r="S71" s="626">
        <v>34</v>
      </c>
      <c r="T71" s="626">
        <v>55</v>
      </c>
      <c r="U71" s="626">
        <v>36</v>
      </c>
      <c r="V71" s="626">
        <v>47</v>
      </c>
      <c r="W71" s="626">
        <v>30</v>
      </c>
      <c r="X71" s="626">
        <v>55</v>
      </c>
      <c r="Y71" s="631">
        <v>35</v>
      </c>
      <c r="Z71" s="628">
        <f t="shared" si="3"/>
        <v>423</v>
      </c>
    </row>
    <row r="72" spans="1:26" ht="18.5">
      <c r="A72" s="254">
        <v>370</v>
      </c>
      <c r="B72" s="387" t="s">
        <v>3033</v>
      </c>
      <c r="C72" s="7" t="s">
        <v>3034</v>
      </c>
      <c r="D72" s="7" t="s">
        <v>3035</v>
      </c>
      <c r="E72" s="13" t="s">
        <v>3036</v>
      </c>
      <c r="F72" s="14">
        <v>319746129</v>
      </c>
      <c r="G72" s="14">
        <v>1841</v>
      </c>
      <c r="H72" s="16" t="s">
        <v>489</v>
      </c>
      <c r="I72" s="255" t="s">
        <v>2059</v>
      </c>
      <c r="J72" s="14">
        <v>35</v>
      </c>
      <c r="K72" s="16">
        <v>38</v>
      </c>
      <c r="L72" s="16">
        <v>30</v>
      </c>
      <c r="M72" s="16">
        <v>36</v>
      </c>
      <c r="N72" s="16">
        <v>33</v>
      </c>
      <c r="O72" s="520">
        <f t="shared" si="2"/>
        <v>139</v>
      </c>
      <c r="P72" s="626">
        <v>38</v>
      </c>
      <c r="Q72" s="626">
        <v>30</v>
      </c>
      <c r="R72" s="626">
        <v>42</v>
      </c>
      <c r="S72" s="626">
        <v>30</v>
      </c>
      <c r="T72" s="626">
        <v>47</v>
      </c>
      <c r="U72" s="626">
        <v>30</v>
      </c>
      <c r="V72" s="626">
        <v>45</v>
      </c>
      <c r="W72" s="626">
        <v>30</v>
      </c>
      <c r="X72" s="626">
        <v>43</v>
      </c>
      <c r="Y72" s="631">
        <v>32</v>
      </c>
      <c r="Z72" s="628">
        <f t="shared" si="3"/>
        <v>367</v>
      </c>
    </row>
    <row r="73" spans="1:26" ht="18.5">
      <c r="A73" s="254">
        <v>371</v>
      </c>
      <c r="B73" s="387" t="s">
        <v>1641</v>
      </c>
      <c r="C73" s="7" t="s">
        <v>1642</v>
      </c>
      <c r="D73" s="7" t="s">
        <v>1643</v>
      </c>
      <c r="E73" s="13" t="s">
        <v>777</v>
      </c>
      <c r="F73" s="14">
        <v>315176042</v>
      </c>
      <c r="G73" s="14">
        <v>1179</v>
      </c>
      <c r="H73" s="16" t="s">
        <v>489</v>
      </c>
      <c r="I73" s="255" t="s">
        <v>2059</v>
      </c>
      <c r="J73" s="14">
        <v>34</v>
      </c>
      <c r="K73" s="16">
        <v>41</v>
      </c>
      <c r="L73" s="16">
        <v>33</v>
      </c>
      <c r="M73" s="16">
        <v>32</v>
      </c>
      <c r="N73" s="16">
        <v>33</v>
      </c>
      <c r="O73" s="520">
        <f t="shared" si="2"/>
        <v>140</v>
      </c>
      <c r="P73" s="626">
        <v>36</v>
      </c>
      <c r="Q73" s="626">
        <v>30</v>
      </c>
      <c r="R73" s="626">
        <v>38</v>
      </c>
      <c r="S73" s="626">
        <v>32</v>
      </c>
      <c r="T73" s="626">
        <v>34</v>
      </c>
      <c r="U73" s="626">
        <v>30</v>
      </c>
      <c r="V73" s="626">
        <v>42</v>
      </c>
      <c r="W73" s="626">
        <v>30</v>
      </c>
      <c r="X73" s="626">
        <v>35</v>
      </c>
      <c r="Y73" s="631">
        <v>30</v>
      </c>
      <c r="Z73" s="628">
        <f t="shared" si="3"/>
        <v>337</v>
      </c>
    </row>
    <row r="74" spans="1:26" ht="18.5">
      <c r="A74" s="254">
        <v>372</v>
      </c>
      <c r="B74" s="387" t="s">
        <v>1644</v>
      </c>
      <c r="C74" s="7" t="s">
        <v>52</v>
      </c>
      <c r="D74" s="7" t="s">
        <v>1645</v>
      </c>
      <c r="E74" s="13" t="s">
        <v>1646</v>
      </c>
      <c r="F74" s="14">
        <v>311446764</v>
      </c>
      <c r="G74" s="14">
        <v>1528</v>
      </c>
      <c r="H74" s="16" t="s">
        <v>489</v>
      </c>
      <c r="I74" s="255" t="s">
        <v>2059</v>
      </c>
      <c r="J74" s="14">
        <v>47</v>
      </c>
      <c r="K74" s="16">
        <v>46</v>
      </c>
      <c r="L74" s="16">
        <v>38</v>
      </c>
      <c r="M74" s="16">
        <v>43</v>
      </c>
      <c r="N74" s="16">
        <v>47</v>
      </c>
      <c r="O74" s="520">
        <f t="shared" si="2"/>
        <v>174</v>
      </c>
      <c r="P74" s="626">
        <v>38</v>
      </c>
      <c r="Q74" s="626">
        <v>35</v>
      </c>
      <c r="R74" s="626">
        <v>39</v>
      </c>
      <c r="S74" s="626">
        <v>34</v>
      </c>
      <c r="T74" s="626">
        <v>38</v>
      </c>
      <c r="U74" s="626">
        <v>30</v>
      </c>
      <c r="V74" s="626">
        <v>47</v>
      </c>
      <c r="W74" s="626">
        <v>32</v>
      </c>
      <c r="X74" s="626">
        <v>46</v>
      </c>
      <c r="Y74" s="631">
        <v>34</v>
      </c>
      <c r="Z74" s="628">
        <f t="shared" si="3"/>
        <v>373</v>
      </c>
    </row>
    <row r="75" spans="1:26" ht="18.5">
      <c r="A75" s="254">
        <v>373</v>
      </c>
      <c r="B75" s="390" t="s">
        <v>435</v>
      </c>
      <c r="C75" s="378" t="s">
        <v>2304</v>
      </c>
      <c r="D75" s="378" t="s">
        <v>436</v>
      </c>
      <c r="E75" s="250" t="s">
        <v>274</v>
      </c>
      <c r="F75" s="379">
        <v>307251027</v>
      </c>
      <c r="G75" s="379">
        <v>1200</v>
      </c>
      <c r="H75" s="16" t="s">
        <v>489</v>
      </c>
      <c r="I75" s="255" t="s">
        <v>2059</v>
      </c>
      <c r="J75" s="14">
        <v>54</v>
      </c>
      <c r="K75" s="16">
        <v>49</v>
      </c>
      <c r="L75" s="16">
        <v>55</v>
      </c>
      <c r="M75" s="16">
        <v>43</v>
      </c>
      <c r="N75" s="16">
        <v>51</v>
      </c>
      <c r="O75" s="520">
        <f t="shared" si="2"/>
        <v>201</v>
      </c>
      <c r="P75" s="626">
        <v>54</v>
      </c>
      <c r="Q75" s="626">
        <v>36</v>
      </c>
      <c r="R75" s="626">
        <v>51</v>
      </c>
      <c r="S75" s="626">
        <v>34</v>
      </c>
      <c r="T75" s="626">
        <v>55</v>
      </c>
      <c r="U75" s="626">
        <v>36</v>
      </c>
      <c r="V75" s="626">
        <v>54</v>
      </c>
      <c r="W75" s="626">
        <v>32</v>
      </c>
      <c r="X75" s="626">
        <v>57</v>
      </c>
      <c r="Y75" s="631">
        <v>38</v>
      </c>
      <c r="Z75" s="628">
        <f t="shared" si="3"/>
        <v>447</v>
      </c>
    </row>
    <row r="76" spans="1:26" ht="18.5">
      <c r="A76" s="254">
        <v>374</v>
      </c>
      <c r="B76" s="387" t="s">
        <v>3492</v>
      </c>
      <c r="C76" s="7" t="s">
        <v>1677</v>
      </c>
      <c r="D76" s="7" t="s">
        <v>1678</v>
      </c>
      <c r="E76" s="13" t="s">
        <v>1679</v>
      </c>
      <c r="F76" s="14">
        <v>302894415</v>
      </c>
      <c r="G76" s="14">
        <v>1593</v>
      </c>
      <c r="H76" s="16" t="s">
        <v>489</v>
      </c>
      <c r="I76" s="255" t="s">
        <v>2059</v>
      </c>
      <c r="J76" s="14">
        <v>47</v>
      </c>
      <c r="K76" s="16">
        <v>42</v>
      </c>
      <c r="L76" s="16">
        <v>38</v>
      </c>
      <c r="M76" s="16">
        <v>35</v>
      </c>
      <c r="N76" s="16">
        <v>45</v>
      </c>
      <c r="O76" s="520">
        <f t="shared" si="2"/>
        <v>162</v>
      </c>
      <c r="P76" s="632">
        <v>48</v>
      </c>
      <c r="Q76" s="632">
        <v>34</v>
      </c>
      <c r="R76" s="632">
        <v>38</v>
      </c>
      <c r="S76" s="632">
        <v>32</v>
      </c>
      <c r="T76" s="632">
        <v>39</v>
      </c>
      <c r="U76" s="632">
        <v>30</v>
      </c>
      <c r="V76" s="632">
        <v>38</v>
      </c>
      <c r="W76" s="632">
        <v>30</v>
      </c>
      <c r="X76" s="632">
        <v>46</v>
      </c>
      <c r="Y76" s="633">
        <v>36</v>
      </c>
      <c r="Z76" s="628">
        <f t="shared" si="3"/>
        <v>371</v>
      </c>
    </row>
  </sheetData>
  <mergeCells count="2">
    <mergeCell ref="J1:N1"/>
    <mergeCell ref="P1:Z1"/>
  </mergeCells>
  <phoneticPr fontId="77" type="noConversion"/>
  <pageMargins left="0" right="0" top="0" bottom="0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2:D8"/>
  <sheetViews>
    <sheetView tabSelected="1" workbookViewId="0">
      <selection activeCell="I13" sqref="I13"/>
    </sheetView>
  </sheetViews>
  <sheetFormatPr defaultRowHeight="14.5"/>
  <cols>
    <col min="2" max="2" width="21.81640625" customWidth="1"/>
  </cols>
  <sheetData>
    <row r="2" spans="2:4">
      <c r="B2" s="7" t="s">
        <v>1465</v>
      </c>
      <c r="C2">
        <v>10</v>
      </c>
      <c r="D2">
        <f>RANK(C2,$C$2:$C$8,0)+COUNTIF($C$2:C2,C2)-1</f>
        <v>4</v>
      </c>
    </row>
    <row r="3" spans="2:4">
      <c r="B3" s="7" t="s">
        <v>456</v>
      </c>
      <c r="C3">
        <v>12</v>
      </c>
      <c r="D3">
        <f>RANK(C3,$C$2:$C$8,0)+COUNTIF($C$2:C3,C3)-1</f>
        <v>3</v>
      </c>
    </row>
    <row r="4" spans="2:4">
      <c r="B4" s="7" t="s">
        <v>3037</v>
      </c>
      <c r="C4">
        <v>4</v>
      </c>
      <c r="D4">
        <f>RANK(C4,$C$2:$C$8,0)+COUNTIF($C$2:C4,C4)-1</f>
        <v>5</v>
      </c>
    </row>
    <row r="5" spans="2:4">
      <c r="B5" s="7" t="s">
        <v>1269</v>
      </c>
      <c r="C5">
        <v>1</v>
      </c>
      <c r="D5">
        <f>RANK(C5,$C$2:$C$8,0)+COUNTIF($C$2:C5,C5)-1</f>
        <v>6</v>
      </c>
    </row>
    <row r="6" spans="2:4">
      <c r="B6" s="7" t="s">
        <v>1475</v>
      </c>
      <c r="C6">
        <v>1</v>
      </c>
      <c r="D6">
        <f>RANK(C6,$C$2:$C$8,0)+COUNTIF($C$2:C6,C6)-1</f>
        <v>7</v>
      </c>
    </row>
    <row r="7" spans="2:4">
      <c r="B7" s="7" t="s">
        <v>408</v>
      </c>
      <c r="C7">
        <v>25</v>
      </c>
      <c r="D7">
        <f>RANK(C7,$C$2:$C$8,0)+COUNTIF($C$2:C7,C7)-1</f>
        <v>1</v>
      </c>
    </row>
    <row r="8" spans="2:4">
      <c r="B8" s="7" t="s">
        <v>924</v>
      </c>
      <c r="C8">
        <v>23</v>
      </c>
      <c r="D8">
        <f>RANK(C8,$C$2:$C$8,0)+COUNTIF($C$2:C8,C8)-1</f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>
    <tabColor theme="9" tint="-0.249977111117893"/>
  </sheetPr>
  <dimension ref="A1:Z76"/>
  <sheetViews>
    <sheetView topLeftCell="A52" workbookViewId="0">
      <selection activeCell="A63" sqref="A63:XFD63"/>
    </sheetView>
  </sheetViews>
  <sheetFormatPr defaultRowHeight="14.5"/>
  <cols>
    <col min="2" max="2" width="29.81640625" customWidth="1"/>
    <col min="3" max="3" width="27.1796875" customWidth="1"/>
    <col min="4" max="4" width="25.54296875" customWidth="1"/>
    <col min="5" max="5" width="12.453125" customWidth="1"/>
    <col min="6" max="6" width="17.1796875" customWidth="1"/>
    <col min="7" max="7" width="7.81640625" customWidth="1"/>
    <col min="8" max="8" width="6.453125" customWidth="1"/>
    <col min="9" max="9" width="10.1796875" customWidth="1"/>
    <col min="10" max="10" width="8.81640625" style="12"/>
    <col min="11" max="12" width="8.81640625" style="3"/>
    <col min="13" max="13" width="11.1796875" style="3" customWidth="1"/>
    <col min="14" max="14" width="8.81640625" style="3"/>
    <col min="15" max="15" width="13.453125" customWidth="1"/>
  </cols>
  <sheetData>
    <row r="1" spans="1:26" s="377" customFormat="1" ht="21">
      <c r="A1" s="1217" t="s">
        <v>3023</v>
      </c>
      <c r="B1" s="1217"/>
      <c r="C1" s="1217"/>
      <c r="D1" s="1217"/>
      <c r="E1" s="1217"/>
      <c r="F1" s="1217"/>
      <c r="G1" s="1217"/>
      <c r="H1" s="1217"/>
      <c r="I1" s="1217"/>
      <c r="J1" s="1217"/>
      <c r="K1" s="518"/>
      <c r="L1" s="518"/>
      <c r="M1" s="518"/>
      <c r="N1" s="518"/>
    </row>
    <row r="2" spans="1:26" s="21" customFormat="1" ht="18" customHeight="1" thickBot="1">
      <c r="A2" s="1217" t="s">
        <v>3032</v>
      </c>
      <c r="B2" s="1217"/>
      <c r="C2" s="1217"/>
      <c r="D2" s="1217"/>
      <c r="E2" s="1217"/>
      <c r="F2" s="1217"/>
      <c r="G2" s="1217"/>
      <c r="H2" s="1217"/>
      <c r="I2" s="1217"/>
      <c r="J2" s="1218" t="s">
        <v>75</v>
      </c>
      <c r="K2" s="1218"/>
      <c r="L2" s="1218"/>
      <c r="M2" s="1218"/>
      <c r="N2" s="1218"/>
      <c r="P2" s="1223" t="s">
        <v>506</v>
      </c>
      <c r="Q2" s="1223"/>
      <c r="R2" s="1223"/>
      <c r="S2" s="1223"/>
      <c r="T2" s="1223"/>
      <c r="U2" s="1223"/>
      <c r="V2" s="1223"/>
      <c r="W2" s="1223"/>
      <c r="X2" s="1223"/>
      <c r="Y2" s="1223"/>
      <c r="Z2" s="1223"/>
    </row>
    <row r="3" spans="1:26" s="21" customFormat="1" ht="18" customHeight="1" thickTop="1">
      <c r="A3" s="1" t="s">
        <v>0</v>
      </c>
      <c r="B3" s="1" t="s">
        <v>1</v>
      </c>
      <c r="C3" s="1" t="s">
        <v>2</v>
      </c>
      <c r="D3" s="1" t="s">
        <v>3</v>
      </c>
      <c r="E3" s="376" t="s">
        <v>4</v>
      </c>
      <c r="F3" s="1" t="s">
        <v>5</v>
      </c>
      <c r="G3" s="4" t="s">
        <v>6</v>
      </c>
      <c r="H3" s="244" t="s">
        <v>7</v>
      </c>
      <c r="I3" s="244" t="s">
        <v>8</v>
      </c>
      <c r="J3" s="498" t="s">
        <v>3440</v>
      </c>
      <c r="K3" s="498" t="s">
        <v>10</v>
      </c>
      <c r="L3" s="498" t="s">
        <v>3251</v>
      </c>
      <c r="M3" s="498" t="s">
        <v>3254</v>
      </c>
      <c r="N3" s="498" t="s">
        <v>3437</v>
      </c>
      <c r="O3" s="638" t="s">
        <v>3448</v>
      </c>
      <c r="P3" s="639" t="s">
        <v>3440</v>
      </c>
      <c r="Q3" s="639" t="s">
        <v>74</v>
      </c>
      <c r="R3" s="639" t="s">
        <v>3445</v>
      </c>
      <c r="S3" s="639" t="s">
        <v>74</v>
      </c>
      <c r="T3" s="639" t="s">
        <v>3251</v>
      </c>
      <c r="U3" s="639" t="s">
        <v>74</v>
      </c>
      <c r="V3" s="639" t="s">
        <v>3254</v>
      </c>
      <c r="W3" s="639" t="s">
        <v>74</v>
      </c>
      <c r="X3" s="639" t="s">
        <v>3454</v>
      </c>
      <c r="Y3" s="639" t="s">
        <v>74</v>
      </c>
      <c r="Z3" s="640" t="s">
        <v>513</v>
      </c>
    </row>
    <row r="4" spans="1:26" s="21" customFormat="1" ht="18" customHeight="1">
      <c r="A4" s="15">
        <v>401</v>
      </c>
      <c r="B4" s="19" t="s">
        <v>271</v>
      </c>
      <c r="C4" s="404" t="s">
        <v>272</v>
      </c>
      <c r="D4" s="19" t="s">
        <v>273</v>
      </c>
      <c r="E4" s="20" t="s">
        <v>3262</v>
      </c>
      <c r="F4" s="15">
        <v>191381817</v>
      </c>
      <c r="G4" s="15">
        <v>1075</v>
      </c>
      <c r="H4" s="15" t="s">
        <v>2305</v>
      </c>
      <c r="I4" s="15" t="s">
        <v>2059</v>
      </c>
      <c r="J4" s="15">
        <v>54</v>
      </c>
      <c r="K4" s="15">
        <v>58</v>
      </c>
      <c r="L4" s="15">
        <v>58</v>
      </c>
      <c r="M4" s="15">
        <v>30</v>
      </c>
      <c r="N4" s="15">
        <v>35</v>
      </c>
      <c r="O4" s="15">
        <f>SUM(J4:M4)</f>
        <v>200</v>
      </c>
      <c r="P4" s="631">
        <v>50</v>
      </c>
      <c r="Q4" s="631">
        <v>36</v>
      </c>
      <c r="R4" s="631">
        <v>53</v>
      </c>
      <c r="S4" s="631">
        <v>38</v>
      </c>
      <c r="T4" s="631">
        <v>54</v>
      </c>
      <c r="U4" s="631">
        <v>38</v>
      </c>
      <c r="V4" s="631">
        <v>38</v>
      </c>
      <c r="W4" s="631">
        <v>30</v>
      </c>
      <c r="X4" s="631">
        <v>35</v>
      </c>
      <c r="Y4" s="631">
        <v>31</v>
      </c>
      <c r="Z4" s="635">
        <f>SUM(P4:Y4)</f>
        <v>403</v>
      </c>
    </row>
    <row r="5" spans="1:26" s="21" customFormat="1" ht="18" customHeight="1">
      <c r="A5" s="15">
        <v>402</v>
      </c>
      <c r="B5" s="19" t="s">
        <v>281</v>
      </c>
      <c r="C5" s="19" t="s">
        <v>591</v>
      </c>
      <c r="D5" s="19" t="s">
        <v>282</v>
      </c>
      <c r="E5" s="20" t="s">
        <v>283</v>
      </c>
      <c r="F5" s="15">
        <v>320425601</v>
      </c>
      <c r="G5" s="15">
        <v>1102</v>
      </c>
      <c r="H5" s="15" t="s">
        <v>2305</v>
      </c>
      <c r="I5" s="15" t="s">
        <v>2059</v>
      </c>
      <c r="J5" s="15">
        <v>49</v>
      </c>
      <c r="K5" s="15">
        <v>45</v>
      </c>
      <c r="L5" s="15">
        <v>54</v>
      </c>
      <c r="M5" s="15">
        <v>40</v>
      </c>
      <c r="N5" s="15">
        <v>50</v>
      </c>
      <c r="O5" s="15">
        <f t="shared" ref="O5:O34" si="0">SUM(J5:M5)</f>
        <v>188</v>
      </c>
      <c r="P5" s="631">
        <v>40</v>
      </c>
      <c r="Q5" s="631">
        <v>34</v>
      </c>
      <c r="R5" s="631">
        <v>51</v>
      </c>
      <c r="S5" s="631">
        <v>34</v>
      </c>
      <c r="T5" s="631">
        <v>50</v>
      </c>
      <c r="U5" s="631">
        <v>36</v>
      </c>
      <c r="V5" s="631">
        <v>38</v>
      </c>
      <c r="W5" s="631">
        <v>36</v>
      </c>
      <c r="X5" s="631">
        <v>30</v>
      </c>
      <c r="Y5" s="631">
        <v>30</v>
      </c>
      <c r="Z5" s="635">
        <f t="shared" ref="Z5:Z68" si="1">SUM(P5:Y5)</f>
        <v>379</v>
      </c>
    </row>
    <row r="6" spans="1:26" s="373" customFormat="1" ht="18" customHeight="1">
      <c r="A6" s="15">
        <v>403</v>
      </c>
      <c r="B6" s="19" t="s">
        <v>284</v>
      </c>
      <c r="C6" s="19" t="s">
        <v>285</v>
      </c>
      <c r="D6" s="19" t="s">
        <v>286</v>
      </c>
      <c r="E6" s="20" t="s">
        <v>376</v>
      </c>
      <c r="F6" s="15">
        <v>304461738</v>
      </c>
      <c r="G6" s="15">
        <v>1094</v>
      </c>
      <c r="H6" s="15" t="s">
        <v>2305</v>
      </c>
      <c r="I6" s="15" t="s">
        <v>2059</v>
      </c>
      <c r="J6" s="15">
        <v>55</v>
      </c>
      <c r="K6" s="15">
        <v>56</v>
      </c>
      <c r="L6" s="15">
        <v>56</v>
      </c>
      <c r="M6" s="15">
        <v>49</v>
      </c>
      <c r="N6" s="15">
        <v>48</v>
      </c>
      <c r="O6" s="15">
        <f t="shared" si="0"/>
        <v>216</v>
      </c>
      <c r="P6" s="631">
        <v>48</v>
      </c>
      <c r="Q6" s="631">
        <v>36</v>
      </c>
      <c r="R6" s="631">
        <v>56</v>
      </c>
      <c r="S6" s="631">
        <v>38</v>
      </c>
      <c r="T6" s="631">
        <v>48</v>
      </c>
      <c r="U6" s="631">
        <v>38</v>
      </c>
      <c r="V6" s="631">
        <v>46</v>
      </c>
      <c r="W6" s="631">
        <v>38</v>
      </c>
      <c r="X6" s="631">
        <v>48</v>
      </c>
      <c r="Y6" s="631">
        <v>36</v>
      </c>
      <c r="Z6" s="635">
        <f t="shared" si="1"/>
        <v>432</v>
      </c>
    </row>
    <row r="7" spans="1:26" s="21" customFormat="1" ht="18" customHeight="1">
      <c r="A7" s="15">
        <v>404</v>
      </c>
      <c r="B7" s="19" t="s">
        <v>469</v>
      </c>
      <c r="C7" s="19" t="s">
        <v>23</v>
      </c>
      <c r="D7" s="19" t="s">
        <v>289</v>
      </c>
      <c r="E7" s="20" t="s">
        <v>290</v>
      </c>
      <c r="F7" s="15">
        <v>301980750</v>
      </c>
      <c r="G7" s="15">
        <v>1201</v>
      </c>
      <c r="H7" s="15" t="s">
        <v>2305</v>
      </c>
      <c r="I7" s="15" t="s">
        <v>2059</v>
      </c>
      <c r="J7" s="15">
        <v>60</v>
      </c>
      <c r="K7" s="15">
        <v>60</v>
      </c>
      <c r="L7" s="15">
        <v>60</v>
      </c>
      <c r="M7" s="15">
        <v>58</v>
      </c>
      <c r="N7" s="15">
        <v>60</v>
      </c>
      <c r="O7" s="15">
        <f t="shared" si="0"/>
        <v>238</v>
      </c>
      <c r="P7" s="631">
        <v>58</v>
      </c>
      <c r="Q7" s="631">
        <v>39</v>
      </c>
      <c r="R7" s="631">
        <v>60</v>
      </c>
      <c r="S7" s="631">
        <v>39</v>
      </c>
      <c r="T7" s="631">
        <v>59</v>
      </c>
      <c r="U7" s="631">
        <v>39</v>
      </c>
      <c r="V7" s="631">
        <v>58</v>
      </c>
      <c r="W7" s="631">
        <v>38</v>
      </c>
      <c r="X7" s="631">
        <v>59</v>
      </c>
      <c r="Y7" s="631">
        <v>39</v>
      </c>
      <c r="Z7" s="635">
        <f t="shared" si="1"/>
        <v>488</v>
      </c>
    </row>
    <row r="8" spans="1:26" s="21" customFormat="1" ht="18" customHeight="1">
      <c r="A8" s="15">
        <v>405</v>
      </c>
      <c r="B8" s="19" t="s">
        <v>467</v>
      </c>
      <c r="C8" s="19" t="s">
        <v>620</v>
      </c>
      <c r="D8" s="19" t="s">
        <v>275</v>
      </c>
      <c r="E8" s="20" t="s">
        <v>276</v>
      </c>
      <c r="F8" s="15">
        <v>303828758</v>
      </c>
      <c r="G8" s="15">
        <v>1660</v>
      </c>
      <c r="H8" s="15" t="s">
        <v>2305</v>
      </c>
      <c r="I8" s="15" t="s">
        <v>2059</v>
      </c>
      <c r="J8" s="17">
        <v>59</v>
      </c>
      <c r="K8" s="15">
        <v>59</v>
      </c>
      <c r="L8" s="15">
        <v>60</v>
      </c>
      <c r="M8" s="15">
        <v>51</v>
      </c>
      <c r="N8" s="15">
        <v>60</v>
      </c>
      <c r="O8" s="15">
        <f t="shared" si="0"/>
        <v>229</v>
      </c>
      <c r="P8" s="631">
        <v>42</v>
      </c>
      <c r="Q8" s="631">
        <v>39</v>
      </c>
      <c r="R8" s="631">
        <v>60</v>
      </c>
      <c r="S8" s="631">
        <v>39</v>
      </c>
      <c r="T8" s="631">
        <v>56</v>
      </c>
      <c r="U8" s="631">
        <v>39</v>
      </c>
      <c r="V8" s="631">
        <v>59</v>
      </c>
      <c r="W8" s="631">
        <v>35</v>
      </c>
      <c r="X8" s="631">
        <v>52</v>
      </c>
      <c r="Y8" s="631">
        <v>37</v>
      </c>
      <c r="Z8" s="635">
        <f t="shared" si="1"/>
        <v>458</v>
      </c>
    </row>
    <row r="9" spans="1:26" s="21" customFormat="1" ht="18" customHeight="1">
      <c r="A9" s="15">
        <v>406</v>
      </c>
      <c r="B9" s="19" t="s">
        <v>298</v>
      </c>
      <c r="C9" s="19" t="s">
        <v>594</v>
      </c>
      <c r="D9" s="19" t="s">
        <v>299</v>
      </c>
      <c r="E9" s="20" t="s">
        <v>300</v>
      </c>
      <c r="F9" s="15">
        <v>301746818</v>
      </c>
      <c r="G9" s="15">
        <v>1301</v>
      </c>
      <c r="H9" s="15" t="s">
        <v>2305</v>
      </c>
      <c r="I9" s="15" t="s">
        <v>2059</v>
      </c>
      <c r="J9" s="15">
        <v>59</v>
      </c>
      <c r="K9" s="15">
        <v>60</v>
      </c>
      <c r="L9" s="15">
        <v>58</v>
      </c>
      <c r="M9" s="15">
        <v>57</v>
      </c>
      <c r="N9" s="15">
        <v>60</v>
      </c>
      <c r="O9" s="15">
        <f t="shared" si="0"/>
        <v>234</v>
      </c>
      <c r="P9" s="631">
        <v>54</v>
      </c>
      <c r="Q9" s="631">
        <v>39</v>
      </c>
      <c r="R9" s="631">
        <v>60</v>
      </c>
      <c r="S9" s="631">
        <v>39</v>
      </c>
      <c r="T9" s="631">
        <v>59</v>
      </c>
      <c r="U9" s="631">
        <v>38</v>
      </c>
      <c r="V9" s="631">
        <v>59</v>
      </c>
      <c r="W9" s="631">
        <v>38</v>
      </c>
      <c r="X9" s="631">
        <v>59</v>
      </c>
      <c r="Y9" s="631">
        <v>39</v>
      </c>
      <c r="Z9" s="635">
        <f t="shared" si="1"/>
        <v>484</v>
      </c>
    </row>
    <row r="10" spans="1:26" s="21" customFormat="1" ht="18" customHeight="1">
      <c r="A10" s="15">
        <v>407</v>
      </c>
      <c r="B10" s="19" t="s">
        <v>3260</v>
      </c>
      <c r="C10" s="19" t="s">
        <v>308</v>
      </c>
      <c r="D10" s="19" t="s">
        <v>309</v>
      </c>
      <c r="E10" s="20" t="s">
        <v>3261</v>
      </c>
      <c r="F10" s="15">
        <v>303682457</v>
      </c>
      <c r="G10" s="15">
        <v>1158</v>
      </c>
      <c r="H10" s="15" t="s">
        <v>2305</v>
      </c>
      <c r="I10" s="15" t="s">
        <v>2059</v>
      </c>
      <c r="J10" s="15">
        <v>47</v>
      </c>
      <c r="K10" s="15">
        <v>51</v>
      </c>
      <c r="L10" s="15">
        <v>52</v>
      </c>
      <c r="M10" s="15">
        <v>49</v>
      </c>
      <c r="N10" s="15">
        <v>47</v>
      </c>
      <c r="O10" s="15">
        <f t="shared" si="0"/>
        <v>199</v>
      </c>
      <c r="P10" s="631">
        <v>52</v>
      </c>
      <c r="Q10" s="631">
        <v>34</v>
      </c>
      <c r="R10" s="631">
        <v>57</v>
      </c>
      <c r="S10" s="631">
        <v>35</v>
      </c>
      <c r="T10" s="631">
        <v>49</v>
      </c>
      <c r="U10" s="631">
        <v>35</v>
      </c>
      <c r="V10" s="631">
        <v>39</v>
      </c>
      <c r="W10" s="631">
        <v>34</v>
      </c>
      <c r="X10" s="631">
        <v>30</v>
      </c>
      <c r="Y10" s="631">
        <v>31</v>
      </c>
      <c r="Z10" s="635">
        <f t="shared" si="1"/>
        <v>396</v>
      </c>
    </row>
    <row r="11" spans="1:26" s="21" customFormat="1" ht="18" customHeight="1">
      <c r="A11" s="15">
        <v>408</v>
      </c>
      <c r="B11" s="19" t="s">
        <v>310</v>
      </c>
      <c r="C11" s="19" t="s">
        <v>311</v>
      </c>
      <c r="D11" s="19" t="s">
        <v>312</v>
      </c>
      <c r="E11" s="20" t="s">
        <v>313</v>
      </c>
      <c r="F11" s="15">
        <v>321002085</v>
      </c>
      <c r="G11" s="15">
        <v>1165</v>
      </c>
      <c r="H11" s="15" t="s">
        <v>2305</v>
      </c>
      <c r="I11" s="15" t="s">
        <v>2059</v>
      </c>
      <c r="J11" s="15">
        <v>60</v>
      </c>
      <c r="K11" s="15">
        <v>60</v>
      </c>
      <c r="L11" s="15">
        <v>59</v>
      </c>
      <c r="M11" s="15">
        <v>53</v>
      </c>
      <c r="N11" s="15">
        <v>57</v>
      </c>
      <c r="O11" s="15">
        <f t="shared" si="0"/>
        <v>232</v>
      </c>
      <c r="P11" s="631">
        <v>56</v>
      </c>
      <c r="Q11" s="631">
        <v>39</v>
      </c>
      <c r="R11" s="631">
        <v>59</v>
      </c>
      <c r="S11" s="631">
        <v>39</v>
      </c>
      <c r="T11" s="631">
        <v>53</v>
      </c>
      <c r="U11" s="631">
        <v>39</v>
      </c>
      <c r="V11" s="631">
        <v>51</v>
      </c>
      <c r="W11" s="631">
        <v>36</v>
      </c>
      <c r="X11" s="631">
        <v>52</v>
      </c>
      <c r="Y11" s="631">
        <v>36</v>
      </c>
      <c r="Z11" s="635">
        <f t="shared" si="1"/>
        <v>460</v>
      </c>
    </row>
    <row r="12" spans="1:26" s="21" customFormat="1" ht="18" customHeight="1">
      <c r="A12" s="15">
        <v>409</v>
      </c>
      <c r="B12" s="19" t="s">
        <v>314</v>
      </c>
      <c r="C12" s="19" t="s">
        <v>178</v>
      </c>
      <c r="D12" s="19" t="s">
        <v>315</v>
      </c>
      <c r="E12" s="20" t="s">
        <v>316</v>
      </c>
      <c r="F12" s="15">
        <v>305598393</v>
      </c>
      <c r="G12" s="15">
        <v>1100</v>
      </c>
      <c r="H12" s="15" t="s">
        <v>2305</v>
      </c>
      <c r="I12" s="15" t="s">
        <v>2059</v>
      </c>
      <c r="J12" s="15">
        <v>51</v>
      </c>
      <c r="K12" s="15">
        <v>49</v>
      </c>
      <c r="L12" s="15">
        <v>48</v>
      </c>
      <c r="M12" s="15">
        <v>49</v>
      </c>
      <c r="N12" s="15">
        <v>30</v>
      </c>
      <c r="O12" s="15">
        <f t="shared" si="0"/>
        <v>197</v>
      </c>
      <c r="P12" s="631">
        <v>51</v>
      </c>
      <c r="Q12" s="631">
        <v>35</v>
      </c>
      <c r="R12" s="631">
        <v>50</v>
      </c>
      <c r="S12" s="631">
        <v>34</v>
      </c>
      <c r="T12" s="631">
        <v>44</v>
      </c>
      <c r="U12" s="631">
        <v>35</v>
      </c>
      <c r="V12" s="631">
        <v>39</v>
      </c>
      <c r="W12" s="631">
        <v>35</v>
      </c>
      <c r="X12" s="631">
        <v>38</v>
      </c>
      <c r="Y12" s="631">
        <v>33</v>
      </c>
      <c r="Z12" s="635">
        <f t="shared" si="1"/>
        <v>394</v>
      </c>
    </row>
    <row r="13" spans="1:26" s="21" customFormat="1" ht="18" customHeight="1">
      <c r="A13" s="15">
        <v>410</v>
      </c>
      <c r="B13" s="19" t="s">
        <v>317</v>
      </c>
      <c r="C13" s="19" t="s">
        <v>318</v>
      </c>
      <c r="D13" s="19" t="s">
        <v>470</v>
      </c>
      <c r="E13" s="20" t="s">
        <v>319</v>
      </c>
      <c r="F13" s="15">
        <v>315145089</v>
      </c>
      <c r="G13" s="15">
        <v>1647</v>
      </c>
      <c r="H13" s="15" t="s">
        <v>2305</v>
      </c>
      <c r="I13" s="15" t="s">
        <v>2059</v>
      </c>
      <c r="J13" s="15">
        <v>48</v>
      </c>
      <c r="K13" s="15">
        <v>52</v>
      </c>
      <c r="L13" s="15">
        <v>48</v>
      </c>
      <c r="M13" s="15">
        <v>48</v>
      </c>
      <c r="N13" s="15">
        <v>48</v>
      </c>
      <c r="O13" s="15">
        <f t="shared" si="0"/>
        <v>196</v>
      </c>
      <c r="P13" s="631">
        <v>42</v>
      </c>
      <c r="Q13" s="631">
        <v>35</v>
      </c>
      <c r="R13" s="631">
        <v>54</v>
      </c>
      <c r="S13" s="631">
        <v>35</v>
      </c>
      <c r="T13" s="631">
        <v>43</v>
      </c>
      <c r="U13" s="631">
        <v>35</v>
      </c>
      <c r="V13" s="631">
        <v>42</v>
      </c>
      <c r="W13" s="631">
        <v>35</v>
      </c>
      <c r="X13" s="631">
        <v>45</v>
      </c>
      <c r="Y13" s="631">
        <v>33</v>
      </c>
      <c r="Z13" s="635">
        <f t="shared" si="1"/>
        <v>399</v>
      </c>
    </row>
    <row r="14" spans="1:26" s="21" customFormat="1" ht="18" customHeight="1">
      <c r="A14" s="15">
        <v>411</v>
      </c>
      <c r="B14" s="19" t="s">
        <v>323</v>
      </c>
      <c r="C14" s="19" t="s">
        <v>597</v>
      </c>
      <c r="D14" s="19" t="s">
        <v>596</v>
      </c>
      <c r="E14" s="20" t="s">
        <v>324</v>
      </c>
      <c r="F14" s="15">
        <v>312195671</v>
      </c>
      <c r="G14" s="15">
        <v>1098</v>
      </c>
      <c r="H14" s="15" t="s">
        <v>2305</v>
      </c>
      <c r="I14" s="15" t="s">
        <v>2059</v>
      </c>
      <c r="J14" s="15">
        <v>56</v>
      </c>
      <c r="K14" s="15">
        <v>55</v>
      </c>
      <c r="L14" s="15">
        <v>53</v>
      </c>
      <c r="M14" s="15">
        <v>51</v>
      </c>
      <c r="N14" s="15">
        <v>35</v>
      </c>
      <c r="O14" s="15">
        <f t="shared" si="0"/>
        <v>215</v>
      </c>
      <c r="P14" s="631">
        <v>49</v>
      </c>
      <c r="Q14" s="631">
        <v>38</v>
      </c>
      <c r="R14" s="631">
        <v>56</v>
      </c>
      <c r="S14" s="631">
        <v>36</v>
      </c>
      <c r="T14" s="631">
        <v>47</v>
      </c>
      <c r="U14" s="631">
        <v>37</v>
      </c>
      <c r="V14" s="631">
        <v>42</v>
      </c>
      <c r="W14" s="631">
        <v>35</v>
      </c>
      <c r="X14" s="631">
        <v>53</v>
      </c>
      <c r="Y14" s="631">
        <v>35</v>
      </c>
      <c r="Z14" s="635">
        <f t="shared" si="1"/>
        <v>428</v>
      </c>
    </row>
    <row r="15" spans="1:26" s="21" customFormat="1" ht="18" customHeight="1">
      <c r="A15" s="15">
        <v>412</v>
      </c>
      <c r="B15" s="19" t="s">
        <v>471</v>
      </c>
      <c r="C15" s="19" t="s">
        <v>226</v>
      </c>
      <c r="D15" s="19" t="s">
        <v>329</v>
      </c>
      <c r="E15" s="20" t="s">
        <v>330</v>
      </c>
      <c r="F15" s="15">
        <v>312568156</v>
      </c>
      <c r="G15" s="15">
        <v>1203</v>
      </c>
      <c r="H15" s="15" t="s">
        <v>2305</v>
      </c>
      <c r="I15" s="15" t="s">
        <v>2059</v>
      </c>
      <c r="J15" s="15">
        <v>55</v>
      </c>
      <c r="K15" s="15">
        <v>60</v>
      </c>
      <c r="L15" s="15">
        <v>54</v>
      </c>
      <c r="M15" s="15">
        <v>52</v>
      </c>
      <c r="N15" s="15">
        <v>54</v>
      </c>
      <c r="O15" s="15">
        <f t="shared" si="0"/>
        <v>221</v>
      </c>
      <c r="P15" s="633">
        <v>59</v>
      </c>
      <c r="Q15" s="633">
        <v>36</v>
      </c>
      <c r="R15" s="633">
        <v>58</v>
      </c>
      <c r="S15" s="633">
        <v>39</v>
      </c>
      <c r="T15" s="633">
        <v>57</v>
      </c>
      <c r="U15" s="633">
        <v>36</v>
      </c>
      <c r="V15" s="633">
        <v>53</v>
      </c>
      <c r="W15" s="633">
        <v>35</v>
      </c>
      <c r="X15" s="633">
        <v>58</v>
      </c>
      <c r="Y15" s="633">
        <v>37</v>
      </c>
      <c r="Z15" s="636">
        <f t="shared" si="1"/>
        <v>468</v>
      </c>
    </row>
    <row r="16" spans="1:26" s="21" customFormat="1" ht="18" customHeight="1">
      <c r="A16" s="15">
        <v>413</v>
      </c>
      <c r="B16" s="19" t="s">
        <v>331</v>
      </c>
      <c r="C16" s="19" t="s">
        <v>332</v>
      </c>
      <c r="D16" s="19" t="s">
        <v>333</v>
      </c>
      <c r="E16" s="20" t="s">
        <v>334</v>
      </c>
      <c r="F16" s="15">
        <v>308468694</v>
      </c>
      <c r="G16" s="15">
        <v>1175</v>
      </c>
      <c r="H16" s="15" t="s">
        <v>2305</v>
      </c>
      <c r="I16" s="15" t="s">
        <v>2059</v>
      </c>
      <c r="J16" s="15">
        <v>57</v>
      </c>
      <c r="K16" s="15">
        <v>58</v>
      </c>
      <c r="L16" s="15">
        <v>59</v>
      </c>
      <c r="M16" s="15">
        <v>42</v>
      </c>
      <c r="N16" s="15">
        <v>48</v>
      </c>
      <c r="O16" s="15">
        <f t="shared" si="0"/>
        <v>216</v>
      </c>
      <c r="P16" s="631">
        <v>58</v>
      </c>
      <c r="Q16" s="637">
        <v>38</v>
      </c>
      <c r="R16" s="631">
        <v>58</v>
      </c>
      <c r="S16" s="631">
        <v>38</v>
      </c>
      <c r="T16" s="631">
        <v>59</v>
      </c>
      <c r="U16" s="631">
        <v>39</v>
      </c>
      <c r="V16" s="631">
        <v>49</v>
      </c>
      <c r="W16" s="631">
        <v>32</v>
      </c>
      <c r="X16" s="631">
        <v>48</v>
      </c>
      <c r="Y16" s="631">
        <v>35</v>
      </c>
      <c r="Z16" s="635">
        <f t="shared" si="1"/>
        <v>454</v>
      </c>
    </row>
    <row r="17" spans="1:26" s="21" customFormat="1" ht="18" customHeight="1">
      <c r="A17" s="15">
        <v>414</v>
      </c>
      <c r="B17" s="19" t="s">
        <v>348</v>
      </c>
      <c r="C17" s="19" t="s">
        <v>349</v>
      </c>
      <c r="D17" s="19" t="s">
        <v>350</v>
      </c>
      <c r="E17" s="20" t="s">
        <v>351</v>
      </c>
      <c r="F17" s="15">
        <v>307656826</v>
      </c>
      <c r="G17" s="15">
        <v>1116</v>
      </c>
      <c r="H17" s="15" t="s">
        <v>2305</v>
      </c>
      <c r="I17" s="15" t="s">
        <v>2059</v>
      </c>
      <c r="J17" s="15">
        <v>60</v>
      </c>
      <c r="K17" s="15">
        <v>60</v>
      </c>
      <c r="L17" s="15">
        <v>60</v>
      </c>
      <c r="M17" s="15">
        <v>60</v>
      </c>
      <c r="N17" s="15">
        <v>57</v>
      </c>
      <c r="O17" s="15">
        <f t="shared" si="0"/>
        <v>240</v>
      </c>
      <c r="P17" s="631">
        <v>59</v>
      </c>
      <c r="Q17" s="631">
        <v>39</v>
      </c>
      <c r="R17" s="631">
        <v>60</v>
      </c>
      <c r="S17" s="631">
        <v>39</v>
      </c>
      <c r="T17" s="631">
        <v>60</v>
      </c>
      <c r="U17" s="631">
        <v>39</v>
      </c>
      <c r="V17" s="631">
        <v>57</v>
      </c>
      <c r="W17" s="631">
        <v>39</v>
      </c>
      <c r="X17" s="631">
        <v>60</v>
      </c>
      <c r="Y17" s="631">
        <v>39</v>
      </c>
      <c r="Z17" s="635">
        <f t="shared" si="1"/>
        <v>491</v>
      </c>
    </row>
    <row r="18" spans="1:26" s="21" customFormat="1" ht="18" customHeight="1">
      <c r="A18" s="15">
        <v>415</v>
      </c>
      <c r="B18" s="19" t="s">
        <v>472</v>
      </c>
      <c r="C18" s="19" t="s">
        <v>346</v>
      </c>
      <c r="D18" s="19" t="s">
        <v>32</v>
      </c>
      <c r="E18" s="20" t="s">
        <v>347</v>
      </c>
      <c r="F18" s="15">
        <v>303919884</v>
      </c>
      <c r="G18" s="15">
        <v>1121</v>
      </c>
      <c r="H18" s="15" t="s">
        <v>2305</v>
      </c>
      <c r="I18" s="15" t="s">
        <v>2059</v>
      </c>
      <c r="J18" s="15">
        <v>60</v>
      </c>
      <c r="K18" s="15">
        <v>59</v>
      </c>
      <c r="L18" s="15">
        <v>58</v>
      </c>
      <c r="M18" s="15">
        <v>59</v>
      </c>
      <c r="N18" s="15">
        <v>59</v>
      </c>
      <c r="O18" s="15">
        <f t="shared" si="0"/>
        <v>236</v>
      </c>
      <c r="P18" s="631">
        <v>59</v>
      </c>
      <c r="Q18" s="631">
        <v>39</v>
      </c>
      <c r="R18" s="631">
        <v>60</v>
      </c>
      <c r="S18" s="631">
        <v>39</v>
      </c>
      <c r="T18" s="631">
        <v>60</v>
      </c>
      <c r="U18" s="631">
        <v>39</v>
      </c>
      <c r="V18" s="631">
        <v>58</v>
      </c>
      <c r="W18" s="631">
        <v>39</v>
      </c>
      <c r="X18" s="631">
        <v>60</v>
      </c>
      <c r="Y18" s="631">
        <v>39</v>
      </c>
      <c r="Z18" s="635">
        <f t="shared" si="1"/>
        <v>492</v>
      </c>
    </row>
    <row r="19" spans="1:26" s="21" customFormat="1" ht="18" customHeight="1">
      <c r="A19" s="15">
        <v>416</v>
      </c>
      <c r="B19" s="19" t="s">
        <v>358</v>
      </c>
      <c r="C19" s="19" t="s">
        <v>359</v>
      </c>
      <c r="D19" s="19" t="s">
        <v>360</v>
      </c>
      <c r="E19" s="20" t="s">
        <v>361</v>
      </c>
      <c r="F19" s="15">
        <v>303948748</v>
      </c>
      <c r="G19" s="15">
        <v>1107</v>
      </c>
      <c r="H19" s="15" t="s">
        <v>2305</v>
      </c>
      <c r="I19" s="15" t="s">
        <v>2059</v>
      </c>
      <c r="J19" s="15">
        <v>52</v>
      </c>
      <c r="K19" s="15">
        <v>55</v>
      </c>
      <c r="L19" s="15">
        <v>55</v>
      </c>
      <c r="M19" s="15">
        <v>49</v>
      </c>
      <c r="N19" s="15">
        <v>54</v>
      </c>
      <c r="O19" s="15">
        <f t="shared" si="0"/>
        <v>211</v>
      </c>
      <c r="P19" s="631">
        <v>40</v>
      </c>
      <c r="Q19" s="631">
        <v>35</v>
      </c>
      <c r="R19" s="631">
        <v>52</v>
      </c>
      <c r="S19" s="631">
        <v>36</v>
      </c>
      <c r="T19" s="631">
        <v>42</v>
      </c>
      <c r="U19" s="631">
        <v>36</v>
      </c>
      <c r="V19" s="631">
        <v>41</v>
      </c>
      <c r="W19" s="631">
        <v>34</v>
      </c>
      <c r="X19" s="631">
        <v>38</v>
      </c>
      <c r="Y19" s="631">
        <v>32</v>
      </c>
      <c r="Z19" s="635">
        <f t="shared" si="1"/>
        <v>386</v>
      </c>
    </row>
    <row r="20" spans="1:26" s="21" customFormat="1" ht="18" customHeight="1">
      <c r="A20" s="15">
        <v>417</v>
      </c>
      <c r="B20" s="19" t="s">
        <v>362</v>
      </c>
      <c r="C20" s="19" t="s">
        <v>600</v>
      </c>
      <c r="D20" s="19" t="s">
        <v>473</v>
      </c>
      <c r="E20" s="20" t="s">
        <v>363</v>
      </c>
      <c r="F20" s="15">
        <v>308569027</v>
      </c>
      <c r="G20" s="15">
        <v>1199</v>
      </c>
      <c r="H20" s="15" t="s">
        <v>2305</v>
      </c>
      <c r="I20" s="15" t="s">
        <v>2059</v>
      </c>
      <c r="J20" s="15">
        <v>49</v>
      </c>
      <c r="K20" s="15">
        <v>57</v>
      </c>
      <c r="L20" s="15">
        <v>54</v>
      </c>
      <c r="M20" s="15">
        <v>47</v>
      </c>
      <c r="N20" s="15">
        <v>48</v>
      </c>
      <c r="O20" s="15">
        <f t="shared" si="0"/>
        <v>207</v>
      </c>
      <c r="P20" s="631">
        <v>43</v>
      </c>
      <c r="Q20" s="631">
        <v>34</v>
      </c>
      <c r="R20" s="631">
        <v>58</v>
      </c>
      <c r="S20" s="631">
        <v>38</v>
      </c>
      <c r="T20" s="631">
        <v>54</v>
      </c>
      <c r="U20" s="631">
        <v>36</v>
      </c>
      <c r="V20" s="631">
        <v>52</v>
      </c>
      <c r="W20" s="631">
        <v>34</v>
      </c>
      <c r="X20" s="631">
        <v>51</v>
      </c>
      <c r="Y20" s="631">
        <v>35</v>
      </c>
      <c r="Z20" s="635">
        <f t="shared" si="1"/>
        <v>435</v>
      </c>
    </row>
    <row r="21" spans="1:26" s="373" customFormat="1" ht="18" customHeight="1">
      <c r="A21" s="817">
        <v>418</v>
      </c>
      <c r="B21" s="18" t="s">
        <v>592</v>
      </c>
      <c r="C21" s="18" t="s">
        <v>593</v>
      </c>
      <c r="D21" s="18" t="s">
        <v>486</v>
      </c>
      <c r="E21" s="405" t="s">
        <v>487</v>
      </c>
      <c r="F21" s="15">
        <v>305179923</v>
      </c>
      <c r="G21" s="15">
        <v>1255</v>
      </c>
      <c r="H21" s="15" t="s">
        <v>2305</v>
      </c>
      <c r="I21" s="15" t="s">
        <v>2059</v>
      </c>
      <c r="J21" s="15">
        <v>60</v>
      </c>
      <c r="K21" s="15">
        <v>60</v>
      </c>
      <c r="L21" s="15">
        <v>60</v>
      </c>
      <c r="M21" s="15">
        <v>60</v>
      </c>
      <c r="N21" s="15">
        <v>59</v>
      </c>
      <c r="O21" s="15">
        <f t="shared" si="0"/>
        <v>240</v>
      </c>
      <c r="P21" s="631">
        <v>59</v>
      </c>
      <c r="Q21" s="631">
        <v>39</v>
      </c>
      <c r="R21" s="631">
        <v>59</v>
      </c>
      <c r="S21" s="631">
        <v>38</v>
      </c>
      <c r="T21" s="631">
        <v>59</v>
      </c>
      <c r="U21" s="631">
        <v>38</v>
      </c>
      <c r="V21" s="631">
        <v>57</v>
      </c>
      <c r="W21" s="631">
        <v>39</v>
      </c>
      <c r="X21" s="631">
        <v>57</v>
      </c>
      <c r="Y21" s="631">
        <v>37</v>
      </c>
      <c r="Z21" s="635">
        <f t="shared" si="1"/>
        <v>482</v>
      </c>
    </row>
    <row r="22" spans="1:26" s="21" customFormat="1" ht="18" customHeight="1">
      <c r="A22" s="15">
        <v>419</v>
      </c>
      <c r="B22" s="233" t="s">
        <v>369</v>
      </c>
      <c r="C22" s="233" t="s">
        <v>370</v>
      </c>
      <c r="D22" s="233" t="s">
        <v>371</v>
      </c>
      <c r="E22" s="234" t="s">
        <v>372</v>
      </c>
      <c r="F22" s="232">
        <v>313293564</v>
      </c>
      <c r="G22" s="232">
        <v>1312</v>
      </c>
      <c r="H22" s="15" t="s">
        <v>2305</v>
      </c>
      <c r="I22" s="15" t="s">
        <v>2059</v>
      </c>
      <c r="J22" s="15">
        <v>45</v>
      </c>
      <c r="K22" s="15">
        <v>50</v>
      </c>
      <c r="L22" s="15">
        <v>53</v>
      </c>
      <c r="M22" s="15">
        <v>48</v>
      </c>
      <c r="N22" s="15">
        <v>45</v>
      </c>
      <c r="O22" s="15">
        <f t="shared" si="0"/>
        <v>196</v>
      </c>
      <c r="P22" s="631">
        <v>49</v>
      </c>
      <c r="Q22" s="631">
        <v>32</v>
      </c>
      <c r="R22" s="631">
        <v>59</v>
      </c>
      <c r="S22" s="631">
        <v>35</v>
      </c>
      <c r="T22" s="631">
        <v>45</v>
      </c>
      <c r="U22" s="631">
        <v>36</v>
      </c>
      <c r="V22" s="631">
        <v>40</v>
      </c>
      <c r="W22" s="631">
        <v>34</v>
      </c>
      <c r="X22" s="631">
        <v>43</v>
      </c>
      <c r="Y22" s="631">
        <v>32</v>
      </c>
      <c r="Z22" s="635">
        <f t="shared" si="1"/>
        <v>405</v>
      </c>
    </row>
    <row r="23" spans="1:26" s="21" customFormat="1" ht="18" customHeight="1">
      <c r="A23" s="15">
        <v>420</v>
      </c>
      <c r="B23" s="19" t="s">
        <v>374</v>
      </c>
      <c r="C23" s="19" t="s">
        <v>375</v>
      </c>
      <c r="D23" s="19" t="s">
        <v>475</v>
      </c>
      <c r="E23" s="20" t="s">
        <v>376</v>
      </c>
      <c r="F23" s="15">
        <v>312358228</v>
      </c>
      <c r="G23" s="15">
        <v>1127</v>
      </c>
      <c r="H23" s="15" t="s">
        <v>2305</v>
      </c>
      <c r="I23" s="15" t="s">
        <v>2059</v>
      </c>
      <c r="J23" s="17">
        <v>56</v>
      </c>
      <c r="K23" s="15">
        <v>55</v>
      </c>
      <c r="L23" s="15">
        <v>53</v>
      </c>
      <c r="M23" s="15">
        <v>49</v>
      </c>
      <c r="N23" s="15">
        <v>47</v>
      </c>
      <c r="O23" s="15">
        <f t="shared" si="0"/>
        <v>213</v>
      </c>
      <c r="P23" s="631">
        <v>56</v>
      </c>
      <c r="Q23" s="631">
        <v>38</v>
      </c>
      <c r="R23" s="631">
        <v>59</v>
      </c>
      <c r="S23" s="631">
        <v>36</v>
      </c>
      <c r="T23" s="631">
        <v>42</v>
      </c>
      <c r="U23" s="631">
        <v>36</v>
      </c>
      <c r="V23" s="631">
        <v>50</v>
      </c>
      <c r="W23" s="631">
        <v>34</v>
      </c>
      <c r="X23" s="631">
        <v>45</v>
      </c>
      <c r="Y23" s="631">
        <v>34</v>
      </c>
      <c r="Z23" s="635">
        <f t="shared" si="1"/>
        <v>430</v>
      </c>
    </row>
    <row r="24" spans="1:26" s="21" customFormat="1" ht="18" customHeight="1">
      <c r="A24" s="15">
        <v>421</v>
      </c>
      <c r="B24" s="19" t="s">
        <v>377</v>
      </c>
      <c r="C24" s="19" t="s">
        <v>601</v>
      </c>
      <c r="D24" s="19" t="s">
        <v>1876</v>
      </c>
      <c r="E24" s="20" t="s">
        <v>379</v>
      </c>
      <c r="F24" s="15">
        <v>311526689</v>
      </c>
      <c r="G24" s="15">
        <v>1080</v>
      </c>
      <c r="H24" s="15" t="s">
        <v>2305</v>
      </c>
      <c r="I24" s="15" t="s">
        <v>2059</v>
      </c>
      <c r="J24" s="15">
        <v>59</v>
      </c>
      <c r="K24" s="15">
        <v>59</v>
      </c>
      <c r="L24" s="15">
        <v>59</v>
      </c>
      <c r="M24" s="15">
        <v>48</v>
      </c>
      <c r="N24" s="15">
        <v>48</v>
      </c>
      <c r="O24" s="15">
        <f t="shared" si="0"/>
        <v>225</v>
      </c>
      <c r="P24" s="631">
        <v>47</v>
      </c>
      <c r="Q24" s="631">
        <v>39</v>
      </c>
      <c r="R24" s="631">
        <v>58</v>
      </c>
      <c r="S24" s="631">
        <v>38</v>
      </c>
      <c r="T24" s="631">
        <v>56</v>
      </c>
      <c r="U24" s="631">
        <v>39</v>
      </c>
      <c r="V24" s="631">
        <v>50</v>
      </c>
      <c r="W24" s="631">
        <v>34</v>
      </c>
      <c r="X24" s="631">
        <v>42</v>
      </c>
      <c r="Y24" s="631">
        <v>33</v>
      </c>
      <c r="Z24" s="635">
        <f t="shared" si="1"/>
        <v>436</v>
      </c>
    </row>
    <row r="25" spans="1:26" s="21" customFormat="1" ht="18" customHeight="1">
      <c r="A25" s="15">
        <v>422</v>
      </c>
      <c r="B25" s="19" t="s">
        <v>380</v>
      </c>
      <c r="C25" s="19" t="s">
        <v>381</v>
      </c>
      <c r="D25" s="19" t="s">
        <v>382</v>
      </c>
      <c r="E25" s="20" t="s">
        <v>383</v>
      </c>
      <c r="F25" s="15">
        <v>308409813</v>
      </c>
      <c r="G25" s="15">
        <v>1085</v>
      </c>
      <c r="H25" s="15" t="s">
        <v>2305</v>
      </c>
      <c r="I25" s="15" t="s">
        <v>2059</v>
      </c>
      <c r="J25" s="15">
        <v>50</v>
      </c>
      <c r="K25" s="15">
        <v>58</v>
      </c>
      <c r="L25" s="15">
        <v>59</v>
      </c>
      <c r="M25" s="15">
        <v>49</v>
      </c>
      <c r="N25" s="15">
        <v>49</v>
      </c>
      <c r="O25" s="15">
        <f t="shared" si="0"/>
        <v>216</v>
      </c>
      <c r="P25" s="631">
        <v>42</v>
      </c>
      <c r="Q25" s="631">
        <v>35</v>
      </c>
      <c r="R25" s="631">
        <v>57</v>
      </c>
      <c r="S25" s="631">
        <v>38</v>
      </c>
      <c r="T25" s="631">
        <v>52</v>
      </c>
      <c r="U25" s="631">
        <v>39</v>
      </c>
      <c r="V25" s="631">
        <v>40</v>
      </c>
      <c r="W25" s="631">
        <v>34</v>
      </c>
      <c r="X25" s="631">
        <v>44</v>
      </c>
      <c r="Y25" s="631">
        <v>33</v>
      </c>
      <c r="Z25" s="635">
        <f t="shared" si="1"/>
        <v>414</v>
      </c>
    </row>
    <row r="26" spans="1:26" s="21" customFormat="1" ht="18" customHeight="1">
      <c r="A26" s="15">
        <v>423</v>
      </c>
      <c r="B26" s="19" t="s">
        <v>384</v>
      </c>
      <c r="C26" s="19" t="s">
        <v>602</v>
      </c>
      <c r="D26" s="19" t="s">
        <v>385</v>
      </c>
      <c r="E26" s="20" t="s">
        <v>386</v>
      </c>
      <c r="F26" s="15">
        <v>320380408</v>
      </c>
      <c r="G26" s="15">
        <v>1231</v>
      </c>
      <c r="H26" s="15" t="s">
        <v>2305</v>
      </c>
      <c r="I26" s="15" t="s">
        <v>2059</v>
      </c>
      <c r="J26" s="15">
        <v>48</v>
      </c>
      <c r="K26" s="15">
        <v>54</v>
      </c>
      <c r="L26" s="15">
        <v>48</v>
      </c>
      <c r="M26" s="15">
        <v>49</v>
      </c>
      <c r="N26" s="15">
        <v>45</v>
      </c>
      <c r="O26" s="15">
        <f t="shared" si="0"/>
        <v>199</v>
      </c>
      <c r="P26" s="631">
        <v>41</v>
      </c>
      <c r="Q26" s="631">
        <v>32</v>
      </c>
      <c r="R26" s="631">
        <v>49</v>
      </c>
      <c r="S26" s="631">
        <v>36</v>
      </c>
      <c r="T26" s="631">
        <v>49</v>
      </c>
      <c r="U26" s="631">
        <v>34</v>
      </c>
      <c r="V26" s="631">
        <v>41</v>
      </c>
      <c r="W26" s="631">
        <v>35</v>
      </c>
      <c r="X26" s="631">
        <v>42</v>
      </c>
      <c r="Y26" s="631">
        <v>33</v>
      </c>
      <c r="Z26" s="635">
        <f t="shared" si="1"/>
        <v>392</v>
      </c>
    </row>
    <row r="27" spans="1:26" s="21" customFormat="1" ht="18" customHeight="1">
      <c r="A27" s="15">
        <v>424</v>
      </c>
      <c r="B27" s="19" t="s">
        <v>391</v>
      </c>
      <c r="C27" s="19" t="s">
        <v>476</v>
      </c>
      <c r="D27" s="19" t="s">
        <v>477</v>
      </c>
      <c r="E27" s="20" t="s">
        <v>392</v>
      </c>
      <c r="F27" s="15">
        <v>303828725</v>
      </c>
      <c r="G27" s="15">
        <v>1464</v>
      </c>
      <c r="H27" s="15" t="s">
        <v>2305</v>
      </c>
      <c r="I27" s="15" t="s">
        <v>2059</v>
      </c>
      <c r="J27" s="15">
        <v>48</v>
      </c>
      <c r="K27" s="15">
        <v>58</v>
      </c>
      <c r="L27" s="15">
        <v>60</v>
      </c>
      <c r="M27" s="15">
        <v>55</v>
      </c>
      <c r="N27" s="15">
        <v>50</v>
      </c>
      <c r="O27" s="15">
        <f t="shared" si="0"/>
        <v>221</v>
      </c>
      <c r="P27" s="631">
        <v>43</v>
      </c>
      <c r="Q27" s="631">
        <v>34</v>
      </c>
      <c r="R27" s="631">
        <v>59</v>
      </c>
      <c r="S27" s="631">
        <v>49</v>
      </c>
      <c r="T27" s="631">
        <v>55</v>
      </c>
      <c r="U27" s="631">
        <v>39</v>
      </c>
      <c r="V27" s="631">
        <v>53</v>
      </c>
      <c r="W27" s="631">
        <v>36</v>
      </c>
      <c r="X27" s="631">
        <v>47</v>
      </c>
      <c r="Y27" s="631">
        <v>35</v>
      </c>
      <c r="Z27" s="635">
        <f t="shared" si="1"/>
        <v>450</v>
      </c>
    </row>
    <row r="28" spans="1:26" s="21" customFormat="1" ht="18" customHeight="1">
      <c r="A28" s="15">
        <v>425</v>
      </c>
      <c r="B28" s="19" t="s">
        <v>479</v>
      </c>
      <c r="C28" s="19" t="s">
        <v>400</v>
      </c>
      <c r="D28" s="19" t="s">
        <v>128</v>
      </c>
      <c r="E28" s="20" t="s">
        <v>401</v>
      </c>
      <c r="F28" s="15">
        <v>304716090</v>
      </c>
      <c r="G28" s="15">
        <v>1190</v>
      </c>
      <c r="H28" s="15" t="s">
        <v>2305</v>
      </c>
      <c r="I28" s="15" t="s">
        <v>2059</v>
      </c>
      <c r="J28" s="15">
        <v>47</v>
      </c>
      <c r="K28" s="15">
        <v>59</v>
      </c>
      <c r="L28" s="15">
        <v>59</v>
      </c>
      <c r="M28" s="15">
        <v>45</v>
      </c>
      <c r="N28" s="15">
        <v>48</v>
      </c>
      <c r="O28" s="15">
        <f t="shared" si="0"/>
        <v>210</v>
      </c>
      <c r="P28" s="631">
        <v>47</v>
      </c>
      <c r="Q28" s="631">
        <v>34</v>
      </c>
      <c r="R28" s="631">
        <v>58</v>
      </c>
      <c r="S28" s="631">
        <v>38</v>
      </c>
      <c r="T28" s="631">
        <v>55</v>
      </c>
      <c r="U28" s="631">
        <v>38</v>
      </c>
      <c r="V28" s="631">
        <v>52</v>
      </c>
      <c r="W28" s="631">
        <v>34</v>
      </c>
      <c r="X28" s="631">
        <v>40</v>
      </c>
      <c r="Y28" s="631">
        <v>33</v>
      </c>
      <c r="Z28" s="635">
        <f t="shared" si="1"/>
        <v>429</v>
      </c>
    </row>
    <row r="29" spans="1:26" s="21" customFormat="1" ht="18" customHeight="1">
      <c r="A29" s="15">
        <v>426</v>
      </c>
      <c r="B29" s="19" t="s">
        <v>396</v>
      </c>
      <c r="C29" s="19" t="s">
        <v>397</v>
      </c>
      <c r="D29" s="406" t="s">
        <v>398</v>
      </c>
      <c r="E29" s="20" t="s">
        <v>399</v>
      </c>
      <c r="F29" s="15">
        <v>311804332</v>
      </c>
      <c r="G29" s="15">
        <v>1083</v>
      </c>
      <c r="H29" s="15" t="s">
        <v>2305</v>
      </c>
      <c r="I29" s="15" t="s">
        <v>2059</v>
      </c>
      <c r="J29" s="15">
        <v>51</v>
      </c>
      <c r="K29" s="15">
        <v>58</v>
      </c>
      <c r="L29" s="15">
        <v>53</v>
      </c>
      <c r="M29" s="15">
        <v>48</v>
      </c>
      <c r="N29" s="15">
        <v>45</v>
      </c>
      <c r="O29" s="15">
        <f t="shared" si="0"/>
        <v>210</v>
      </c>
      <c r="P29" s="631">
        <v>55</v>
      </c>
      <c r="Q29" s="631">
        <v>35</v>
      </c>
      <c r="R29" s="631">
        <v>59</v>
      </c>
      <c r="S29" s="631">
        <v>38</v>
      </c>
      <c r="T29" s="631">
        <v>56</v>
      </c>
      <c r="U29" s="631">
        <v>36</v>
      </c>
      <c r="V29" s="631">
        <v>52</v>
      </c>
      <c r="W29" s="631">
        <v>34</v>
      </c>
      <c r="X29" s="631">
        <v>44</v>
      </c>
      <c r="Y29" s="631">
        <v>33</v>
      </c>
      <c r="Z29" s="635">
        <f t="shared" si="1"/>
        <v>442</v>
      </c>
    </row>
    <row r="30" spans="1:26" s="21" customFormat="1" ht="18" customHeight="1">
      <c r="A30" s="15">
        <v>427</v>
      </c>
      <c r="B30" s="19" t="s">
        <v>460</v>
      </c>
      <c r="C30" s="19" t="s">
        <v>613</v>
      </c>
      <c r="D30" s="19" t="s">
        <v>614</v>
      </c>
      <c r="E30" s="20" t="s">
        <v>461</v>
      </c>
      <c r="F30" s="15">
        <v>313098464</v>
      </c>
      <c r="G30" s="15">
        <v>1502</v>
      </c>
      <c r="H30" s="15" t="s">
        <v>2305</v>
      </c>
      <c r="I30" s="15" t="s">
        <v>2059</v>
      </c>
      <c r="J30" s="15">
        <v>47</v>
      </c>
      <c r="K30" s="15">
        <v>45</v>
      </c>
      <c r="L30" s="15">
        <v>57</v>
      </c>
      <c r="M30" s="15">
        <v>46</v>
      </c>
      <c r="N30" s="15">
        <v>48</v>
      </c>
      <c r="O30" s="15">
        <f t="shared" si="0"/>
        <v>195</v>
      </c>
      <c r="P30" s="631">
        <v>52</v>
      </c>
      <c r="Q30" s="631">
        <v>34</v>
      </c>
      <c r="R30" s="631">
        <v>58</v>
      </c>
      <c r="S30" s="631">
        <v>34</v>
      </c>
      <c r="T30" s="631">
        <v>55</v>
      </c>
      <c r="U30" s="631">
        <v>38</v>
      </c>
      <c r="V30" s="631">
        <v>51</v>
      </c>
      <c r="W30" s="631">
        <v>34</v>
      </c>
      <c r="X30" s="631">
        <v>42</v>
      </c>
      <c r="Y30" s="631">
        <v>33</v>
      </c>
      <c r="Z30" s="635">
        <f t="shared" si="1"/>
        <v>431</v>
      </c>
    </row>
    <row r="31" spans="1:26" s="21" customFormat="1" ht="18" customHeight="1">
      <c r="A31" s="15">
        <v>428</v>
      </c>
      <c r="B31" s="19" t="s">
        <v>414</v>
      </c>
      <c r="C31" s="19" t="s">
        <v>33</v>
      </c>
      <c r="D31" s="19" t="s">
        <v>40</v>
      </c>
      <c r="E31" s="20" t="s">
        <v>415</v>
      </c>
      <c r="F31" s="15">
        <v>311390566</v>
      </c>
      <c r="G31" s="15">
        <v>1089</v>
      </c>
      <c r="H31" s="15" t="s">
        <v>2305</v>
      </c>
      <c r="I31" s="15" t="s">
        <v>2059</v>
      </c>
      <c r="J31" s="15">
        <v>51</v>
      </c>
      <c r="K31" s="15">
        <v>55</v>
      </c>
      <c r="L31" s="15">
        <v>58</v>
      </c>
      <c r="M31" s="15">
        <v>46</v>
      </c>
      <c r="N31" s="15">
        <v>48</v>
      </c>
      <c r="O31" s="15">
        <f t="shared" si="0"/>
        <v>210</v>
      </c>
      <c r="P31" s="631">
        <v>44</v>
      </c>
      <c r="Q31" s="631">
        <v>35</v>
      </c>
      <c r="R31" s="631">
        <v>59</v>
      </c>
      <c r="S31" s="631">
        <v>36</v>
      </c>
      <c r="T31" s="631">
        <v>52</v>
      </c>
      <c r="U31" s="631">
        <v>38</v>
      </c>
      <c r="V31" s="631">
        <v>51</v>
      </c>
      <c r="W31" s="631">
        <v>34</v>
      </c>
      <c r="X31" s="631">
        <v>45</v>
      </c>
      <c r="Y31" s="631">
        <v>34</v>
      </c>
      <c r="Z31" s="635">
        <f t="shared" si="1"/>
        <v>428</v>
      </c>
    </row>
    <row r="32" spans="1:26" s="21" customFormat="1" ht="18" customHeight="1">
      <c r="A32" s="15">
        <v>429</v>
      </c>
      <c r="B32" s="19" t="s">
        <v>429</v>
      </c>
      <c r="C32" s="19" t="s">
        <v>610</v>
      </c>
      <c r="D32" s="19" t="s">
        <v>430</v>
      </c>
      <c r="E32" s="20" t="s">
        <v>431</v>
      </c>
      <c r="F32" s="15">
        <v>307376856</v>
      </c>
      <c r="G32" s="15">
        <v>1252</v>
      </c>
      <c r="H32" s="15" t="s">
        <v>2305</v>
      </c>
      <c r="I32" s="15" t="s">
        <v>2059</v>
      </c>
      <c r="J32" s="15">
        <v>49</v>
      </c>
      <c r="K32" s="15">
        <v>48</v>
      </c>
      <c r="L32" s="15">
        <v>48</v>
      </c>
      <c r="M32" s="15">
        <v>48</v>
      </c>
      <c r="N32" s="15">
        <v>51</v>
      </c>
      <c r="O32" s="15">
        <f t="shared" si="0"/>
        <v>193</v>
      </c>
      <c r="P32" s="631">
        <v>44</v>
      </c>
      <c r="Q32" s="631">
        <v>34</v>
      </c>
      <c r="R32" s="631">
        <v>55</v>
      </c>
      <c r="S32" s="631">
        <v>34</v>
      </c>
      <c r="T32" s="631">
        <v>49</v>
      </c>
      <c r="U32" s="631">
        <v>34</v>
      </c>
      <c r="V32" s="631">
        <v>49</v>
      </c>
      <c r="W32" s="631">
        <v>34</v>
      </c>
      <c r="X32" s="631">
        <v>44</v>
      </c>
      <c r="Y32" s="631">
        <v>34</v>
      </c>
      <c r="Z32" s="635">
        <f t="shared" si="1"/>
        <v>411</v>
      </c>
    </row>
    <row r="33" spans="1:26" s="21" customFormat="1" ht="18" customHeight="1">
      <c r="A33" s="15">
        <v>430</v>
      </c>
      <c r="B33" s="19" t="s">
        <v>432</v>
      </c>
      <c r="C33" s="19" t="s">
        <v>433</v>
      </c>
      <c r="D33" s="19" t="s">
        <v>611</v>
      </c>
      <c r="E33" s="20" t="s">
        <v>434</v>
      </c>
      <c r="F33" s="15">
        <v>300657887</v>
      </c>
      <c r="G33" s="15">
        <v>1344</v>
      </c>
      <c r="H33" s="15" t="s">
        <v>2305</v>
      </c>
      <c r="I33" s="15" t="s">
        <v>2059</v>
      </c>
      <c r="J33" s="15">
        <v>48</v>
      </c>
      <c r="K33" s="15">
        <v>54</v>
      </c>
      <c r="L33" s="15">
        <v>55</v>
      </c>
      <c r="M33" s="15">
        <v>45</v>
      </c>
      <c r="N33" s="15">
        <v>50</v>
      </c>
      <c r="O33" s="15">
        <f t="shared" si="0"/>
        <v>202</v>
      </c>
      <c r="P33" s="631">
        <v>46</v>
      </c>
      <c r="Q33" s="631">
        <v>34</v>
      </c>
      <c r="R33" s="631">
        <v>56</v>
      </c>
      <c r="S33" s="631">
        <v>38</v>
      </c>
      <c r="T33" s="631">
        <v>55</v>
      </c>
      <c r="U33" s="631">
        <v>36</v>
      </c>
      <c r="V33" s="631">
        <v>40</v>
      </c>
      <c r="W33" s="631">
        <v>34</v>
      </c>
      <c r="X33" s="631">
        <v>39</v>
      </c>
      <c r="Y33" s="631">
        <v>32</v>
      </c>
      <c r="Z33" s="635">
        <f t="shared" si="1"/>
        <v>410</v>
      </c>
    </row>
    <row r="34" spans="1:26" s="21" customFormat="1" ht="18" customHeight="1">
      <c r="A34" s="15">
        <v>431</v>
      </c>
      <c r="B34" s="19" t="s">
        <v>437</v>
      </c>
      <c r="C34" s="19" t="s">
        <v>612</v>
      </c>
      <c r="D34" s="19" t="s">
        <v>438</v>
      </c>
      <c r="E34" s="20" t="s">
        <v>439</v>
      </c>
      <c r="F34" s="15">
        <v>304911765</v>
      </c>
      <c r="G34" s="15">
        <v>1106</v>
      </c>
      <c r="H34" s="15" t="s">
        <v>2305</v>
      </c>
      <c r="I34" s="15" t="s">
        <v>2059</v>
      </c>
      <c r="J34" s="15">
        <v>57</v>
      </c>
      <c r="K34" s="15">
        <v>59</v>
      </c>
      <c r="L34" s="15">
        <v>57</v>
      </c>
      <c r="M34" s="15">
        <v>45</v>
      </c>
      <c r="N34" s="15">
        <v>47</v>
      </c>
      <c r="O34" s="15">
        <f t="shared" si="0"/>
        <v>218</v>
      </c>
      <c r="P34" s="631">
        <v>52</v>
      </c>
      <c r="Q34" s="631">
        <v>38</v>
      </c>
      <c r="R34" s="631">
        <v>57</v>
      </c>
      <c r="S34" s="631">
        <v>39</v>
      </c>
      <c r="T34" s="631">
        <v>57</v>
      </c>
      <c r="U34" s="631">
        <v>38</v>
      </c>
      <c r="V34" s="631">
        <v>50</v>
      </c>
      <c r="W34" s="631">
        <v>34</v>
      </c>
      <c r="X34" s="631">
        <v>42</v>
      </c>
      <c r="Y34" s="631">
        <v>32</v>
      </c>
      <c r="Z34" s="635">
        <f t="shared" si="1"/>
        <v>439</v>
      </c>
    </row>
    <row r="35" spans="1:26" s="377" customFormat="1" ht="15">
      <c r="A35" s="15">
        <v>432</v>
      </c>
      <c r="B35" s="19" t="s">
        <v>440</v>
      </c>
      <c r="C35" s="19" t="s">
        <v>441</v>
      </c>
      <c r="D35" s="19" t="s">
        <v>123</v>
      </c>
      <c r="E35" s="20" t="s">
        <v>442</v>
      </c>
      <c r="F35" s="15">
        <v>313117285</v>
      </c>
      <c r="G35" s="15">
        <v>1138</v>
      </c>
      <c r="H35" s="15" t="s">
        <v>2305</v>
      </c>
      <c r="I35" s="15" t="s">
        <v>2059</v>
      </c>
      <c r="J35" s="15">
        <v>47</v>
      </c>
      <c r="K35" s="525">
        <v>49</v>
      </c>
      <c r="L35" s="525">
        <v>48</v>
      </c>
      <c r="M35" s="525">
        <v>46</v>
      </c>
      <c r="N35" s="525">
        <v>48</v>
      </c>
      <c r="O35" s="15">
        <f t="shared" ref="O35:O75" si="2">SUM(J35:N35)</f>
        <v>238</v>
      </c>
      <c r="P35" s="631">
        <v>41</v>
      </c>
      <c r="Q35" s="631">
        <v>35</v>
      </c>
      <c r="R35" s="631">
        <v>45</v>
      </c>
      <c r="S35" s="631">
        <v>34</v>
      </c>
      <c r="T35" s="631">
        <v>55</v>
      </c>
      <c r="U35" s="631">
        <v>35</v>
      </c>
      <c r="V35" s="631">
        <v>50</v>
      </c>
      <c r="W35" s="631">
        <v>34</v>
      </c>
      <c r="X35" s="631">
        <v>33</v>
      </c>
      <c r="Y35" s="631">
        <v>30</v>
      </c>
      <c r="Z35" s="635">
        <f t="shared" si="1"/>
        <v>392</v>
      </c>
    </row>
    <row r="36" spans="1:26" s="21" customFormat="1" ht="18" customHeight="1">
      <c r="A36" s="15">
        <v>433</v>
      </c>
      <c r="B36" s="19" t="s">
        <v>443</v>
      </c>
      <c r="C36" s="19" t="s">
        <v>444</v>
      </c>
      <c r="D36" s="19" t="s">
        <v>445</v>
      </c>
      <c r="E36" s="20" t="s">
        <v>303</v>
      </c>
      <c r="F36" s="15">
        <v>312297992</v>
      </c>
      <c r="G36" s="15">
        <v>1073</v>
      </c>
      <c r="H36" s="15" t="s">
        <v>2305</v>
      </c>
      <c r="I36" s="15" t="s">
        <v>2059</v>
      </c>
      <c r="J36" s="15">
        <v>47</v>
      </c>
      <c r="K36" s="15">
        <v>49</v>
      </c>
      <c r="L36" s="15">
        <v>46</v>
      </c>
      <c r="M36" s="15">
        <v>47</v>
      </c>
      <c r="N36" s="15">
        <v>49</v>
      </c>
      <c r="O36" s="15">
        <f t="shared" si="2"/>
        <v>238</v>
      </c>
      <c r="P36" s="631">
        <v>45</v>
      </c>
      <c r="Q36" s="631">
        <v>34</v>
      </c>
      <c r="R36" s="631">
        <v>54</v>
      </c>
      <c r="S36" s="631">
        <v>34</v>
      </c>
      <c r="T36" s="631">
        <v>57</v>
      </c>
      <c r="U36" s="631">
        <v>34</v>
      </c>
      <c r="V36" s="631">
        <v>54</v>
      </c>
      <c r="W36" s="631">
        <v>35</v>
      </c>
      <c r="X36" s="631">
        <v>47</v>
      </c>
      <c r="Y36" s="631">
        <v>34</v>
      </c>
      <c r="Z36" s="635">
        <f t="shared" si="1"/>
        <v>428</v>
      </c>
    </row>
    <row r="37" spans="1:26" s="21" customFormat="1" ht="18" customHeight="1">
      <c r="A37" s="15">
        <v>434</v>
      </c>
      <c r="B37" s="19" t="s">
        <v>446</v>
      </c>
      <c r="C37" s="19" t="s">
        <v>447</v>
      </c>
      <c r="D37" s="19" t="s">
        <v>448</v>
      </c>
      <c r="E37" s="20" t="s">
        <v>449</v>
      </c>
      <c r="F37" s="15">
        <v>301746836</v>
      </c>
      <c r="G37" s="15">
        <v>1076</v>
      </c>
      <c r="H37" s="15" t="s">
        <v>2305</v>
      </c>
      <c r="I37" s="15" t="s">
        <v>2059</v>
      </c>
      <c r="J37" s="15">
        <v>60</v>
      </c>
      <c r="K37" s="15">
        <v>60</v>
      </c>
      <c r="L37" s="15">
        <v>59</v>
      </c>
      <c r="M37" s="15">
        <v>58</v>
      </c>
      <c r="N37" s="15">
        <v>60</v>
      </c>
      <c r="O37" s="15">
        <f t="shared" si="2"/>
        <v>297</v>
      </c>
      <c r="P37" s="631">
        <v>59</v>
      </c>
      <c r="Q37" s="631">
        <v>39</v>
      </c>
      <c r="R37" s="631">
        <v>60</v>
      </c>
      <c r="S37" s="631">
        <v>39</v>
      </c>
      <c r="T37" s="631">
        <v>60</v>
      </c>
      <c r="U37" s="631">
        <v>39</v>
      </c>
      <c r="V37" s="631">
        <v>59</v>
      </c>
      <c r="W37" s="631">
        <v>38</v>
      </c>
      <c r="X37" s="631">
        <v>60</v>
      </c>
      <c r="Y37" s="631">
        <v>39</v>
      </c>
      <c r="Z37" s="635">
        <f t="shared" si="1"/>
        <v>492</v>
      </c>
    </row>
    <row r="38" spans="1:26" s="410" customFormat="1" ht="18" customHeight="1">
      <c r="A38" s="15">
        <v>435</v>
      </c>
      <c r="B38" s="19" t="s">
        <v>452</v>
      </c>
      <c r="C38" s="19" t="s">
        <v>102</v>
      </c>
      <c r="D38" s="19" t="s">
        <v>453</v>
      </c>
      <c r="E38" s="20" t="s">
        <v>454</v>
      </c>
      <c r="F38" s="15">
        <v>303427048</v>
      </c>
      <c r="G38" s="15">
        <v>1415</v>
      </c>
      <c r="H38" s="15" t="s">
        <v>2305</v>
      </c>
      <c r="I38" s="15" t="s">
        <v>2059</v>
      </c>
      <c r="J38" s="15">
        <v>57</v>
      </c>
      <c r="K38" s="15">
        <v>55</v>
      </c>
      <c r="L38" s="15">
        <v>54</v>
      </c>
      <c r="M38" s="15">
        <v>45</v>
      </c>
      <c r="N38" s="15">
        <v>45</v>
      </c>
      <c r="O38" s="15">
        <f t="shared" si="2"/>
        <v>256</v>
      </c>
      <c r="P38" s="631">
        <v>51</v>
      </c>
      <c r="Q38" s="631">
        <v>38</v>
      </c>
      <c r="R38" s="631">
        <v>58</v>
      </c>
      <c r="S38" s="631">
        <v>36</v>
      </c>
      <c r="T38" s="631">
        <v>55</v>
      </c>
      <c r="U38" s="631">
        <v>36</v>
      </c>
      <c r="V38" s="631">
        <v>44</v>
      </c>
      <c r="W38" s="631">
        <v>34</v>
      </c>
      <c r="X38" s="631">
        <v>45</v>
      </c>
      <c r="Y38" s="631">
        <v>34</v>
      </c>
      <c r="Z38" s="635">
        <f t="shared" si="1"/>
        <v>431</v>
      </c>
    </row>
    <row r="39" spans="1:26" s="410" customFormat="1" ht="18" customHeight="1">
      <c r="A39" s="15">
        <v>436</v>
      </c>
      <c r="B39" s="19" t="s">
        <v>455</v>
      </c>
      <c r="C39" s="19" t="s">
        <v>937</v>
      </c>
      <c r="D39" s="19" t="s">
        <v>456</v>
      </c>
      <c r="E39" s="20" t="s">
        <v>457</v>
      </c>
      <c r="F39" s="15">
        <v>311526688</v>
      </c>
      <c r="G39" s="15">
        <v>1114</v>
      </c>
      <c r="H39" s="15" t="s">
        <v>2305</v>
      </c>
      <c r="I39" s="15" t="s">
        <v>2059</v>
      </c>
      <c r="J39" s="15">
        <v>50</v>
      </c>
      <c r="K39" s="15">
        <v>58</v>
      </c>
      <c r="L39" s="15">
        <v>57</v>
      </c>
      <c r="M39" s="15">
        <v>51</v>
      </c>
      <c r="N39" s="15">
        <v>50</v>
      </c>
      <c r="O39" s="15">
        <f t="shared" si="2"/>
        <v>266</v>
      </c>
      <c r="P39" s="631">
        <v>55</v>
      </c>
      <c r="Q39" s="631">
        <v>35</v>
      </c>
      <c r="R39" s="631">
        <v>54</v>
      </c>
      <c r="S39" s="631">
        <v>38</v>
      </c>
      <c r="T39" s="631">
        <v>50</v>
      </c>
      <c r="U39" s="631">
        <v>38</v>
      </c>
      <c r="V39" s="631">
        <v>49</v>
      </c>
      <c r="W39" s="631">
        <v>35</v>
      </c>
      <c r="X39" s="631">
        <v>46</v>
      </c>
      <c r="Y39" s="631">
        <v>34</v>
      </c>
      <c r="Z39" s="635">
        <f t="shared" si="1"/>
        <v>434</v>
      </c>
    </row>
    <row r="40" spans="1:26" s="410" customFormat="1" ht="18" customHeight="1">
      <c r="A40" s="15">
        <v>437</v>
      </c>
      <c r="B40" s="407" t="s">
        <v>462</v>
      </c>
      <c r="C40" s="407" t="s">
        <v>463</v>
      </c>
      <c r="D40" s="407" t="s">
        <v>464</v>
      </c>
      <c r="E40" s="381" t="s">
        <v>465</v>
      </c>
      <c r="F40" s="15">
        <v>313563815</v>
      </c>
      <c r="G40" s="15">
        <v>1542</v>
      </c>
      <c r="H40" s="15" t="s">
        <v>2305</v>
      </c>
      <c r="I40" s="407" t="s">
        <v>2059</v>
      </c>
      <c r="J40" s="15">
        <v>48</v>
      </c>
      <c r="K40" s="15">
        <v>53</v>
      </c>
      <c r="L40" s="15">
        <v>54</v>
      </c>
      <c r="M40" s="15">
        <v>58</v>
      </c>
      <c r="N40" s="15">
        <v>54</v>
      </c>
      <c r="O40" s="15">
        <f t="shared" si="2"/>
        <v>267</v>
      </c>
      <c r="P40" s="631">
        <v>43</v>
      </c>
      <c r="Q40" s="631">
        <v>32</v>
      </c>
      <c r="R40" s="631">
        <v>59</v>
      </c>
      <c r="S40" s="631">
        <v>36</v>
      </c>
      <c r="T40" s="631">
        <v>55</v>
      </c>
      <c r="U40" s="631">
        <v>36</v>
      </c>
      <c r="V40" s="631">
        <v>50</v>
      </c>
      <c r="W40" s="631">
        <v>38</v>
      </c>
      <c r="X40" s="631">
        <v>40</v>
      </c>
      <c r="Y40" s="631">
        <v>31</v>
      </c>
      <c r="Z40" s="635">
        <f t="shared" si="1"/>
        <v>420</v>
      </c>
    </row>
    <row r="41" spans="1:26" s="373" customFormat="1" ht="18" customHeight="1">
      <c r="A41" s="15">
        <v>438</v>
      </c>
      <c r="B41" s="19" t="s">
        <v>291</v>
      </c>
      <c r="C41" s="19" t="s">
        <v>292</v>
      </c>
      <c r="D41" s="19" t="s">
        <v>19</v>
      </c>
      <c r="E41" s="20" t="s">
        <v>293</v>
      </c>
      <c r="F41" s="15">
        <v>303304131</v>
      </c>
      <c r="G41" s="15">
        <v>1214</v>
      </c>
      <c r="H41" s="15" t="s">
        <v>2305</v>
      </c>
      <c r="I41" s="407" t="s">
        <v>2059</v>
      </c>
      <c r="J41" s="15">
        <v>48</v>
      </c>
      <c r="K41" s="15">
        <v>49</v>
      </c>
      <c r="L41" s="15">
        <v>48</v>
      </c>
      <c r="M41" s="15">
        <v>48</v>
      </c>
      <c r="N41" s="15">
        <v>48</v>
      </c>
      <c r="O41" s="15">
        <f t="shared" si="2"/>
        <v>241</v>
      </c>
      <c r="P41" s="631">
        <v>52</v>
      </c>
      <c r="Q41" s="631">
        <v>32</v>
      </c>
      <c r="R41" s="631">
        <v>48</v>
      </c>
      <c r="S41" s="631">
        <v>32</v>
      </c>
      <c r="T41" s="631">
        <v>45</v>
      </c>
      <c r="U41" s="631">
        <v>32</v>
      </c>
      <c r="V41" s="631">
        <v>38</v>
      </c>
      <c r="W41" s="631">
        <v>33</v>
      </c>
      <c r="X41" s="631">
        <v>39</v>
      </c>
      <c r="Y41" s="631">
        <v>31</v>
      </c>
      <c r="Z41" s="635">
        <f t="shared" si="1"/>
        <v>382</v>
      </c>
    </row>
    <row r="42" spans="1:26" s="21" customFormat="1" ht="18" customHeight="1">
      <c r="A42" s="15">
        <v>439</v>
      </c>
      <c r="B42" s="19" t="s">
        <v>468</v>
      </c>
      <c r="C42" s="19" t="s">
        <v>590</v>
      </c>
      <c r="D42" s="19" t="s">
        <v>287</v>
      </c>
      <c r="E42" s="20" t="s">
        <v>288</v>
      </c>
      <c r="F42" s="15">
        <v>318746213</v>
      </c>
      <c r="G42" s="15">
        <v>1244</v>
      </c>
      <c r="H42" s="15" t="s">
        <v>2305</v>
      </c>
      <c r="I42" s="407" t="s">
        <v>2059</v>
      </c>
      <c r="J42" s="15">
        <v>50</v>
      </c>
      <c r="K42" s="15">
        <v>49</v>
      </c>
      <c r="L42" s="15">
        <v>59</v>
      </c>
      <c r="M42" s="15">
        <v>48</v>
      </c>
      <c r="N42" s="15">
        <v>49</v>
      </c>
      <c r="O42" s="15">
        <f t="shared" si="2"/>
        <v>255</v>
      </c>
      <c r="P42" s="631">
        <v>46</v>
      </c>
      <c r="Q42" s="631">
        <v>35</v>
      </c>
      <c r="R42" s="631">
        <v>56</v>
      </c>
      <c r="S42" s="631">
        <v>34</v>
      </c>
      <c r="T42" s="631">
        <v>52</v>
      </c>
      <c r="U42" s="631">
        <v>39</v>
      </c>
      <c r="V42" s="631">
        <v>41</v>
      </c>
      <c r="W42" s="631">
        <v>35</v>
      </c>
      <c r="X42" s="631">
        <v>39</v>
      </c>
      <c r="Y42" s="631">
        <v>32</v>
      </c>
      <c r="Z42" s="635">
        <f t="shared" si="1"/>
        <v>409</v>
      </c>
    </row>
    <row r="43" spans="1:26" s="373" customFormat="1" ht="18" customHeight="1">
      <c r="A43" s="15">
        <v>440</v>
      </c>
      <c r="B43" s="9" t="s">
        <v>2306</v>
      </c>
      <c r="C43" s="9" t="s">
        <v>2310</v>
      </c>
      <c r="D43" s="9" t="s">
        <v>2311</v>
      </c>
      <c r="E43" s="408" t="s">
        <v>2312</v>
      </c>
      <c r="F43" s="17">
        <v>303512590</v>
      </c>
      <c r="G43" s="17">
        <v>1686</v>
      </c>
      <c r="H43" s="15" t="s">
        <v>2305</v>
      </c>
      <c r="I43" s="407" t="s">
        <v>2059</v>
      </c>
      <c r="J43" s="17">
        <v>60</v>
      </c>
      <c r="K43" s="15">
        <v>60</v>
      </c>
      <c r="L43" s="15">
        <v>58</v>
      </c>
      <c r="M43" s="15">
        <v>57</v>
      </c>
      <c r="N43" s="15">
        <v>59</v>
      </c>
      <c r="O43" s="15">
        <f t="shared" si="2"/>
        <v>294</v>
      </c>
      <c r="P43" s="631">
        <v>59</v>
      </c>
      <c r="Q43" s="631">
        <v>39</v>
      </c>
      <c r="R43" s="631">
        <v>59</v>
      </c>
      <c r="S43" s="631">
        <v>39</v>
      </c>
      <c r="T43" s="631">
        <v>55</v>
      </c>
      <c r="U43" s="631">
        <v>38</v>
      </c>
      <c r="V43" s="631">
        <v>57</v>
      </c>
      <c r="W43" s="631">
        <v>38</v>
      </c>
      <c r="X43" s="631">
        <v>57</v>
      </c>
      <c r="Y43" s="631">
        <v>37</v>
      </c>
      <c r="Z43" s="635">
        <f t="shared" si="1"/>
        <v>478</v>
      </c>
    </row>
    <row r="44" spans="1:26" s="373" customFormat="1" ht="18" customHeight="1">
      <c r="A44" s="817">
        <v>441</v>
      </c>
      <c r="B44" s="19" t="s">
        <v>277</v>
      </c>
      <c r="C44" s="19" t="s">
        <v>278</v>
      </c>
      <c r="D44" s="19" t="s">
        <v>279</v>
      </c>
      <c r="E44" s="20" t="s">
        <v>280</v>
      </c>
      <c r="F44" s="15">
        <v>300343881</v>
      </c>
      <c r="G44" s="15">
        <v>1622</v>
      </c>
      <c r="H44" s="15" t="s">
        <v>2305</v>
      </c>
      <c r="I44" s="407" t="s">
        <v>2059</v>
      </c>
      <c r="J44" s="15">
        <v>48</v>
      </c>
      <c r="K44" s="15">
        <v>49</v>
      </c>
      <c r="L44" s="15">
        <v>45</v>
      </c>
      <c r="M44" s="15">
        <v>45</v>
      </c>
      <c r="N44" s="15">
        <v>46</v>
      </c>
      <c r="O44" s="15">
        <f t="shared" si="2"/>
        <v>233</v>
      </c>
      <c r="P44" s="631">
        <v>39</v>
      </c>
      <c r="Q44" s="631">
        <v>34</v>
      </c>
      <c r="R44" s="631">
        <v>39</v>
      </c>
      <c r="S44" s="631">
        <v>34</v>
      </c>
      <c r="T44" s="631">
        <v>38</v>
      </c>
      <c r="U44" s="631">
        <v>33</v>
      </c>
      <c r="V44" s="631">
        <v>35</v>
      </c>
      <c r="W44" s="631">
        <v>33</v>
      </c>
      <c r="X44" s="631">
        <v>36</v>
      </c>
      <c r="Y44" s="631">
        <v>31</v>
      </c>
      <c r="Z44" s="635">
        <f t="shared" si="1"/>
        <v>352</v>
      </c>
    </row>
    <row r="45" spans="1:26" s="21" customFormat="1" ht="18" customHeight="1">
      <c r="A45" s="15">
        <v>442</v>
      </c>
      <c r="B45" s="9" t="s">
        <v>2314</v>
      </c>
      <c r="C45" s="9" t="s">
        <v>2313</v>
      </c>
      <c r="D45" s="9" t="s">
        <v>2315</v>
      </c>
      <c r="E45" s="17" t="s">
        <v>1646</v>
      </c>
      <c r="F45" s="17">
        <v>310716847</v>
      </c>
      <c r="G45" s="17">
        <v>1734</v>
      </c>
      <c r="H45" s="15" t="s">
        <v>2305</v>
      </c>
      <c r="I45" s="407" t="s">
        <v>2059</v>
      </c>
      <c r="J45" s="17">
        <v>50</v>
      </c>
      <c r="K45" s="15">
        <v>49</v>
      </c>
      <c r="L45" s="15">
        <v>48</v>
      </c>
      <c r="M45" s="15">
        <v>48</v>
      </c>
      <c r="N45" s="15">
        <v>49</v>
      </c>
      <c r="O45" s="15">
        <f t="shared" si="2"/>
        <v>244</v>
      </c>
      <c r="P45" s="631">
        <v>41</v>
      </c>
      <c r="Q45" s="631">
        <v>35</v>
      </c>
      <c r="R45" s="631">
        <v>56</v>
      </c>
      <c r="S45" s="631">
        <v>34</v>
      </c>
      <c r="T45" s="631">
        <v>45</v>
      </c>
      <c r="U45" s="631">
        <v>34</v>
      </c>
      <c r="V45" s="631">
        <v>36</v>
      </c>
      <c r="W45" s="631">
        <v>34</v>
      </c>
      <c r="X45" s="631">
        <v>35</v>
      </c>
      <c r="Y45" s="631">
        <v>32</v>
      </c>
      <c r="Z45" s="635">
        <f t="shared" si="1"/>
        <v>382</v>
      </c>
    </row>
    <row r="46" spans="1:26" s="235" customFormat="1" ht="18" customHeight="1">
      <c r="A46" s="817">
        <v>443</v>
      </c>
      <c r="B46" s="9" t="s">
        <v>2307</v>
      </c>
      <c r="C46" s="9" t="s">
        <v>2316</v>
      </c>
      <c r="D46" s="9" t="s">
        <v>2317</v>
      </c>
      <c r="E46" s="17" t="s">
        <v>149</v>
      </c>
      <c r="F46" s="17">
        <v>200281601</v>
      </c>
      <c r="G46" s="17">
        <v>1759</v>
      </c>
      <c r="H46" s="15" t="s">
        <v>2305</v>
      </c>
      <c r="I46" s="407" t="s">
        <v>2059</v>
      </c>
      <c r="J46" s="17">
        <v>49</v>
      </c>
      <c r="K46" s="232">
        <v>45</v>
      </c>
      <c r="L46" s="232">
        <v>48</v>
      </c>
      <c r="M46" s="232">
        <v>48</v>
      </c>
      <c r="N46" s="232">
        <v>49</v>
      </c>
      <c r="O46" s="15">
        <f t="shared" si="2"/>
        <v>239</v>
      </c>
      <c r="P46" s="631">
        <v>43</v>
      </c>
      <c r="Q46" s="631">
        <v>34</v>
      </c>
      <c r="R46" s="631">
        <v>39</v>
      </c>
      <c r="S46" s="631">
        <v>33</v>
      </c>
      <c r="T46" s="631">
        <v>42</v>
      </c>
      <c r="U46" s="631">
        <v>34</v>
      </c>
      <c r="V46" s="631">
        <v>33</v>
      </c>
      <c r="W46" s="631">
        <v>34</v>
      </c>
      <c r="X46" s="631">
        <v>34</v>
      </c>
      <c r="Y46" s="631">
        <v>31</v>
      </c>
      <c r="Z46" s="635">
        <f t="shared" si="1"/>
        <v>357</v>
      </c>
    </row>
    <row r="47" spans="1:26" s="21" customFormat="1" ht="18" customHeight="1">
      <c r="A47" s="15">
        <v>444</v>
      </c>
      <c r="B47" s="19" t="s">
        <v>294</v>
      </c>
      <c r="C47" s="19" t="s">
        <v>295</v>
      </c>
      <c r="D47" s="19" t="s">
        <v>296</v>
      </c>
      <c r="E47" s="20" t="s">
        <v>297</v>
      </c>
      <c r="F47" s="15">
        <v>300530558</v>
      </c>
      <c r="G47" s="15">
        <v>1156</v>
      </c>
      <c r="H47" s="15" t="s">
        <v>2305</v>
      </c>
      <c r="I47" s="407" t="s">
        <v>2059</v>
      </c>
      <c r="J47" s="15">
        <v>48</v>
      </c>
      <c r="K47" s="15">
        <v>49</v>
      </c>
      <c r="L47" s="15">
        <v>48</v>
      </c>
      <c r="M47" s="15">
        <v>48</v>
      </c>
      <c r="N47" s="15">
        <v>35</v>
      </c>
      <c r="O47" s="15">
        <f t="shared" si="2"/>
        <v>228</v>
      </c>
      <c r="P47" s="631">
        <v>47</v>
      </c>
      <c r="Q47" s="631">
        <v>34</v>
      </c>
      <c r="R47" s="631">
        <v>48</v>
      </c>
      <c r="S47" s="631">
        <v>34</v>
      </c>
      <c r="T47" s="631">
        <v>49</v>
      </c>
      <c r="U47" s="631">
        <v>34</v>
      </c>
      <c r="V47" s="631">
        <v>44</v>
      </c>
      <c r="W47" s="631">
        <v>34</v>
      </c>
      <c r="X47" s="631">
        <v>39</v>
      </c>
      <c r="Y47" s="631">
        <v>32</v>
      </c>
      <c r="Z47" s="635">
        <f t="shared" si="1"/>
        <v>395</v>
      </c>
    </row>
    <row r="48" spans="1:26" s="21" customFormat="1" ht="18" customHeight="1">
      <c r="A48" s="15">
        <v>445</v>
      </c>
      <c r="B48" s="19" t="s">
        <v>301</v>
      </c>
      <c r="C48" s="19" t="s">
        <v>302</v>
      </c>
      <c r="D48" s="19" t="s">
        <v>615</v>
      </c>
      <c r="E48" s="20" t="s">
        <v>303</v>
      </c>
      <c r="F48" s="15">
        <v>313201992</v>
      </c>
      <c r="G48" s="15">
        <v>1548</v>
      </c>
      <c r="H48" s="15" t="s">
        <v>2305</v>
      </c>
      <c r="I48" s="407" t="s">
        <v>2059</v>
      </c>
      <c r="J48" s="232">
        <v>47</v>
      </c>
      <c r="K48" s="15">
        <v>49</v>
      </c>
      <c r="L48" s="15">
        <v>60</v>
      </c>
      <c r="M48" s="15">
        <v>47</v>
      </c>
      <c r="N48" s="15">
        <v>48</v>
      </c>
      <c r="O48" s="15">
        <f t="shared" si="2"/>
        <v>251</v>
      </c>
      <c r="P48" s="631">
        <v>50</v>
      </c>
      <c r="Q48" s="631">
        <v>34</v>
      </c>
      <c r="R48" s="631">
        <v>52</v>
      </c>
      <c r="S48" s="631">
        <v>34</v>
      </c>
      <c r="T48" s="631">
        <v>57</v>
      </c>
      <c r="U48" s="631">
        <v>35</v>
      </c>
      <c r="V48" s="631">
        <v>49</v>
      </c>
      <c r="W48" s="631">
        <v>34</v>
      </c>
      <c r="X48" s="631">
        <v>38</v>
      </c>
      <c r="Y48" s="631">
        <v>32</v>
      </c>
      <c r="Z48" s="635">
        <f t="shared" si="1"/>
        <v>415</v>
      </c>
    </row>
    <row r="49" spans="1:26" s="21" customFormat="1" ht="18" customHeight="1">
      <c r="A49" s="15">
        <v>446</v>
      </c>
      <c r="B49" s="19" t="s">
        <v>304</v>
      </c>
      <c r="C49" s="19" t="s">
        <v>305</v>
      </c>
      <c r="D49" s="19" t="s">
        <v>306</v>
      </c>
      <c r="E49" s="20" t="s">
        <v>307</v>
      </c>
      <c r="F49" s="15">
        <v>301596417</v>
      </c>
      <c r="G49" s="15">
        <v>1342</v>
      </c>
      <c r="H49" s="15" t="s">
        <v>2305</v>
      </c>
      <c r="I49" s="407" t="s">
        <v>2059</v>
      </c>
      <c r="J49" s="15">
        <v>45</v>
      </c>
      <c r="K49" s="15">
        <v>48</v>
      </c>
      <c r="L49" s="15">
        <v>46</v>
      </c>
      <c r="M49" s="15">
        <v>48</v>
      </c>
      <c r="N49" s="15">
        <v>49</v>
      </c>
      <c r="O49" s="15">
        <f t="shared" si="2"/>
        <v>236</v>
      </c>
      <c r="P49" s="631">
        <v>37</v>
      </c>
      <c r="Q49" s="631">
        <v>33</v>
      </c>
      <c r="R49" s="631">
        <v>35</v>
      </c>
      <c r="S49" s="631">
        <v>35</v>
      </c>
      <c r="T49" s="631">
        <v>38</v>
      </c>
      <c r="U49" s="631">
        <v>34</v>
      </c>
      <c r="V49" s="631">
        <v>31</v>
      </c>
      <c r="W49" s="631">
        <v>35</v>
      </c>
      <c r="X49" s="631">
        <v>33</v>
      </c>
      <c r="Y49" s="631">
        <v>30</v>
      </c>
      <c r="Z49" s="635">
        <f t="shared" si="1"/>
        <v>341</v>
      </c>
    </row>
    <row r="50" spans="1:26" s="21" customFormat="1" ht="18" customHeight="1">
      <c r="A50" s="15">
        <v>447</v>
      </c>
      <c r="B50" s="19" t="s">
        <v>320</v>
      </c>
      <c r="C50" s="19" t="s">
        <v>321</v>
      </c>
      <c r="D50" s="19" t="s">
        <v>595</v>
      </c>
      <c r="E50" s="20" t="s">
        <v>322</v>
      </c>
      <c r="F50" s="15">
        <v>303427000</v>
      </c>
      <c r="G50" s="15">
        <v>1072</v>
      </c>
      <c r="H50" s="15" t="s">
        <v>2305</v>
      </c>
      <c r="I50" s="407" t="s">
        <v>2059</v>
      </c>
      <c r="J50" s="15">
        <v>47</v>
      </c>
      <c r="K50" s="15">
        <v>49</v>
      </c>
      <c r="L50" s="15">
        <v>59</v>
      </c>
      <c r="M50" s="15">
        <v>48</v>
      </c>
      <c r="N50" s="15">
        <v>47</v>
      </c>
      <c r="O50" s="15">
        <f t="shared" si="2"/>
        <v>250</v>
      </c>
      <c r="P50" s="631">
        <v>49</v>
      </c>
      <c r="Q50" s="631">
        <v>35</v>
      </c>
      <c r="R50" s="631">
        <v>53</v>
      </c>
      <c r="S50" s="631">
        <v>34</v>
      </c>
      <c r="T50" s="631">
        <v>52</v>
      </c>
      <c r="U50" s="631">
        <v>35</v>
      </c>
      <c r="V50" s="631">
        <v>40</v>
      </c>
      <c r="W50" s="631">
        <v>34</v>
      </c>
      <c r="X50" s="631">
        <v>37</v>
      </c>
      <c r="Y50" s="631">
        <v>32</v>
      </c>
      <c r="Z50" s="635">
        <f t="shared" si="1"/>
        <v>401</v>
      </c>
    </row>
    <row r="51" spans="1:26" s="21" customFormat="1" ht="18" customHeight="1">
      <c r="A51" s="15">
        <v>448</v>
      </c>
      <c r="B51" s="19" t="s">
        <v>325</v>
      </c>
      <c r="C51" s="19" t="s">
        <v>326</v>
      </c>
      <c r="D51" s="19" t="s">
        <v>327</v>
      </c>
      <c r="E51" s="20" t="s">
        <v>328</v>
      </c>
      <c r="F51" s="15">
        <v>307807745</v>
      </c>
      <c r="G51" s="15">
        <v>1135</v>
      </c>
      <c r="H51" s="15" t="s">
        <v>2305</v>
      </c>
      <c r="I51" s="407" t="s">
        <v>2059</v>
      </c>
      <c r="J51" s="15">
        <v>48</v>
      </c>
      <c r="K51" s="15">
        <v>49</v>
      </c>
      <c r="L51" s="15">
        <v>49</v>
      </c>
      <c r="M51" s="15">
        <v>48</v>
      </c>
      <c r="N51" s="15">
        <v>45</v>
      </c>
      <c r="O51" s="15">
        <f t="shared" si="2"/>
        <v>239</v>
      </c>
      <c r="P51" s="631">
        <v>39</v>
      </c>
      <c r="Q51" s="631">
        <v>35</v>
      </c>
      <c r="R51" s="631">
        <v>39</v>
      </c>
      <c r="S51" s="631">
        <v>35</v>
      </c>
      <c r="T51" s="631">
        <v>40</v>
      </c>
      <c r="U51" s="631">
        <v>34</v>
      </c>
      <c r="V51" s="631">
        <v>35</v>
      </c>
      <c r="W51" s="631">
        <v>34</v>
      </c>
      <c r="X51" s="631">
        <v>35</v>
      </c>
      <c r="Y51" s="631">
        <v>31</v>
      </c>
      <c r="Z51" s="635">
        <f t="shared" si="1"/>
        <v>357</v>
      </c>
    </row>
    <row r="52" spans="1:26" s="21" customFormat="1" ht="18" customHeight="1">
      <c r="A52" s="15">
        <v>449</v>
      </c>
      <c r="B52" s="19" t="s">
        <v>335</v>
      </c>
      <c r="C52" s="19" t="s">
        <v>598</v>
      </c>
      <c r="D52" s="19" t="s">
        <v>336</v>
      </c>
      <c r="E52" s="20" t="s">
        <v>337</v>
      </c>
      <c r="F52" s="15">
        <v>307985465</v>
      </c>
      <c r="G52" s="15">
        <v>1188</v>
      </c>
      <c r="H52" s="15" t="s">
        <v>2305</v>
      </c>
      <c r="I52" s="407" t="s">
        <v>2059</v>
      </c>
      <c r="J52" s="15">
        <v>49</v>
      </c>
      <c r="K52" s="15">
        <v>45</v>
      </c>
      <c r="L52" s="15">
        <v>48</v>
      </c>
      <c r="M52" s="15">
        <v>49</v>
      </c>
      <c r="N52" s="15">
        <v>49</v>
      </c>
      <c r="O52" s="15">
        <f t="shared" si="2"/>
        <v>240</v>
      </c>
      <c r="P52" s="631">
        <v>41</v>
      </c>
      <c r="Q52" s="631">
        <v>34</v>
      </c>
      <c r="R52" s="631">
        <v>52</v>
      </c>
      <c r="S52" s="631">
        <v>33</v>
      </c>
      <c r="T52" s="631">
        <v>43</v>
      </c>
      <c r="U52" s="631">
        <v>35</v>
      </c>
      <c r="V52" s="631">
        <v>35</v>
      </c>
      <c r="W52" s="631">
        <v>34</v>
      </c>
      <c r="X52" s="631">
        <v>39</v>
      </c>
      <c r="Y52" s="631">
        <v>32</v>
      </c>
      <c r="Z52" s="635">
        <f t="shared" si="1"/>
        <v>378</v>
      </c>
    </row>
    <row r="53" spans="1:26" s="21" customFormat="1" ht="18" customHeight="1">
      <c r="A53" s="15">
        <v>450</v>
      </c>
      <c r="B53" s="19" t="s">
        <v>338</v>
      </c>
      <c r="C53" s="19" t="s">
        <v>339</v>
      </c>
      <c r="D53" s="406" t="s">
        <v>340</v>
      </c>
      <c r="E53" s="20" t="s">
        <v>341</v>
      </c>
      <c r="F53" s="15">
        <v>312682513</v>
      </c>
      <c r="G53" s="15">
        <v>1374</v>
      </c>
      <c r="H53" s="15" t="s">
        <v>2305</v>
      </c>
      <c r="I53" s="407" t="s">
        <v>2059</v>
      </c>
      <c r="J53" s="15">
        <v>41</v>
      </c>
      <c r="K53" s="15">
        <v>49</v>
      </c>
      <c r="L53" s="15">
        <v>48</v>
      </c>
      <c r="M53" s="15">
        <v>26</v>
      </c>
      <c r="N53" s="15">
        <v>33</v>
      </c>
      <c r="O53" s="15">
        <f t="shared" si="2"/>
        <v>197</v>
      </c>
      <c r="P53" s="631">
        <v>50</v>
      </c>
      <c r="Q53" s="631">
        <v>33</v>
      </c>
      <c r="R53" s="631">
        <v>50</v>
      </c>
      <c r="S53" s="631">
        <v>35</v>
      </c>
      <c r="T53" s="631">
        <v>55</v>
      </c>
      <c r="U53" s="631">
        <v>35</v>
      </c>
      <c r="V53" s="631">
        <v>40</v>
      </c>
      <c r="W53" s="631">
        <v>30</v>
      </c>
      <c r="X53" s="631">
        <v>43</v>
      </c>
      <c r="Y53" s="631">
        <v>33</v>
      </c>
      <c r="Z53" s="635">
        <f t="shared" si="1"/>
        <v>404</v>
      </c>
    </row>
    <row r="54" spans="1:26" s="21" customFormat="1" ht="18" customHeight="1">
      <c r="A54" s="15">
        <v>451</v>
      </c>
      <c r="B54" s="19" t="s">
        <v>342</v>
      </c>
      <c r="C54" s="19" t="s">
        <v>343</v>
      </c>
      <c r="D54" s="19" t="s">
        <v>344</v>
      </c>
      <c r="E54" s="20" t="s">
        <v>345</v>
      </c>
      <c r="F54" s="15">
        <v>311014047</v>
      </c>
      <c r="G54" s="15">
        <v>1394</v>
      </c>
      <c r="H54" s="15" t="s">
        <v>2305</v>
      </c>
      <c r="I54" s="407" t="s">
        <v>2059</v>
      </c>
      <c r="J54" s="15">
        <v>52</v>
      </c>
      <c r="K54" s="15">
        <v>50</v>
      </c>
      <c r="L54" s="15">
        <v>45</v>
      </c>
      <c r="M54" s="15">
        <v>46</v>
      </c>
      <c r="N54" s="15">
        <v>48</v>
      </c>
      <c r="O54" s="15">
        <f t="shared" si="2"/>
        <v>241</v>
      </c>
      <c r="P54" s="631">
        <v>42</v>
      </c>
      <c r="Q54" s="631">
        <v>35</v>
      </c>
      <c r="R54" s="631">
        <v>46</v>
      </c>
      <c r="S54" s="631">
        <v>30</v>
      </c>
      <c r="T54" s="631">
        <v>40</v>
      </c>
      <c r="U54" s="631">
        <v>34</v>
      </c>
      <c r="V54" s="631">
        <v>39</v>
      </c>
      <c r="W54" s="631">
        <v>34</v>
      </c>
      <c r="X54" s="631">
        <v>40</v>
      </c>
      <c r="Y54" s="631">
        <v>32</v>
      </c>
      <c r="Z54" s="635">
        <f t="shared" si="1"/>
        <v>372</v>
      </c>
    </row>
    <row r="55" spans="1:26" s="21" customFormat="1" ht="18" customHeight="1">
      <c r="A55" s="15">
        <v>452</v>
      </c>
      <c r="B55" s="19" t="s">
        <v>356</v>
      </c>
      <c r="C55" s="19" t="s">
        <v>108</v>
      </c>
      <c r="D55" s="19" t="s">
        <v>131</v>
      </c>
      <c r="E55" s="20" t="s">
        <v>357</v>
      </c>
      <c r="F55" s="15">
        <v>312195701</v>
      </c>
      <c r="G55" s="15">
        <v>1086</v>
      </c>
      <c r="H55" s="15" t="s">
        <v>2305</v>
      </c>
      <c r="I55" s="407" t="s">
        <v>2059</v>
      </c>
      <c r="J55" s="15">
        <v>55</v>
      </c>
      <c r="K55" s="15">
        <v>54</v>
      </c>
      <c r="L55" s="15">
        <v>52</v>
      </c>
      <c r="M55" s="15">
        <v>42</v>
      </c>
      <c r="N55" s="15">
        <v>48</v>
      </c>
      <c r="O55" s="15">
        <f t="shared" si="2"/>
        <v>251</v>
      </c>
      <c r="P55" s="631">
        <v>45</v>
      </c>
      <c r="Q55" s="631">
        <v>36</v>
      </c>
      <c r="R55" s="631">
        <v>53</v>
      </c>
      <c r="S55" s="631">
        <v>36</v>
      </c>
      <c r="T55" s="631">
        <v>54</v>
      </c>
      <c r="U55" s="631">
        <v>35</v>
      </c>
      <c r="V55" s="631">
        <v>50</v>
      </c>
      <c r="W55" s="631">
        <v>34</v>
      </c>
      <c r="X55" s="631">
        <v>45</v>
      </c>
      <c r="Y55" s="631">
        <v>34</v>
      </c>
      <c r="Z55" s="635">
        <f t="shared" si="1"/>
        <v>422</v>
      </c>
    </row>
    <row r="56" spans="1:26" s="21" customFormat="1" ht="18" customHeight="1">
      <c r="A56" s="15">
        <v>453</v>
      </c>
      <c r="B56" s="19" t="s">
        <v>474</v>
      </c>
      <c r="C56" s="19" t="s">
        <v>599</v>
      </c>
      <c r="D56" s="19" t="s">
        <v>367</v>
      </c>
      <c r="E56" s="20" t="s">
        <v>368</v>
      </c>
      <c r="F56" s="15">
        <v>309775969</v>
      </c>
      <c r="G56" s="15">
        <v>1253</v>
      </c>
      <c r="H56" s="15" t="s">
        <v>2305</v>
      </c>
      <c r="I56" s="407" t="s">
        <v>2059</v>
      </c>
      <c r="J56" s="15">
        <v>53</v>
      </c>
      <c r="K56" s="15">
        <v>55</v>
      </c>
      <c r="L56" s="15">
        <v>57</v>
      </c>
      <c r="M56" s="15">
        <v>48</v>
      </c>
      <c r="N56" s="15">
        <v>49</v>
      </c>
      <c r="O56" s="15">
        <f t="shared" si="2"/>
        <v>262</v>
      </c>
      <c r="P56" s="631">
        <v>59</v>
      </c>
      <c r="Q56" s="631">
        <v>36</v>
      </c>
      <c r="R56" s="631">
        <v>59</v>
      </c>
      <c r="S56" s="631">
        <v>36</v>
      </c>
      <c r="T56" s="631">
        <v>52</v>
      </c>
      <c r="U56" s="631">
        <v>38</v>
      </c>
      <c r="V56" s="631">
        <v>40</v>
      </c>
      <c r="W56" s="631">
        <v>35</v>
      </c>
      <c r="X56" s="631">
        <v>40</v>
      </c>
      <c r="Y56" s="631">
        <v>33</v>
      </c>
      <c r="Z56" s="635">
        <f t="shared" si="1"/>
        <v>428</v>
      </c>
    </row>
    <row r="57" spans="1:26" s="21" customFormat="1" ht="18" customHeight="1">
      <c r="A57" s="15">
        <v>454</v>
      </c>
      <c r="B57" s="19" t="s">
        <v>352</v>
      </c>
      <c r="C57" s="19" t="s">
        <v>353</v>
      </c>
      <c r="D57" s="19" t="s">
        <v>354</v>
      </c>
      <c r="E57" s="20" t="s">
        <v>355</v>
      </c>
      <c r="F57" s="15">
        <v>311026877</v>
      </c>
      <c r="G57" s="15">
        <v>1654</v>
      </c>
      <c r="H57" s="15" t="s">
        <v>2305</v>
      </c>
      <c r="I57" s="407" t="s">
        <v>2059</v>
      </c>
      <c r="J57" s="15">
        <v>48</v>
      </c>
      <c r="K57" s="15">
        <v>52</v>
      </c>
      <c r="L57" s="15">
        <v>48</v>
      </c>
      <c r="M57" s="15">
        <v>48</v>
      </c>
      <c r="N57" s="15">
        <v>38</v>
      </c>
      <c r="O57" s="15">
        <f t="shared" si="2"/>
        <v>234</v>
      </c>
      <c r="P57" s="631">
        <v>45</v>
      </c>
      <c r="Q57" s="631">
        <v>34</v>
      </c>
      <c r="R57" s="631">
        <v>53</v>
      </c>
      <c r="S57" s="631">
        <v>35</v>
      </c>
      <c r="T57" s="631">
        <v>42</v>
      </c>
      <c r="U57" s="631">
        <v>34</v>
      </c>
      <c r="V57" s="631">
        <v>40</v>
      </c>
      <c r="W57" s="631">
        <v>35</v>
      </c>
      <c r="X57" s="631">
        <v>39</v>
      </c>
      <c r="Y57" s="631">
        <v>32</v>
      </c>
      <c r="Z57" s="635">
        <f t="shared" si="1"/>
        <v>389</v>
      </c>
    </row>
    <row r="58" spans="1:26" s="21" customFormat="1" ht="18" customHeight="1">
      <c r="A58" s="15">
        <v>455</v>
      </c>
      <c r="B58" s="19" t="s">
        <v>619</v>
      </c>
      <c r="C58" s="19" t="s">
        <v>364</v>
      </c>
      <c r="D58" s="19" t="s">
        <v>365</v>
      </c>
      <c r="E58" s="20" t="s">
        <v>366</v>
      </c>
      <c r="F58" s="15">
        <v>301812112</v>
      </c>
      <c r="G58" s="15">
        <v>1564</v>
      </c>
      <c r="H58" s="15" t="s">
        <v>2305</v>
      </c>
      <c r="I58" s="407" t="s">
        <v>2059</v>
      </c>
      <c r="J58" s="15">
        <v>39</v>
      </c>
      <c r="K58" s="15">
        <v>35</v>
      </c>
      <c r="L58" s="15">
        <v>38</v>
      </c>
      <c r="M58" s="15">
        <v>38</v>
      </c>
      <c r="N58" s="15">
        <v>49</v>
      </c>
      <c r="O58" s="15">
        <f t="shared" si="2"/>
        <v>199</v>
      </c>
      <c r="P58" s="631"/>
      <c r="Q58" s="631"/>
      <c r="R58" s="631"/>
      <c r="S58" s="631"/>
      <c r="T58" s="631"/>
      <c r="U58" s="631"/>
      <c r="V58" s="631"/>
      <c r="W58" s="631" t="s">
        <v>1676</v>
      </c>
      <c r="X58" s="631"/>
      <c r="Y58" s="631"/>
      <c r="Z58" s="635">
        <f t="shared" si="1"/>
        <v>0</v>
      </c>
    </row>
    <row r="59" spans="1:26" s="21" customFormat="1" ht="18" customHeight="1">
      <c r="A59" s="15">
        <v>456</v>
      </c>
      <c r="B59" s="19" t="s">
        <v>373</v>
      </c>
      <c r="C59" s="19" t="s">
        <v>212</v>
      </c>
      <c r="D59" s="19" t="s">
        <v>213</v>
      </c>
      <c r="E59" s="20" t="s">
        <v>618</v>
      </c>
      <c r="F59" s="15">
        <v>313293563</v>
      </c>
      <c r="G59" s="15">
        <v>1619</v>
      </c>
      <c r="H59" s="15" t="s">
        <v>2305</v>
      </c>
      <c r="I59" s="407" t="s">
        <v>2059</v>
      </c>
      <c r="J59" s="15">
        <v>50</v>
      </c>
      <c r="K59" s="15">
        <v>52</v>
      </c>
      <c r="L59" s="15">
        <v>45</v>
      </c>
      <c r="M59" s="15">
        <v>45</v>
      </c>
      <c r="N59" s="15">
        <v>48</v>
      </c>
      <c r="O59" s="15">
        <f t="shared" si="2"/>
        <v>240</v>
      </c>
      <c r="P59" s="631">
        <v>56</v>
      </c>
      <c r="Q59" s="631">
        <v>35</v>
      </c>
      <c r="R59" s="631">
        <v>54</v>
      </c>
      <c r="S59" s="631">
        <v>34</v>
      </c>
      <c r="T59" s="631">
        <v>45</v>
      </c>
      <c r="U59" s="631">
        <v>33</v>
      </c>
      <c r="V59" s="631">
        <v>40</v>
      </c>
      <c r="W59" s="631">
        <v>33</v>
      </c>
      <c r="X59" s="631">
        <v>39</v>
      </c>
      <c r="Y59" s="631">
        <v>32</v>
      </c>
      <c r="Z59" s="635">
        <f t="shared" si="1"/>
        <v>401</v>
      </c>
    </row>
    <row r="60" spans="1:26" s="21" customFormat="1" ht="18" customHeight="1">
      <c r="A60" s="15">
        <v>457</v>
      </c>
      <c r="B60" s="19" t="s">
        <v>387</v>
      </c>
      <c r="C60" s="19" t="s">
        <v>388</v>
      </c>
      <c r="D60" s="19" t="s">
        <v>389</v>
      </c>
      <c r="E60" s="20" t="s">
        <v>390</v>
      </c>
      <c r="F60" s="15">
        <v>315822194</v>
      </c>
      <c r="G60" s="15">
        <v>1088</v>
      </c>
      <c r="H60" s="15" t="s">
        <v>2305</v>
      </c>
      <c r="I60" s="407" t="s">
        <v>2059</v>
      </c>
      <c r="J60" s="15">
        <v>38</v>
      </c>
      <c r="K60" s="15">
        <v>49</v>
      </c>
      <c r="L60" s="15">
        <v>44</v>
      </c>
      <c r="M60" s="15">
        <v>45</v>
      </c>
      <c r="N60" s="15">
        <v>47</v>
      </c>
      <c r="O60" s="15">
        <f t="shared" si="2"/>
        <v>223</v>
      </c>
      <c r="P60" s="631">
        <v>39</v>
      </c>
      <c r="Q60" s="631">
        <v>31</v>
      </c>
      <c r="R60" s="631">
        <v>39</v>
      </c>
      <c r="S60" s="631">
        <v>34</v>
      </c>
      <c r="T60" s="631">
        <v>38</v>
      </c>
      <c r="U60" s="631">
        <v>32</v>
      </c>
      <c r="V60" s="631">
        <v>33</v>
      </c>
      <c r="W60" s="631">
        <v>33</v>
      </c>
      <c r="X60" s="631">
        <v>35</v>
      </c>
      <c r="Y60" s="631">
        <v>31</v>
      </c>
      <c r="Z60" s="635">
        <f t="shared" si="1"/>
        <v>345</v>
      </c>
    </row>
    <row r="61" spans="1:26" s="21" customFormat="1" ht="18" customHeight="1">
      <c r="A61" s="15">
        <v>458</v>
      </c>
      <c r="B61" s="19" t="s">
        <v>393</v>
      </c>
      <c r="C61" s="19" t="s">
        <v>478</v>
      </c>
      <c r="D61" s="19" t="s">
        <v>394</v>
      </c>
      <c r="E61" s="20" t="s">
        <v>395</v>
      </c>
      <c r="F61" s="15">
        <v>305150119</v>
      </c>
      <c r="G61" s="15">
        <v>1078</v>
      </c>
      <c r="H61" s="15" t="s">
        <v>2305</v>
      </c>
      <c r="I61" s="407" t="s">
        <v>2059</v>
      </c>
      <c r="J61" s="15">
        <v>47</v>
      </c>
      <c r="K61" s="15">
        <v>50</v>
      </c>
      <c r="L61" s="15">
        <v>54</v>
      </c>
      <c r="M61" s="15">
        <v>42</v>
      </c>
      <c r="N61" s="15">
        <v>40</v>
      </c>
      <c r="O61" s="15">
        <f t="shared" si="2"/>
        <v>233</v>
      </c>
      <c r="P61" s="631">
        <v>47</v>
      </c>
      <c r="Q61" s="631">
        <v>35</v>
      </c>
      <c r="R61" s="631">
        <v>54</v>
      </c>
      <c r="S61" s="631">
        <v>35</v>
      </c>
      <c r="T61" s="631">
        <v>52</v>
      </c>
      <c r="U61" s="631">
        <v>36</v>
      </c>
      <c r="V61" s="631">
        <v>40</v>
      </c>
      <c r="W61" s="631">
        <v>32</v>
      </c>
      <c r="X61" s="631">
        <v>37</v>
      </c>
      <c r="Y61" s="631">
        <v>33</v>
      </c>
      <c r="Z61" s="635">
        <f t="shared" si="1"/>
        <v>401</v>
      </c>
    </row>
    <row r="62" spans="1:26" s="21" customFormat="1" ht="18" customHeight="1">
      <c r="A62" s="817">
        <v>459</v>
      </c>
      <c r="B62" s="19" t="s">
        <v>603</v>
      </c>
      <c r="C62" s="19" t="s">
        <v>604</v>
      </c>
      <c r="D62" s="19" t="s">
        <v>136</v>
      </c>
      <c r="E62" s="20" t="s">
        <v>459</v>
      </c>
      <c r="F62" s="15">
        <v>312835832</v>
      </c>
      <c r="G62" s="15">
        <v>1070</v>
      </c>
      <c r="H62" s="15" t="s">
        <v>2305</v>
      </c>
      <c r="I62" s="407" t="s">
        <v>2059</v>
      </c>
      <c r="J62" s="15">
        <v>54</v>
      </c>
      <c r="K62" s="15">
        <v>55</v>
      </c>
      <c r="L62" s="15">
        <v>53</v>
      </c>
      <c r="M62" s="15">
        <v>47</v>
      </c>
      <c r="N62" s="15">
        <v>48</v>
      </c>
      <c r="O62" s="15">
        <f t="shared" si="2"/>
        <v>257</v>
      </c>
      <c r="P62" s="631">
        <v>51</v>
      </c>
      <c r="Q62" s="631">
        <v>36</v>
      </c>
      <c r="R62" s="631">
        <v>56</v>
      </c>
      <c r="S62" s="631">
        <v>36</v>
      </c>
      <c r="T62" s="631">
        <v>51</v>
      </c>
      <c r="U62" s="631">
        <v>36</v>
      </c>
      <c r="V62" s="631">
        <v>49</v>
      </c>
      <c r="W62" s="631">
        <v>35</v>
      </c>
      <c r="X62" s="631">
        <v>42</v>
      </c>
      <c r="Y62" s="631">
        <v>33</v>
      </c>
      <c r="Z62" s="635">
        <f t="shared" si="1"/>
        <v>425</v>
      </c>
    </row>
    <row r="63" spans="1:26" s="21" customFormat="1" ht="18" customHeight="1">
      <c r="A63" s="15">
        <v>460</v>
      </c>
      <c r="B63" s="19" t="s">
        <v>616</v>
      </c>
      <c r="C63" s="19" t="s">
        <v>480</v>
      </c>
      <c r="D63" s="19" t="s">
        <v>617</v>
      </c>
      <c r="E63" s="20" t="s">
        <v>402</v>
      </c>
      <c r="F63" s="15">
        <v>306308478</v>
      </c>
      <c r="G63" s="15">
        <v>1552</v>
      </c>
      <c r="H63" s="15" t="s">
        <v>2305</v>
      </c>
      <c r="I63" s="407" t="s">
        <v>2059</v>
      </c>
      <c r="J63" s="15">
        <v>45</v>
      </c>
      <c r="K63" s="15">
        <v>50</v>
      </c>
      <c r="L63" s="15">
        <v>52</v>
      </c>
      <c r="M63" s="15">
        <v>45</v>
      </c>
      <c r="N63" s="15">
        <v>40</v>
      </c>
      <c r="O63" s="15">
        <f t="shared" si="2"/>
        <v>232</v>
      </c>
      <c r="P63" s="631">
        <v>39</v>
      </c>
      <c r="Q63" s="631">
        <v>34</v>
      </c>
      <c r="R63" s="631">
        <v>45</v>
      </c>
      <c r="S63" s="631">
        <v>35</v>
      </c>
      <c r="T63" s="631">
        <v>43</v>
      </c>
      <c r="U63" s="631">
        <v>35</v>
      </c>
      <c r="V63" s="631">
        <v>39</v>
      </c>
      <c r="W63" s="631">
        <v>34</v>
      </c>
      <c r="X63" s="631">
        <v>40</v>
      </c>
      <c r="Y63" s="631">
        <v>33</v>
      </c>
      <c r="Z63" s="635">
        <f t="shared" si="1"/>
        <v>377</v>
      </c>
    </row>
    <row r="64" spans="1:26" s="373" customFormat="1" ht="18" customHeight="1">
      <c r="A64" s="15">
        <v>461</v>
      </c>
      <c r="B64" s="19" t="s">
        <v>403</v>
      </c>
      <c r="C64" s="19" t="s">
        <v>482</v>
      </c>
      <c r="D64" s="19" t="s">
        <v>481</v>
      </c>
      <c r="E64" s="20" t="s">
        <v>404</v>
      </c>
      <c r="F64" s="15">
        <v>314494361</v>
      </c>
      <c r="G64" s="15">
        <v>1617</v>
      </c>
      <c r="H64" s="15" t="s">
        <v>2305</v>
      </c>
      <c r="I64" s="407" t="s">
        <v>2059</v>
      </c>
      <c r="J64" s="15">
        <v>39</v>
      </c>
      <c r="K64" s="15">
        <v>39</v>
      </c>
      <c r="L64" s="15">
        <v>32</v>
      </c>
      <c r="M64" s="15">
        <v>38</v>
      </c>
      <c r="N64" s="15">
        <v>35</v>
      </c>
      <c r="O64" s="15">
        <f t="shared" si="2"/>
        <v>183</v>
      </c>
      <c r="P64" s="631">
        <v>37</v>
      </c>
      <c r="Q64" s="631">
        <v>31</v>
      </c>
      <c r="R64" s="631">
        <v>39</v>
      </c>
      <c r="S64" s="631">
        <v>32</v>
      </c>
      <c r="T64" s="631">
        <v>36</v>
      </c>
      <c r="U64" s="631">
        <v>30</v>
      </c>
      <c r="V64" s="631">
        <v>35</v>
      </c>
      <c r="W64" s="631">
        <v>30</v>
      </c>
      <c r="X64" s="631">
        <v>37</v>
      </c>
      <c r="Y64" s="631">
        <v>31</v>
      </c>
      <c r="Z64" s="635">
        <f t="shared" si="1"/>
        <v>338</v>
      </c>
    </row>
    <row r="65" spans="1:26" s="21" customFormat="1" ht="18" customHeight="1">
      <c r="A65" s="15">
        <v>462</v>
      </c>
      <c r="B65" s="19" t="s">
        <v>405</v>
      </c>
      <c r="C65" s="19" t="s">
        <v>406</v>
      </c>
      <c r="D65" s="19" t="s">
        <v>621</v>
      </c>
      <c r="E65" s="20" t="s">
        <v>407</v>
      </c>
      <c r="F65" s="15">
        <v>311386162</v>
      </c>
      <c r="G65" s="15">
        <v>1661</v>
      </c>
      <c r="H65" s="15" t="s">
        <v>2305</v>
      </c>
      <c r="I65" s="407" t="s">
        <v>2059</v>
      </c>
      <c r="J65" s="15">
        <v>30</v>
      </c>
      <c r="K65" s="15">
        <v>39</v>
      </c>
      <c r="L65" s="15">
        <v>28</v>
      </c>
      <c r="M65" s="15">
        <v>28</v>
      </c>
      <c r="N65" s="15">
        <v>27</v>
      </c>
      <c r="O65" s="15">
        <f t="shared" si="2"/>
        <v>152</v>
      </c>
      <c r="P65" s="631">
        <v>35</v>
      </c>
      <c r="Q65" s="631">
        <v>30</v>
      </c>
      <c r="R65" s="631">
        <v>35</v>
      </c>
      <c r="S65" s="631">
        <v>32</v>
      </c>
      <c r="T65" s="631">
        <v>33</v>
      </c>
      <c r="U65" s="631">
        <v>29</v>
      </c>
      <c r="V65" s="631">
        <v>31</v>
      </c>
      <c r="W65" s="631">
        <v>29</v>
      </c>
      <c r="X65" s="631">
        <v>33</v>
      </c>
      <c r="Y65" s="631">
        <v>31</v>
      </c>
      <c r="Z65" s="635">
        <f t="shared" si="1"/>
        <v>318</v>
      </c>
    </row>
    <row r="66" spans="1:26" s="21" customFormat="1" ht="18" customHeight="1">
      <c r="A66" s="15">
        <v>463</v>
      </c>
      <c r="B66" s="19" t="s">
        <v>2308</v>
      </c>
      <c r="C66" s="9" t="s">
        <v>2318</v>
      </c>
      <c r="D66" s="9" t="s">
        <v>2291</v>
      </c>
      <c r="E66" s="17" t="s">
        <v>2319</v>
      </c>
      <c r="F66" s="17">
        <v>306815226</v>
      </c>
      <c r="G66" s="17">
        <v>1725</v>
      </c>
      <c r="H66" s="15" t="s">
        <v>2305</v>
      </c>
      <c r="I66" s="407" t="s">
        <v>2059</v>
      </c>
      <c r="J66" s="17">
        <v>49</v>
      </c>
      <c r="K66" s="15">
        <v>45</v>
      </c>
      <c r="L66" s="15">
        <v>48</v>
      </c>
      <c r="M66" s="15">
        <v>35</v>
      </c>
      <c r="N66" s="15">
        <v>39</v>
      </c>
      <c r="O66" s="15">
        <f t="shared" si="2"/>
        <v>216</v>
      </c>
      <c r="P66" s="631">
        <v>45</v>
      </c>
      <c r="Q66" s="631">
        <v>34</v>
      </c>
      <c r="R66" s="631">
        <v>49</v>
      </c>
      <c r="S66" s="631">
        <v>33</v>
      </c>
      <c r="T66" s="631">
        <v>43</v>
      </c>
      <c r="U66" s="631">
        <v>34</v>
      </c>
      <c r="V66" s="631">
        <v>35</v>
      </c>
      <c r="W66" s="631">
        <v>30</v>
      </c>
      <c r="X66" s="631">
        <v>38</v>
      </c>
      <c r="Y66" s="631">
        <v>32</v>
      </c>
      <c r="Z66" s="635">
        <f t="shared" si="1"/>
        <v>373</v>
      </c>
    </row>
    <row r="67" spans="1:26" s="373" customFormat="1" ht="18" customHeight="1">
      <c r="A67" s="15">
        <v>464</v>
      </c>
      <c r="B67" s="19" t="s">
        <v>409</v>
      </c>
      <c r="C67" s="19" t="s">
        <v>605</v>
      </c>
      <c r="D67" s="19" t="s">
        <v>606</v>
      </c>
      <c r="E67" s="20" t="s">
        <v>410</v>
      </c>
      <c r="F67" s="15">
        <v>307907979</v>
      </c>
      <c r="G67" s="15">
        <v>1081</v>
      </c>
      <c r="H67" s="15" t="s">
        <v>2305</v>
      </c>
      <c r="I67" s="407" t="s">
        <v>2059</v>
      </c>
      <c r="J67" s="15">
        <v>40</v>
      </c>
      <c r="K67" s="15">
        <v>49</v>
      </c>
      <c r="L67" s="15">
        <v>53</v>
      </c>
      <c r="M67" s="15">
        <v>25</v>
      </c>
      <c r="N67" s="15">
        <v>49</v>
      </c>
      <c r="O67" s="15">
        <f t="shared" si="2"/>
        <v>216</v>
      </c>
      <c r="P67" s="631">
        <v>47</v>
      </c>
      <c r="Q67" s="631">
        <v>31</v>
      </c>
      <c r="R67" s="631">
        <v>49</v>
      </c>
      <c r="S67" s="631">
        <v>34</v>
      </c>
      <c r="T67" s="631">
        <v>50</v>
      </c>
      <c r="U67" s="631">
        <v>36</v>
      </c>
      <c r="V67" s="631">
        <v>39</v>
      </c>
      <c r="W67" s="631">
        <v>28</v>
      </c>
      <c r="X67" s="631">
        <v>34</v>
      </c>
      <c r="Y67" s="631">
        <v>31</v>
      </c>
      <c r="Z67" s="635">
        <f t="shared" si="1"/>
        <v>379</v>
      </c>
    </row>
    <row r="68" spans="1:26" s="21" customFormat="1" ht="18" customHeight="1">
      <c r="A68" s="15">
        <v>465</v>
      </c>
      <c r="B68" s="19" t="s">
        <v>411</v>
      </c>
      <c r="C68" s="19" t="s">
        <v>412</v>
      </c>
      <c r="D68" s="19" t="s">
        <v>607</v>
      </c>
      <c r="E68" s="20" t="s">
        <v>413</v>
      </c>
      <c r="F68" s="15">
        <v>309364139</v>
      </c>
      <c r="G68" s="15">
        <v>1105</v>
      </c>
      <c r="H68" s="15" t="s">
        <v>2305</v>
      </c>
      <c r="I68" s="407" t="s">
        <v>2059</v>
      </c>
      <c r="J68" s="15">
        <v>50</v>
      </c>
      <c r="K68" s="15">
        <v>52</v>
      </c>
      <c r="L68" s="15">
        <v>49</v>
      </c>
      <c r="M68" s="15">
        <v>46</v>
      </c>
      <c r="N68" s="15">
        <v>47</v>
      </c>
      <c r="O68" s="15">
        <f t="shared" si="2"/>
        <v>244</v>
      </c>
      <c r="P68" s="631">
        <v>43</v>
      </c>
      <c r="Q68" s="631">
        <v>35</v>
      </c>
      <c r="R68" s="631">
        <v>50</v>
      </c>
      <c r="S68" s="631">
        <v>35</v>
      </c>
      <c r="T68" s="631">
        <v>50</v>
      </c>
      <c r="U68" s="631">
        <v>34</v>
      </c>
      <c r="V68" s="631">
        <v>41</v>
      </c>
      <c r="W68" s="631">
        <v>34</v>
      </c>
      <c r="X68" s="631">
        <v>40</v>
      </c>
      <c r="Y68" s="631">
        <v>32</v>
      </c>
      <c r="Z68" s="635">
        <f t="shared" si="1"/>
        <v>394</v>
      </c>
    </row>
    <row r="69" spans="1:26" s="21" customFormat="1" ht="18" customHeight="1">
      <c r="A69" s="15">
        <v>466</v>
      </c>
      <c r="B69" s="19" t="s">
        <v>2309</v>
      </c>
      <c r="C69" s="9" t="s">
        <v>2320</v>
      </c>
      <c r="D69" s="9" t="s">
        <v>2321</v>
      </c>
      <c r="E69" s="17" t="s">
        <v>2322</v>
      </c>
      <c r="F69" s="17">
        <v>312701004</v>
      </c>
      <c r="G69" s="17">
        <v>1752</v>
      </c>
      <c r="H69" s="15" t="s">
        <v>2305</v>
      </c>
      <c r="I69" s="407" t="s">
        <v>2059</v>
      </c>
      <c r="J69" s="17">
        <v>30</v>
      </c>
      <c r="K69" s="15">
        <v>49</v>
      </c>
      <c r="L69" s="15">
        <v>43</v>
      </c>
      <c r="M69" s="15">
        <v>45</v>
      </c>
      <c r="N69" s="15">
        <v>49</v>
      </c>
      <c r="O69" s="15">
        <f t="shared" si="2"/>
        <v>216</v>
      </c>
      <c r="P69" s="631">
        <v>40</v>
      </c>
      <c r="Q69" s="631">
        <v>30</v>
      </c>
      <c r="R69" s="631">
        <v>42</v>
      </c>
      <c r="S69" s="631">
        <v>35</v>
      </c>
      <c r="T69" s="631">
        <v>41</v>
      </c>
      <c r="U69" s="631">
        <v>32</v>
      </c>
      <c r="V69" s="631">
        <v>36</v>
      </c>
      <c r="W69" s="631">
        <v>34</v>
      </c>
      <c r="X69" s="631">
        <v>35</v>
      </c>
      <c r="Y69" s="631">
        <v>31</v>
      </c>
      <c r="Z69" s="635">
        <f t="shared" ref="Z69:Z76" si="3">SUM(P69:Y69)</f>
        <v>356</v>
      </c>
    </row>
    <row r="70" spans="1:26" s="21" customFormat="1" ht="18" customHeight="1">
      <c r="A70" s="15">
        <v>467</v>
      </c>
      <c r="B70" s="19" t="s">
        <v>416</v>
      </c>
      <c r="C70" s="19" t="s">
        <v>417</v>
      </c>
      <c r="D70" s="19" t="s">
        <v>483</v>
      </c>
      <c r="E70" s="20" t="s">
        <v>418</v>
      </c>
      <c r="F70" s="15">
        <v>308125608</v>
      </c>
      <c r="G70" s="15">
        <v>1108</v>
      </c>
      <c r="H70" s="15" t="s">
        <v>2305</v>
      </c>
      <c r="I70" s="407" t="s">
        <v>2059</v>
      </c>
      <c r="J70" s="15">
        <v>47</v>
      </c>
      <c r="K70" s="15">
        <v>49</v>
      </c>
      <c r="L70" s="15">
        <v>49</v>
      </c>
      <c r="M70" s="15">
        <v>48</v>
      </c>
      <c r="N70" s="15">
        <v>49</v>
      </c>
      <c r="O70" s="15">
        <f t="shared" si="2"/>
        <v>242</v>
      </c>
      <c r="P70" s="631">
        <v>44</v>
      </c>
      <c r="Q70" s="631">
        <v>34</v>
      </c>
      <c r="R70" s="631">
        <v>42</v>
      </c>
      <c r="S70" s="631">
        <v>34</v>
      </c>
      <c r="T70" s="631">
        <v>45</v>
      </c>
      <c r="U70" s="631">
        <v>34</v>
      </c>
      <c r="V70" s="631">
        <v>35</v>
      </c>
      <c r="W70" s="631">
        <v>34</v>
      </c>
      <c r="X70" s="631">
        <v>37</v>
      </c>
      <c r="Y70" s="631">
        <v>32</v>
      </c>
      <c r="Z70" s="635">
        <f t="shared" si="3"/>
        <v>371</v>
      </c>
    </row>
    <row r="71" spans="1:26" s="21" customFormat="1" ht="18" customHeight="1">
      <c r="A71" s="15">
        <v>468</v>
      </c>
      <c r="B71" s="19" t="s">
        <v>419</v>
      </c>
      <c r="C71" s="19" t="s">
        <v>420</v>
      </c>
      <c r="D71" s="19" t="s">
        <v>421</v>
      </c>
      <c r="E71" s="20" t="s">
        <v>422</v>
      </c>
      <c r="F71" s="15">
        <v>304507849</v>
      </c>
      <c r="G71" s="15">
        <v>1397</v>
      </c>
      <c r="H71" s="15" t="s">
        <v>2305</v>
      </c>
      <c r="I71" s="407" t="s">
        <v>2059</v>
      </c>
      <c r="J71" s="15">
        <v>39</v>
      </c>
      <c r="K71" s="15">
        <v>48</v>
      </c>
      <c r="L71" s="15">
        <v>45</v>
      </c>
      <c r="M71" s="15">
        <v>49</v>
      </c>
      <c r="N71" s="15">
        <v>45</v>
      </c>
      <c r="O71" s="15">
        <f t="shared" si="2"/>
        <v>226</v>
      </c>
      <c r="P71" s="631">
        <v>41</v>
      </c>
      <c r="Q71" s="631">
        <v>31</v>
      </c>
      <c r="R71" s="631">
        <v>44</v>
      </c>
      <c r="S71" s="631">
        <v>32</v>
      </c>
      <c r="T71" s="631">
        <v>45</v>
      </c>
      <c r="U71" s="631">
        <v>32</v>
      </c>
      <c r="V71" s="631">
        <v>38</v>
      </c>
      <c r="W71" s="631">
        <v>34</v>
      </c>
      <c r="X71" s="631">
        <v>39</v>
      </c>
      <c r="Y71" s="631">
        <v>32</v>
      </c>
      <c r="Z71" s="635">
        <f t="shared" si="3"/>
        <v>368</v>
      </c>
    </row>
    <row r="72" spans="1:26" s="373" customFormat="1" ht="18" customHeight="1">
      <c r="A72" s="15">
        <v>469</v>
      </c>
      <c r="B72" s="19" t="s">
        <v>423</v>
      </c>
      <c r="C72" s="19" t="s">
        <v>424</v>
      </c>
      <c r="D72" s="19" t="s">
        <v>425</v>
      </c>
      <c r="E72" s="20" t="s">
        <v>426</v>
      </c>
      <c r="F72" s="15">
        <v>316123808</v>
      </c>
      <c r="G72" s="15">
        <v>1467</v>
      </c>
      <c r="H72" s="15" t="s">
        <v>2305</v>
      </c>
      <c r="I72" s="407" t="s">
        <v>2059</v>
      </c>
      <c r="J72" s="15">
        <v>54</v>
      </c>
      <c r="K72" s="15">
        <v>52</v>
      </c>
      <c r="L72" s="15">
        <v>59</v>
      </c>
      <c r="M72" s="15">
        <v>45</v>
      </c>
      <c r="N72" s="15">
        <v>48</v>
      </c>
      <c r="O72" s="15">
        <f t="shared" si="2"/>
        <v>258</v>
      </c>
      <c r="P72" s="631">
        <v>48</v>
      </c>
      <c r="Q72" s="631">
        <v>36</v>
      </c>
      <c r="R72" s="631">
        <v>56</v>
      </c>
      <c r="S72" s="631">
        <v>35</v>
      </c>
      <c r="T72" s="631">
        <v>55</v>
      </c>
      <c r="U72" s="631">
        <v>39</v>
      </c>
      <c r="V72" s="631">
        <v>49</v>
      </c>
      <c r="W72" s="631">
        <v>34</v>
      </c>
      <c r="X72" s="631">
        <v>44</v>
      </c>
      <c r="Y72" s="631">
        <v>34</v>
      </c>
      <c r="Z72" s="635">
        <f t="shared" si="3"/>
        <v>430</v>
      </c>
    </row>
    <row r="73" spans="1:26" s="21" customFormat="1" ht="18" customHeight="1">
      <c r="A73" s="15">
        <v>470</v>
      </c>
      <c r="B73" s="19" t="s">
        <v>427</v>
      </c>
      <c r="C73" s="19" t="s">
        <v>608</v>
      </c>
      <c r="D73" s="19" t="s">
        <v>609</v>
      </c>
      <c r="E73" s="20" t="s">
        <v>428</v>
      </c>
      <c r="F73" s="15">
        <v>301980736</v>
      </c>
      <c r="G73" s="15">
        <v>1154</v>
      </c>
      <c r="H73" s="15" t="s">
        <v>2305</v>
      </c>
      <c r="I73" s="407" t="s">
        <v>2059</v>
      </c>
      <c r="J73" s="15">
        <v>57</v>
      </c>
      <c r="K73" s="15">
        <v>50</v>
      </c>
      <c r="L73" s="15">
        <v>45</v>
      </c>
      <c r="M73" s="15">
        <v>45</v>
      </c>
      <c r="N73" s="15">
        <v>49</v>
      </c>
      <c r="O73" s="15">
        <f t="shared" si="2"/>
        <v>246</v>
      </c>
      <c r="P73" s="631">
        <v>49</v>
      </c>
      <c r="Q73" s="631">
        <v>38</v>
      </c>
      <c r="R73" s="631">
        <v>56</v>
      </c>
      <c r="S73" s="631">
        <v>34</v>
      </c>
      <c r="T73" s="631">
        <v>50</v>
      </c>
      <c r="U73" s="631">
        <v>34</v>
      </c>
      <c r="V73" s="631">
        <v>45</v>
      </c>
      <c r="W73" s="631">
        <v>35</v>
      </c>
      <c r="X73" s="631">
        <v>39</v>
      </c>
      <c r="Y73" s="631">
        <v>32</v>
      </c>
      <c r="Z73" s="635">
        <f t="shared" si="3"/>
        <v>412</v>
      </c>
    </row>
    <row r="74" spans="1:26" s="373" customFormat="1" ht="18" customHeight="1">
      <c r="A74" s="15">
        <v>471</v>
      </c>
      <c r="B74" s="19" t="s">
        <v>46</v>
      </c>
      <c r="C74" s="9" t="s">
        <v>2323</v>
      </c>
      <c r="D74" s="9" t="s">
        <v>2324</v>
      </c>
      <c r="E74" s="408" t="s">
        <v>2325</v>
      </c>
      <c r="F74" s="17">
        <v>311919874</v>
      </c>
      <c r="G74" s="17">
        <v>1742</v>
      </c>
      <c r="H74" s="15" t="s">
        <v>2305</v>
      </c>
      <c r="I74" s="407" t="s">
        <v>2059</v>
      </c>
      <c r="J74" s="17">
        <v>48</v>
      </c>
      <c r="K74" s="15">
        <v>49</v>
      </c>
      <c r="L74" s="15">
        <v>54</v>
      </c>
      <c r="M74" s="15">
        <v>38</v>
      </c>
      <c r="N74" s="15">
        <v>29</v>
      </c>
      <c r="O74" s="15">
        <f t="shared" si="2"/>
        <v>218</v>
      </c>
      <c r="P74" s="631">
        <v>39</v>
      </c>
      <c r="Q74" s="631">
        <v>35</v>
      </c>
      <c r="R74" s="631">
        <v>41</v>
      </c>
      <c r="S74" s="631">
        <v>34</v>
      </c>
      <c r="T74" s="631">
        <v>58</v>
      </c>
      <c r="U74" s="631">
        <v>36</v>
      </c>
      <c r="V74" s="631">
        <v>36</v>
      </c>
      <c r="W74" s="631">
        <v>30</v>
      </c>
      <c r="X74" s="631">
        <v>35</v>
      </c>
      <c r="Y74" s="631">
        <v>31</v>
      </c>
      <c r="Z74" s="635">
        <f t="shared" si="3"/>
        <v>375</v>
      </c>
    </row>
    <row r="75" spans="1:26" ht="15">
      <c r="A75" s="15">
        <v>472</v>
      </c>
      <c r="B75" s="19" t="s">
        <v>450</v>
      </c>
      <c r="C75" s="19" t="s">
        <v>451</v>
      </c>
      <c r="D75" s="19" t="s">
        <v>484</v>
      </c>
      <c r="E75" s="20" t="s">
        <v>141</v>
      </c>
      <c r="F75" s="15">
        <v>305150124</v>
      </c>
      <c r="G75" s="15">
        <v>974</v>
      </c>
      <c r="H75" s="15" t="s">
        <v>2305</v>
      </c>
      <c r="I75" s="407" t="s">
        <v>2059</v>
      </c>
      <c r="J75" s="15">
        <v>50</v>
      </c>
      <c r="K75" s="14">
        <v>52</v>
      </c>
      <c r="L75" s="14">
        <v>60</v>
      </c>
      <c r="M75" s="14">
        <v>48</v>
      </c>
      <c r="N75" s="14">
        <v>43</v>
      </c>
      <c r="O75" s="15">
        <f t="shared" si="2"/>
        <v>253</v>
      </c>
      <c r="P75" s="631">
        <v>53</v>
      </c>
      <c r="Q75" s="631">
        <v>35</v>
      </c>
      <c r="R75" s="631">
        <v>57</v>
      </c>
      <c r="S75" s="631">
        <v>35</v>
      </c>
      <c r="T75" s="631">
        <v>60</v>
      </c>
      <c r="U75" s="631">
        <v>38</v>
      </c>
      <c r="V75" s="631">
        <v>47</v>
      </c>
      <c r="W75" s="631">
        <v>35</v>
      </c>
      <c r="X75" s="631">
        <v>45</v>
      </c>
      <c r="Y75" s="631">
        <v>34</v>
      </c>
      <c r="Z75" s="635">
        <f t="shared" si="3"/>
        <v>439</v>
      </c>
    </row>
    <row r="76" spans="1:26" ht="15">
      <c r="A76" s="15">
        <v>473</v>
      </c>
      <c r="B76" s="19" t="s">
        <v>458</v>
      </c>
      <c r="C76" s="19" t="s">
        <v>24</v>
      </c>
      <c r="D76" s="19" t="s">
        <v>485</v>
      </c>
      <c r="E76" s="20" t="s">
        <v>459</v>
      </c>
      <c r="F76" s="15">
        <v>309679309</v>
      </c>
      <c r="G76" s="15">
        <v>1103</v>
      </c>
      <c r="H76" s="15" t="s">
        <v>2305</v>
      </c>
      <c r="I76" s="407" t="s">
        <v>2059</v>
      </c>
      <c r="J76" s="17">
        <v>40</v>
      </c>
      <c r="K76" s="14">
        <v>48</v>
      </c>
      <c r="L76" s="14">
        <v>51</v>
      </c>
      <c r="M76" s="14">
        <v>49</v>
      </c>
      <c r="N76" s="14">
        <v>49</v>
      </c>
      <c r="O76" s="15">
        <f t="shared" ref="O76" si="4">SUM(J76:M76)</f>
        <v>188</v>
      </c>
      <c r="P76" s="631">
        <v>40</v>
      </c>
      <c r="Q76" s="631">
        <v>30</v>
      </c>
      <c r="R76" s="631">
        <v>46</v>
      </c>
      <c r="S76" s="631">
        <v>35</v>
      </c>
      <c r="T76" s="631">
        <v>45</v>
      </c>
      <c r="U76" s="631">
        <v>36</v>
      </c>
      <c r="V76" s="631">
        <v>40</v>
      </c>
      <c r="W76" s="631">
        <v>35</v>
      </c>
      <c r="X76" s="631">
        <v>37</v>
      </c>
      <c r="Y76" s="631">
        <v>32</v>
      </c>
      <c r="Z76" s="635">
        <f t="shared" si="3"/>
        <v>376</v>
      </c>
    </row>
  </sheetData>
  <mergeCells count="4">
    <mergeCell ref="A1:J1"/>
    <mergeCell ref="J2:N2"/>
    <mergeCell ref="A2:I2"/>
    <mergeCell ref="P2:Z2"/>
  </mergeCells>
  <phoneticPr fontId="77" type="noConversion"/>
  <pageMargins left="0" right="0" top="0" bottom="0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>
    <tabColor theme="6" tint="-0.249977111117893"/>
  </sheetPr>
  <dimension ref="A1:J83"/>
  <sheetViews>
    <sheetView workbookViewId="0">
      <selection activeCell="O14" sqref="O14"/>
    </sheetView>
  </sheetViews>
  <sheetFormatPr defaultRowHeight="14.5"/>
  <cols>
    <col min="2" max="2" width="25.81640625" customWidth="1"/>
    <col min="3" max="3" width="33.1796875" customWidth="1"/>
    <col min="4" max="4" width="28.81640625" customWidth="1"/>
    <col min="5" max="5" width="12.81640625" customWidth="1"/>
    <col min="6" max="6" width="16" customWidth="1"/>
    <col min="7" max="7" width="8" style="12" customWidth="1"/>
    <col min="8" max="8" width="7.54296875" style="12" customWidth="1"/>
    <col min="9" max="9" width="8.81640625" style="12"/>
  </cols>
  <sheetData>
    <row r="1" spans="1:10" ht="21">
      <c r="A1" s="1217" t="s">
        <v>3023</v>
      </c>
      <c r="B1" s="1217"/>
      <c r="C1" s="1217"/>
      <c r="D1" s="1217"/>
      <c r="E1" s="1217"/>
      <c r="F1" s="1217"/>
      <c r="G1" s="1217"/>
      <c r="H1" s="1217"/>
      <c r="I1" s="1217"/>
      <c r="J1" s="1217"/>
    </row>
    <row r="2" spans="1:10" ht="21.5" thickBot="1">
      <c r="A2" s="1217" t="s">
        <v>3028</v>
      </c>
      <c r="B2" s="1217"/>
      <c r="C2" s="1217"/>
      <c r="D2" s="1217"/>
      <c r="E2" s="1217"/>
      <c r="F2" s="1217"/>
      <c r="G2" s="1217"/>
      <c r="H2" s="1217"/>
      <c r="I2" s="1217"/>
      <c r="J2" s="1217"/>
    </row>
    <row r="3" spans="1:10" s="377" customFormat="1" ht="31.75" customHeight="1" thickTop="1">
      <c r="A3" s="1" t="s">
        <v>0</v>
      </c>
      <c r="B3" s="1" t="s">
        <v>1</v>
      </c>
      <c r="C3" s="1" t="s">
        <v>2</v>
      </c>
      <c r="D3" s="1" t="s">
        <v>3</v>
      </c>
      <c r="E3" s="376" t="s">
        <v>4</v>
      </c>
      <c r="F3" s="1" t="s">
        <v>5</v>
      </c>
      <c r="G3" s="4" t="s">
        <v>6</v>
      </c>
      <c r="H3" s="244" t="s">
        <v>7</v>
      </c>
      <c r="I3" s="244" t="s">
        <v>8</v>
      </c>
    </row>
    <row r="4" spans="1:10" s="375" customFormat="1" ht="17.5" customHeight="1">
      <c r="A4" s="15">
        <v>501</v>
      </c>
      <c r="B4" s="9" t="s">
        <v>53</v>
      </c>
      <c r="C4" s="9" t="s">
        <v>54</v>
      </c>
      <c r="D4" s="9" t="s">
        <v>625</v>
      </c>
      <c r="E4" s="20" t="s">
        <v>55</v>
      </c>
      <c r="F4" s="15">
        <v>310716845</v>
      </c>
      <c r="G4" s="15">
        <v>1015</v>
      </c>
      <c r="H4" s="15" t="s">
        <v>2332</v>
      </c>
      <c r="I4" s="15" t="s">
        <v>2059</v>
      </c>
    </row>
    <row r="5" spans="1:10" s="375" customFormat="1" ht="17.5" customHeight="1">
      <c r="A5" s="15">
        <v>502</v>
      </c>
      <c r="B5" s="9" t="s">
        <v>78</v>
      </c>
      <c r="C5" s="9" t="s">
        <v>95</v>
      </c>
      <c r="D5" s="9" t="s">
        <v>113</v>
      </c>
      <c r="E5" s="20" t="s">
        <v>138</v>
      </c>
      <c r="F5" s="15">
        <v>303974031</v>
      </c>
      <c r="G5" s="15">
        <v>1091</v>
      </c>
      <c r="H5" s="15" t="s">
        <v>2332</v>
      </c>
      <c r="I5" s="15" t="s">
        <v>2059</v>
      </c>
    </row>
    <row r="6" spans="1:10" s="375" customFormat="1" ht="17.5" customHeight="1">
      <c r="A6" s="15">
        <v>503</v>
      </c>
      <c r="B6" s="9" t="s">
        <v>56</v>
      </c>
      <c r="C6" s="9" t="s">
        <v>96</v>
      </c>
      <c r="D6" s="9" t="s">
        <v>114</v>
      </c>
      <c r="E6" s="20" t="s">
        <v>626</v>
      </c>
      <c r="F6" s="15">
        <v>310277653</v>
      </c>
      <c r="G6" s="15">
        <v>1024</v>
      </c>
      <c r="H6" s="15" t="s">
        <v>2332</v>
      </c>
      <c r="I6" s="15" t="s">
        <v>2059</v>
      </c>
    </row>
    <row r="7" spans="1:10" s="375" customFormat="1" ht="17.5" customHeight="1">
      <c r="A7" s="15">
        <v>504</v>
      </c>
      <c r="B7" s="9" t="s">
        <v>79</v>
      </c>
      <c r="C7" s="9" t="s">
        <v>627</v>
      </c>
      <c r="D7" s="9" t="s">
        <v>115</v>
      </c>
      <c r="E7" s="20" t="s">
        <v>139</v>
      </c>
      <c r="F7" s="15">
        <v>300601614</v>
      </c>
      <c r="G7" s="15">
        <v>941</v>
      </c>
      <c r="H7" s="15" t="s">
        <v>2332</v>
      </c>
      <c r="I7" s="15" t="s">
        <v>2059</v>
      </c>
    </row>
    <row r="8" spans="1:10" s="375" customFormat="1" ht="17.5" customHeight="1">
      <c r="A8" s="15">
        <v>505</v>
      </c>
      <c r="B8" s="9" t="s">
        <v>80</v>
      </c>
      <c r="C8" s="9" t="s">
        <v>70</v>
      </c>
      <c r="D8" s="9" t="s">
        <v>116</v>
      </c>
      <c r="E8" s="20" t="s">
        <v>140</v>
      </c>
      <c r="F8" s="15">
        <v>300238201</v>
      </c>
      <c r="G8" s="15">
        <v>1130</v>
      </c>
      <c r="H8" s="15" t="s">
        <v>2332</v>
      </c>
      <c r="I8" s="15" t="s">
        <v>2059</v>
      </c>
    </row>
    <row r="9" spans="1:10" s="375" customFormat="1" ht="17.5" customHeight="1">
      <c r="A9" s="15">
        <v>506</v>
      </c>
      <c r="B9" s="9" t="s">
        <v>628</v>
      </c>
      <c r="C9" s="9" t="s">
        <v>447</v>
      </c>
      <c r="D9" s="9" t="s">
        <v>629</v>
      </c>
      <c r="E9" s="20" t="s">
        <v>255</v>
      </c>
      <c r="F9" s="15">
        <v>199348454</v>
      </c>
      <c r="G9" s="15">
        <v>928</v>
      </c>
      <c r="H9" s="15" t="s">
        <v>2332</v>
      </c>
      <c r="I9" s="15" t="s">
        <v>2059</v>
      </c>
    </row>
    <row r="10" spans="1:10" s="375" customFormat="1" ht="17.5" customHeight="1">
      <c r="A10" s="15">
        <v>507</v>
      </c>
      <c r="B10" s="407" t="s">
        <v>57</v>
      </c>
      <c r="C10" s="407" t="s">
        <v>171</v>
      </c>
      <c r="D10" s="407" t="s">
        <v>172</v>
      </c>
      <c r="E10" s="20" t="s">
        <v>173</v>
      </c>
      <c r="F10" s="15">
        <v>197918213</v>
      </c>
      <c r="G10" s="15">
        <v>1369</v>
      </c>
      <c r="H10" s="15" t="s">
        <v>2332</v>
      </c>
      <c r="I10" s="15" t="s">
        <v>2059</v>
      </c>
    </row>
    <row r="11" spans="1:10" s="375" customFormat="1" ht="17.5" customHeight="1">
      <c r="A11" s="15">
        <v>508</v>
      </c>
      <c r="B11" s="9" t="s">
        <v>82</v>
      </c>
      <c r="C11" s="9" t="s">
        <v>71</v>
      </c>
      <c r="D11" s="9" t="s">
        <v>21</v>
      </c>
      <c r="E11" s="20" t="s">
        <v>256</v>
      </c>
      <c r="F11" s="15">
        <v>302295863</v>
      </c>
      <c r="G11" s="15">
        <v>929</v>
      </c>
      <c r="H11" s="15" t="s">
        <v>2332</v>
      </c>
      <c r="I11" s="15" t="s">
        <v>2059</v>
      </c>
    </row>
    <row r="12" spans="1:10" s="375" customFormat="1" ht="17.5" customHeight="1">
      <c r="A12" s="15">
        <v>509</v>
      </c>
      <c r="B12" s="9" t="s">
        <v>81</v>
      </c>
      <c r="C12" s="9" t="s">
        <v>97</v>
      </c>
      <c r="D12" s="9" t="s">
        <v>117</v>
      </c>
      <c r="E12" s="20" t="s">
        <v>141</v>
      </c>
      <c r="F12" s="15">
        <v>198482534</v>
      </c>
      <c r="G12" s="15">
        <v>1248</v>
      </c>
      <c r="H12" s="15" t="s">
        <v>2332</v>
      </c>
      <c r="I12" s="15" t="s">
        <v>2059</v>
      </c>
    </row>
    <row r="13" spans="1:10" s="375" customFormat="1" ht="17.5" customHeight="1">
      <c r="A13" s="15">
        <v>510</v>
      </c>
      <c r="B13" s="9" t="s">
        <v>58</v>
      </c>
      <c r="C13" s="9" t="s">
        <v>630</v>
      </c>
      <c r="D13" s="9" t="s">
        <v>118</v>
      </c>
      <c r="E13" s="20" t="s">
        <v>142</v>
      </c>
      <c r="F13" s="15">
        <v>310067526</v>
      </c>
      <c r="G13" s="15">
        <v>956</v>
      </c>
      <c r="H13" s="15" t="s">
        <v>2332</v>
      </c>
      <c r="I13" s="15" t="s">
        <v>2059</v>
      </c>
    </row>
    <row r="14" spans="1:10" s="375" customFormat="1" ht="17.5" customHeight="1">
      <c r="A14" s="15">
        <v>511</v>
      </c>
      <c r="B14" s="9" t="s">
        <v>59</v>
      </c>
      <c r="C14" s="9" t="s">
        <v>49</v>
      </c>
      <c r="D14" s="9" t="s">
        <v>50</v>
      </c>
      <c r="E14" s="20" t="s">
        <v>143</v>
      </c>
      <c r="F14" s="15">
        <v>301596499</v>
      </c>
      <c r="G14" s="15">
        <v>1115</v>
      </c>
      <c r="H14" s="15" t="s">
        <v>2332</v>
      </c>
      <c r="I14" s="15" t="s">
        <v>2059</v>
      </c>
    </row>
    <row r="15" spans="1:10" s="375" customFormat="1" ht="17.5" customHeight="1">
      <c r="A15" s="15">
        <v>512</v>
      </c>
      <c r="B15" s="9" t="s">
        <v>83</v>
      </c>
      <c r="C15" s="9" t="s">
        <v>98</v>
      </c>
      <c r="D15" s="9" t="s">
        <v>631</v>
      </c>
      <c r="E15" s="20" t="s">
        <v>144</v>
      </c>
      <c r="F15" s="15">
        <v>316505116</v>
      </c>
      <c r="G15" s="15">
        <v>1014</v>
      </c>
      <c r="H15" s="15" t="s">
        <v>2332</v>
      </c>
      <c r="I15" s="15" t="s">
        <v>2059</v>
      </c>
    </row>
    <row r="16" spans="1:10" s="375" customFormat="1" ht="17.5" customHeight="1">
      <c r="A16" s="15">
        <v>513</v>
      </c>
      <c r="B16" s="9" t="s">
        <v>60</v>
      </c>
      <c r="C16" s="9" t="s">
        <v>99</v>
      </c>
      <c r="D16" s="9" t="s">
        <v>119</v>
      </c>
      <c r="E16" s="20" t="s">
        <v>145</v>
      </c>
      <c r="F16" s="15">
        <v>304818856</v>
      </c>
      <c r="G16" s="15">
        <v>1172</v>
      </c>
      <c r="H16" s="15" t="s">
        <v>2332</v>
      </c>
      <c r="I16" s="15" t="s">
        <v>2059</v>
      </c>
    </row>
    <row r="17" spans="1:9" s="375" customFormat="1" ht="17.5" customHeight="1">
      <c r="A17" s="15">
        <v>514</v>
      </c>
      <c r="B17" s="9" t="s">
        <v>61</v>
      </c>
      <c r="C17" s="9" t="s">
        <v>632</v>
      </c>
      <c r="D17" s="9" t="s">
        <v>633</v>
      </c>
      <c r="E17" s="20" t="s">
        <v>146</v>
      </c>
      <c r="F17" s="15">
        <v>304142647</v>
      </c>
      <c r="G17" s="15">
        <v>931</v>
      </c>
      <c r="H17" s="15" t="s">
        <v>2332</v>
      </c>
      <c r="I17" s="15" t="s">
        <v>2059</v>
      </c>
    </row>
    <row r="18" spans="1:9" s="375" customFormat="1" ht="17.5" customHeight="1">
      <c r="A18" s="15">
        <v>515</v>
      </c>
      <c r="B18" s="9" t="s">
        <v>3263</v>
      </c>
      <c r="C18" s="9" t="s">
        <v>634</v>
      </c>
      <c r="D18" s="9" t="s">
        <v>120</v>
      </c>
      <c r="E18" s="20" t="s">
        <v>147</v>
      </c>
      <c r="F18" s="15">
        <v>303451520</v>
      </c>
      <c r="G18" s="15">
        <v>1383</v>
      </c>
      <c r="H18" s="15" t="s">
        <v>2332</v>
      </c>
      <c r="I18" s="15" t="s">
        <v>2059</v>
      </c>
    </row>
    <row r="19" spans="1:9" s="373" customFormat="1">
      <c r="A19" s="15">
        <v>516</v>
      </c>
      <c r="B19" s="411" t="s">
        <v>2326</v>
      </c>
      <c r="C19" s="411" t="s">
        <v>2329</v>
      </c>
      <c r="D19" s="411" t="s">
        <v>2330</v>
      </c>
      <c r="E19" s="412" t="s">
        <v>461</v>
      </c>
      <c r="F19" s="413">
        <v>304162199</v>
      </c>
      <c r="G19" s="413">
        <v>1838</v>
      </c>
      <c r="H19" s="15" t="s">
        <v>2332</v>
      </c>
      <c r="I19" s="15" t="s">
        <v>2059</v>
      </c>
    </row>
    <row r="20" spans="1:9" s="375" customFormat="1" ht="17.5" customHeight="1">
      <c r="A20" s="15">
        <v>517</v>
      </c>
      <c r="B20" s="9" t="s">
        <v>62</v>
      </c>
      <c r="C20" s="9" t="s">
        <v>101</v>
      </c>
      <c r="D20" s="9" t="s">
        <v>122</v>
      </c>
      <c r="E20" s="20" t="s">
        <v>149</v>
      </c>
      <c r="F20" s="15">
        <v>300238125</v>
      </c>
      <c r="G20" s="15">
        <v>1034</v>
      </c>
      <c r="H20" s="15" t="s">
        <v>2332</v>
      </c>
      <c r="I20" s="15" t="s">
        <v>2059</v>
      </c>
    </row>
    <row r="21" spans="1:9" s="375" customFormat="1" ht="17.5" customHeight="1">
      <c r="A21" s="15">
        <v>518</v>
      </c>
      <c r="B21" s="9" t="s">
        <v>635</v>
      </c>
      <c r="C21" s="9" t="s">
        <v>102</v>
      </c>
      <c r="D21" s="9" t="s">
        <v>123</v>
      </c>
      <c r="E21" s="20" t="s">
        <v>150</v>
      </c>
      <c r="F21" s="15">
        <v>195159667</v>
      </c>
      <c r="G21" s="15">
        <v>1275</v>
      </c>
      <c r="H21" s="15" t="s">
        <v>2332</v>
      </c>
      <c r="I21" s="15" t="s">
        <v>2059</v>
      </c>
    </row>
    <row r="22" spans="1:9" s="375" customFormat="1" ht="17.5" customHeight="1">
      <c r="A22" s="15">
        <v>519</v>
      </c>
      <c r="B22" s="9" t="s">
        <v>63</v>
      </c>
      <c r="C22" s="9" t="s">
        <v>103</v>
      </c>
      <c r="D22" s="9" t="s">
        <v>257</v>
      </c>
      <c r="E22" s="20" t="s">
        <v>258</v>
      </c>
      <c r="F22" s="15">
        <v>300657758</v>
      </c>
      <c r="G22" s="15">
        <v>1234</v>
      </c>
      <c r="H22" s="15" t="s">
        <v>2332</v>
      </c>
      <c r="I22" s="15" t="s">
        <v>2059</v>
      </c>
    </row>
    <row r="23" spans="1:9" s="375" customFormat="1" ht="17.5" customHeight="1">
      <c r="A23" s="15">
        <v>520</v>
      </c>
      <c r="B23" s="9" t="s">
        <v>64</v>
      </c>
      <c r="C23" s="9" t="s">
        <v>73</v>
      </c>
      <c r="D23" s="9" t="s">
        <v>124</v>
      </c>
      <c r="E23" s="20" t="s">
        <v>151</v>
      </c>
      <c r="F23" s="15">
        <v>307656827</v>
      </c>
      <c r="G23" s="15">
        <v>1044</v>
      </c>
      <c r="H23" s="15" t="s">
        <v>2332</v>
      </c>
      <c r="I23" s="15" t="s">
        <v>2059</v>
      </c>
    </row>
    <row r="24" spans="1:9" s="375" customFormat="1" ht="17.5" customHeight="1">
      <c r="A24" s="15">
        <v>521</v>
      </c>
      <c r="B24" s="9" t="s">
        <v>259</v>
      </c>
      <c r="C24" s="9" t="s">
        <v>72</v>
      </c>
      <c r="D24" s="9" t="s">
        <v>125</v>
      </c>
      <c r="E24" s="20" t="s">
        <v>179</v>
      </c>
      <c r="F24" s="15">
        <v>307131906</v>
      </c>
      <c r="G24" s="15">
        <v>932</v>
      </c>
      <c r="H24" s="15" t="s">
        <v>2332</v>
      </c>
      <c r="I24" s="15" t="s">
        <v>2059</v>
      </c>
    </row>
    <row r="25" spans="1:9" s="375" customFormat="1" ht="17.5" customHeight="1">
      <c r="A25" s="15">
        <v>522</v>
      </c>
      <c r="B25" s="9" t="s">
        <v>65</v>
      </c>
      <c r="C25" s="9" t="s">
        <v>636</v>
      </c>
      <c r="D25" s="9" t="s">
        <v>637</v>
      </c>
      <c r="E25" s="20" t="s">
        <v>638</v>
      </c>
      <c r="F25" s="15">
        <v>302894548</v>
      </c>
      <c r="G25" s="15">
        <v>991</v>
      </c>
      <c r="H25" s="15" t="s">
        <v>2332</v>
      </c>
      <c r="I25" s="15" t="s">
        <v>2059</v>
      </c>
    </row>
    <row r="26" spans="1:9" s="375" customFormat="1" ht="17.5" customHeight="1">
      <c r="A26" s="15">
        <v>523</v>
      </c>
      <c r="B26" s="9" t="s">
        <v>3030</v>
      </c>
      <c r="C26" s="9" t="s">
        <v>639</v>
      </c>
      <c r="D26" s="9" t="s">
        <v>126</v>
      </c>
      <c r="E26" s="20" t="s">
        <v>260</v>
      </c>
      <c r="F26" s="15">
        <v>302209277</v>
      </c>
      <c r="G26" s="15">
        <v>832</v>
      </c>
      <c r="H26" s="15" t="s">
        <v>2332</v>
      </c>
      <c r="I26" s="15" t="s">
        <v>2059</v>
      </c>
    </row>
    <row r="27" spans="1:9" s="375" customFormat="1" ht="17.5" customHeight="1">
      <c r="A27" s="15">
        <v>524</v>
      </c>
      <c r="B27" s="9" t="s">
        <v>66</v>
      </c>
      <c r="C27" s="9" t="s">
        <v>104</v>
      </c>
      <c r="D27" s="9" t="s">
        <v>127</v>
      </c>
      <c r="E27" s="20" t="s">
        <v>153</v>
      </c>
      <c r="F27" s="15">
        <v>301339691</v>
      </c>
      <c r="G27" s="15">
        <v>833</v>
      </c>
      <c r="H27" s="15" t="s">
        <v>2332</v>
      </c>
      <c r="I27" s="15" t="s">
        <v>2059</v>
      </c>
    </row>
    <row r="28" spans="1:9" s="375" customFormat="1" ht="17.5" customHeight="1">
      <c r="A28" s="15">
        <v>525</v>
      </c>
      <c r="B28" s="9" t="s">
        <v>85</v>
      </c>
      <c r="C28" s="9" t="s">
        <v>106</v>
      </c>
      <c r="D28" s="9" t="s">
        <v>130</v>
      </c>
      <c r="E28" s="414" t="s">
        <v>157</v>
      </c>
      <c r="F28" s="15">
        <v>310222725</v>
      </c>
      <c r="G28" s="17">
        <v>1544</v>
      </c>
      <c r="H28" s="15" t="s">
        <v>2332</v>
      </c>
      <c r="I28" s="15" t="s">
        <v>2059</v>
      </c>
    </row>
    <row r="29" spans="1:9" s="375" customFormat="1" ht="17.5" customHeight="1">
      <c r="A29" s="15">
        <v>526</v>
      </c>
      <c r="B29" s="9" t="s">
        <v>68</v>
      </c>
      <c r="C29" s="9" t="s">
        <v>3031</v>
      </c>
      <c r="D29" s="9" t="s">
        <v>644</v>
      </c>
      <c r="E29" s="20" t="s">
        <v>158</v>
      </c>
      <c r="F29" s="15">
        <v>306308838</v>
      </c>
      <c r="G29" s="15">
        <v>1407</v>
      </c>
      <c r="H29" s="15" t="s">
        <v>2332</v>
      </c>
      <c r="I29" s="15" t="s">
        <v>2059</v>
      </c>
    </row>
    <row r="30" spans="1:9" s="375" customFormat="1" ht="17.5" customHeight="1">
      <c r="A30" s="15">
        <v>527</v>
      </c>
      <c r="B30" s="9" t="s">
        <v>3264</v>
      </c>
      <c r="C30" s="9" t="s">
        <v>3265</v>
      </c>
      <c r="D30" s="9" t="s">
        <v>3266</v>
      </c>
      <c r="E30" s="20" t="s">
        <v>160</v>
      </c>
      <c r="F30" s="15">
        <v>302536830</v>
      </c>
      <c r="G30" s="15">
        <v>834</v>
      </c>
      <c r="H30" s="15" t="s">
        <v>2332</v>
      </c>
      <c r="I30" s="15" t="s">
        <v>2059</v>
      </c>
    </row>
    <row r="31" spans="1:9" s="375" customFormat="1" ht="17.5" customHeight="1">
      <c r="A31" s="15">
        <v>528</v>
      </c>
      <c r="B31" s="9" t="s">
        <v>261</v>
      </c>
      <c r="C31" s="9" t="s">
        <v>30</v>
      </c>
      <c r="D31" s="9" t="s">
        <v>31</v>
      </c>
      <c r="E31" s="20" t="s">
        <v>161</v>
      </c>
      <c r="F31" s="15">
        <v>198482458</v>
      </c>
      <c r="G31" s="15">
        <v>1536</v>
      </c>
      <c r="H31" s="15" t="s">
        <v>2332</v>
      </c>
      <c r="I31" s="15" t="s">
        <v>2059</v>
      </c>
    </row>
    <row r="32" spans="1:9" s="375" customFormat="1" ht="17.5" customHeight="1">
      <c r="A32" s="15">
        <v>529</v>
      </c>
      <c r="B32" s="9" t="s">
        <v>87</v>
      </c>
      <c r="C32" s="9" t="s">
        <v>646</v>
      </c>
      <c r="D32" s="9" t="s">
        <v>132</v>
      </c>
      <c r="E32" s="20" t="s">
        <v>162</v>
      </c>
      <c r="F32" s="15">
        <v>301811837</v>
      </c>
      <c r="G32" s="15">
        <v>971</v>
      </c>
      <c r="H32" s="15" t="s">
        <v>2332</v>
      </c>
      <c r="I32" s="15" t="s">
        <v>2059</v>
      </c>
    </row>
    <row r="33" spans="1:10" s="375" customFormat="1" ht="17.5" customHeight="1">
      <c r="A33" s="15">
        <v>530</v>
      </c>
      <c r="B33" s="9" t="s">
        <v>88</v>
      </c>
      <c r="C33" s="9" t="s">
        <v>3267</v>
      </c>
      <c r="D33" s="9" t="s">
        <v>133</v>
      </c>
      <c r="E33" s="20" t="s">
        <v>163</v>
      </c>
      <c r="F33" s="15">
        <v>302894570</v>
      </c>
      <c r="G33" s="15">
        <v>1602</v>
      </c>
      <c r="H33" s="15" t="s">
        <v>2332</v>
      </c>
      <c r="I33" s="15" t="s">
        <v>2059</v>
      </c>
    </row>
    <row r="34" spans="1:10" s="375" customFormat="1" ht="17.5" customHeight="1">
      <c r="A34" s="15">
        <v>531</v>
      </c>
      <c r="B34" s="407" t="s">
        <v>244</v>
      </c>
      <c r="C34" s="407" t="s">
        <v>245</v>
      </c>
      <c r="D34" s="407" t="s">
        <v>246</v>
      </c>
      <c r="E34" s="20" t="s">
        <v>669</v>
      </c>
      <c r="F34" s="15">
        <v>303420158</v>
      </c>
      <c r="G34" s="15">
        <v>1588</v>
      </c>
      <c r="H34" s="15" t="s">
        <v>2332</v>
      </c>
      <c r="I34" s="15" t="s">
        <v>2059</v>
      </c>
    </row>
    <row r="35" spans="1:10" s="375" customFormat="1" ht="17.5" customHeight="1">
      <c r="A35" s="15">
        <v>532</v>
      </c>
      <c r="B35" s="9" t="s">
        <v>647</v>
      </c>
      <c r="C35" s="9" t="s">
        <v>648</v>
      </c>
      <c r="D35" s="9" t="s">
        <v>649</v>
      </c>
      <c r="E35" s="20" t="s">
        <v>164</v>
      </c>
      <c r="F35" s="15">
        <v>306781017</v>
      </c>
      <c r="G35" s="15">
        <v>962</v>
      </c>
      <c r="H35" s="15" t="s">
        <v>2332</v>
      </c>
      <c r="I35" s="15" t="s">
        <v>2059</v>
      </c>
    </row>
    <row r="36" spans="1:10" s="375" customFormat="1" ht="17.5" customHeight="1">
      <c r="A36" s="15">
        <v>533</v>
      </c>
      <c r="B36" s="9" t="s">
        <v>89</v>
      </c>
      <c r="C36" s="9" t="s">
        <v>109</v>
      </c>
      <c r="D36" s="9" t="s">
        <v>134</v>
      </c>
      <c r="E36" s="20" t="s">
        <v>165</v>
      </c>
      <c r="F36" s="15">
        <v>300099079</v>
      </c>
      <c r="G36" s="15">
        <v>933</v>
      </c>
      <c r="H36" s="15" t="s">
        <v>2332</v>
      </c>
      <c r="I36" s="15" t="s">
        <v>2059</v>
      </c>
    </row>
    <row r="37" spans="1:10" s="375" customFormat="1" ht="17.5" customHeight="1">
      <c r="A37" s="15">
        <v>534</v>
      </c>
      <c r="B37" s="9" t="s">
        <v>90</v>
      </c>
      <c r="C37" s="9" t="s">
        <v>110</v>
      </c>
      <c r="D37" s="9" t="s">
        <v>20</v>
      </c>
      <c r="E37" s="20" t="s">
        <v>166</v>
      </c>
      <c r="F37" s="15">
        <v>316151210</v>
      </c>
      <c r="G37" s="15">
        <v>997</v>
      </c>
      <c r="H37" s="15" t="s">
        <v>2332</v>
      </c>
      <c r="I37" s="15" t="s">
        <v>2059</v>
      </c>
    </row>
    <row r="38" spans="1:10" s="375" customFormat="1" ht="17.5" customHeight="1">
      <c r="A38" s="15">
        <v>535</v>
      </c>
      <c r="B38" s="9" t="s">
        <v>91</v>
      </c>
      <c r="C38" s="9" t="s">
        <v>111</v>
      </c>
      <c r="D38" s="9" t="s">
        <v>135</v>
      </c>
      <c r="E38" s="20" t="s">
        <v>167</v>
      </c>
      <c r="F38" s="15">
        <v>189483803</v>
      </c>
      <c r="G38" s="15">
        <v>838</v>
      </c>
      <c r="H38" s="15" t="s">
        <v>2332</v>
      </c>
      <c r="I38" s="15" t="s">
        <v>2059</v>
      </c>
    </row>
    <row r="39" spans="1:10" s="375" customFormat="1" ht="17.5" customHeight="1">
      <c r="A39" s="15">
        <v>536</v>
      </c>
      <c r="B39" s="9" t="s">
        <v>92</v>
      </c>
      <c r="C39" s="9" t="s">
        <v>650</v>
      </c>
      <c r="D39" s="9" t="s">
        <v>651</v>
      </c>
      <c r="E39" s="20" t="s">
        <v>168</v>
      </c>
      <c r="F39" s="15">
        <v>307740939</v>
      </c>
      <c r="G39" s="15">
        <v>1210</v>
      </c>
      <c r="H39" s="15" t="s">
        <v>2332</v>
      </c>
      <c r="I39" s="15" t="s">
        <v>2059</v>
      </c>
    </row>
    <row r="40" spans="1:10" s="375" customFormat="1" ht="17.5" customHeight="1">
      <c r="A40" s="15">
        <v>537</v>
      </c>
      <c r="B40" s="9" t="s">
        <v>93</v>
      </c>
      <c r="C40" s="9" t="s">
        <v>652</v>
      </c>
      <c r="D40" s="9" t="s">
        <v>136</v>
      </c>
      <c r="E40" s="20" t="s">
        <v>169</v>
      </c>
      <c r="F40" s="15">
        <v>310449578</v>
      </c>
      <c r="G40" s="15">
        <v>1411</v>
      </c>
      <c r="H40" s="15" t="s">
        <v>2332</v>
      </c>
      <c r="I40" s="15" t="s">
        <v>2059</v>
      </c>
    </row>
    <row r="41" spans="1:10" s="373" customFormat="1">
      <c r="A41" s="15">
        <v>538</v>
      </c>
      <c r="B41" s="411" t="s">
        <v>2327</v>
      </c>
      <c r="C41" s="411" t="s">
        <v>2298</v>
      </c>
      <c r="D41" s="411" t="s">
        <v>2328</v>
      </c>
      <c r="E41" s="415" t="s">
        <v>2331</v>
      </c>
      <c r="F41" s="413">
        <v>303775854</v>
      </c>
      <c r="G41" s="413">
        <v>1824</v>
      </c>
      <c r="H41" s="15" t="s">
        <v>2332</v>
      </c>
      <c r="I41" s="15" t="s">
        <v>2059</v>
      </c>
    </row>
    <row r="42" spans="1:10" s="375" customFormat="1" ht="14">
      <c r="A42" s="15">
        <v>539</v>
      </c>
      <c r="B42" s="9" t="s">
        <v>94</v>
      </c>
      <c r="C42" s="9" t="s">
        <v>112</v>
      </c>
      <c r="D42" s="9" t="s">
        <v>137</v>
      </c>
      <c r="E42" s="20" t="s">
        <v>170</v>
      </c>
      <c r="F42" s="15">
        <v>302209359</v>
      </c>
      <c r="G42" s="15">
        <v>972</v>
      </c>
      <c r="H42" s="15" t="s">
        <v>2332</v>
      </c>
      <c r="I42" s="15" t="s">
        <v>2059</v>
      </c>
    </row>
    <row r="44" spans="1:10" ht="16.399999999999999" customHeight="1"/>
    <row r="45" spans="1:10" ht="16.399999999999999" customHeight="1">
      <c r="A45" s="1217" t="s">
        <v>3023</v>
      </c>
      <c r="B45" s="1217"/>
      <c r="C45" s="1217"/>
      <c r="D45" s="1217"/>
      <c r="E45" s="1217"/>
      <c r="F45" s="1217"/>
      <c r="G45" s="1217"/>
      <c r="H45" s="1217"/>
      <c r="I45" s="1217"/>
      <c r="J45" s="1217"/>
    </row>
    <row r="46" spans="1:10" ht="16.399999999999999" customHeight="1" thickBot="1">
      <c r="A46" s="1217" t="s">
        <v>3029</v>
      </c>
      <c r="B46" s="1217"/>
      <c r="C46" s="1217"/>
      <c r="D46" s="1217"/>
      <c r="E46" s="1217"/>
      <c r="F46" s="1217"/>
      <c r="G46" s="1217"/>
      <c r="H46" s="1217"/>
      <c r="I46" s="1217"/>
      <c r="J46" s="1217"/>
    </row>
    <row r="47" spans="1:10" s="377" customFormat="1" ht="31.75" customHeight="1" thickTop="1">
      <c r="A47" s="1" t="s">
        <v>0</v>
      </c>
      <c r="B47" s="1" t="s">
        <v>1</v>
      </c>
      <c r="C47" s="1" t="s">
        <v>2</v>
      </c>
      <c r="D47" s="1" t="s">
        <v>3</v>
      </c>
      <c r="E47" s="376" t="s">
        <v>4</v>
      </c>
      <c r="F47" s="1" t="s">
        <v>5</v>
      </c>
      <c r="G47" s="4" t="s">
        <v>6</v>
      </c>
      <c r="H47" s="244" t="s">
        <v>7</v>
      </c>
      <c r="I47" s="244" t="s">
        <v>8</v>
      </c>
    </row>
    <row r="48" spans="1:10" s="375" customFormat="1" ht="17.5" customHeight="1">
      <c r="A48" s="15">
        <v>540</v>
      </c>
      <c r="B48" s="407" t="s">
        <v>174</v>
      </c>
      <c r="C48" s="407" t="s">
        <v>175</v>
      </c>
      <c r="D48" s="407" t="s">
        <v>653</v>
      </c>
      <c r="E48" s="20" t="s">
        <v>176</v>
      </c>
      <c r="F48" s="15">
        <v>300238208</v>
      </c>
      <c r="G48" s="15">
        <v>1129</v>
      </c>
      <c r="H48" s="17" t="s">
        <v>2332</v>
      </c>
      <c r="I48" s="17" t="s">
        <v>2059</v>
      </c>
    </row>
    <row r="49" spans="1:9" s="375" customFormat="1" ht="17.5" customHeight="1">
      <c r="A49" s="15">
        <v>541</v>
      </c>
      <c r="B49" s="407" t="s">
        <v>177</v>
      </c>
      <c r="C49" s="407" t="s">
        <v>440</v>
      </c>
      <c r="D49" s="407" t="s">
        <v>654</v>
      </c>
      <c r="E49" s="20" t="s">
        <v>655</v>
      </c>
      <c r="F49" s="15">
        <v>301995965</v>
      </c>
      <c r="G49" s="15">
        <v>930</v>
      </c>
      <c r="H49" s="17" t="s">
        <v>2332</v>
      </c>
      <c r="I49" s="17" t="s">
        <v>2059</v>
      </c>
    </row>
    <row r="50" spans="1:9" s="375" customFormat="1" ht="17.5" customHeight="1">
      <c r="A50" s="15">
        <v>542</v>
      </c>
      <c r="B50" s="407" t="s">
        <v>656</v>
      </c>
      <c r="C50" s="407" t="s">
        <v>178</v>
      </c>
      <c r="D50" s="407" t="s">
        <v>657</v>
      </c>
      <c r="E50" s="20" t="s">
        <v>179</v>
      </c>
      <c r="F50" s="15">
        <v>305598392</v>
      </c>
      <c r="G50" s="15">
        <v>961</v>
      </c>
      <c r="H50" s="17" t="s">
        <v>2332</v>
      </c>
      <c r="I50" s="17" t="s">
        <v>2059</v>
      </c>
    </row>
    <row r="51" spans="1:9" s="375" customFormat="1" ht="17.5" customHeight="1">
      <c r="A51" s="15">
        <v>543</v>
      </c>
      <c r="B51" s="407" t="s">
        <v>180</v>
      </c>
      <c r="C51" s="407" t="s">
        <v>181</v>
      </c>
      <c r="D51" s="407" t="s">
        <v>182</v>
      </c>
      <c r="E51" s="20" t="s">
        <v>183</v>
      </c>
      <c r="F51" s="15">
        <v>303537335</v>
      </c>
      <c r="G51" s="15">
        <v>959</v>
      </c>
      <c r="H51" s="17" t="s">
        <v>2332</v>
      </c>
      <c r="I51" s="17" t="s">
        <v>2059</v>
      </c>
    </row>
    <row r="52" spans="1:9" s="375" customFormat="1" ht="17.5" customHeight="1">
      <c r="A52" s="15">
        <v>544</v>
      </c>
      <c r="B52" s="407" t="s">
        <v>184</v>
      </c>
      <c r="C52" s="407" t="s">
        <v>185</v>
      </c>
      <c r="D52" s="407" t="s">
        <v>658</v>
      </c>
      <c r="E52" s="20" t="s">
        <v>186</v>
      </c>
      <c r="F52" s="15">
        <v>301047164</v>
      </c>
      <c r="G52" s="15">
        <v>1474</v>
      </c>
      <c r="H52" s="17" t="s">
        <v>2332</v>
      </c>
      <c r="I52" s="17" t="s">
        <v>2059</v>
      </c>
    </row>
    <row r="53" spans="1:9" s="375" customFormat="1" ht="17.5" customHeight="1">
      <c r="A53" s="15">
        <v>545</v>
      </c>
      <c r="B53" s="407" t="s">
        <v>187</v>
      </c>
      <c r="C53" s="407" t="s">
        <v>188</v>
      </c>
      <c r="D53" s="407" t="s">
        <v>189</v>
      </c>
      <c r="E53" s="20" t="s">
        <v>190</v>
      </c>
      <c r="F53" s="15">
        <v>309253095</v>
      </c>
      <c r="G53" s="15">
        <v>993</v>
      </c>
      <c r="H53" s="17" t="s">
        <v>2332</v>
      </c>
      <c r="I53" s="17" t="s">
        <v>2059</v>
      </c>
    </row>
    <row r="54" spans="1:9" s="375" customFormat="1" ht="17.5" customHeight="1">
      <c r="A54" s="15">
        <v>546</v>
      </c>
      <c r="B54" s="9" t="s">
        <v>84</v>
      </c>
      <c r="C54" s="9" t="s">
        <v>100</v>
      </c>
      <c r="D54" s="9" t="s">
        <v>121</v>
      </c>
      <c r="E54" s="20" t="s">
        <v>148</v>
      </c>
      <c r="F54" s="15">
        <v>308132184</v>
      </c>
      <c r="G54" s="15">
        <v>1434</v>
      </c>
      <c r="H54" s="17" t="s">
        <v>2332</v>
      </c>
      <c r="I54" s="17" t="s">
        <v>2059</v>
      </c>
    </row>
    <row r="55" spans="1:9" s="375" customFormat="1" ht="17.5" customHeight="1">
      <c r="A55" s="15">
        <v>547</v>
      </c>
      <c r="B55" s="407" t="s">
        <v>191</v>
      </c>
      <c r="C55" s="407" t="s">
        <v>192</v>
      </c>
      <c r="D55" s="407" t="s">
        <v>193</v>
      </c>
      <c r="E55" s="20" t="s">
        <v>194</v>
      </c>
      <c r="F55" s="15">
        <v>313430003</v>
      </c>
      <c r="G55" s="15">
        <v>1162</v>
      </c>
      <c r="H55" s="17" t="s">
        <v>2332</v>
      </c>
      <c r="I55" s="17" t="s">
        <v>2059</v>
      </c>
    </row>
    <row r="56" spans="1:9" s="375" customFormat="1" ht="17.5" customHeight="1">
      <c r="A56" s="15">
        <v>548</v>
      </c>
      <c r="B56" s="407" t="s">
        <v>195</v>
      </c>
      <c r="C56" s="407" t="s">
        <v>659</v>
      </c>
      <c r="D56" s="407" t="s">
        <v>196</v>
      </c>
      <c r="E56" s="20" t="s">
        <v>197</v>
      </c>
      <c r="F56" s="15">
        <v>300530606</v>
      </c>
      <c r="G56" s="15">
        <v>1346</v>
      </c>
      <c r="H56" s="17" t="s">
        <v>2332</v>
      </c>
      <c r="I56" s="17" t="s">
        <v>2059</v>
      </c>
    </row>
    <row r="57" spans="1:9" s="375" customFormat="1" ht="17.5" customHeight="1">
      <c r="A57" s="15">
        <v>549</v>
      </c>
      <c r="B57" s="407" t="s">
        <v>198</v>
      </c>
      <c r="C57" s="407" t="s">
        <v>199</v>
      </c>
      <c r="D57" s="407" t="s">
        <v>660</v>
      </c>
      <c r="E57" s="20" t="s">
        <v>200</v>
      </c>
      <c r="F57" s="15">
        <v>307252498</v>
      </c>
      <c r="G57" s="15">
        <v>1109</v>
      </c>
      <c r="H57" s="17" t="s">
        <v>2332</v>
      </c>
      <c r="I57" s="17" t="s">
        <v>2059</v>
      </c>
    </row>
    <row r="58" spans="1:9" s="375" customFormat="1" ht="17.5" customHeight="1">
      <c r="A58" s="15">
        <v>550</v>
      </c>
      <c r="B58" s="407" t="s">
        <v>262</v>
      </c>
      <c r="C58" s="407" t="s">
        <v>201</v>
      </c>
      <c r="D58" s="407" t="s">
        <v>202</v>
      </c>
      <c r="E58" s="20" t="s">
        <v>203</v>
      </c>
      <c r="F58" s="15">
        <v>301596465</v>
      </c>
      <c r="G58" s="15">
        <v>1438</v>
      </c>
      <c r="H58" s="17" t="s">
        <v>2332</v>
      </c>
      <c r="I58" s="17" t="s">
        <v>2059</v>
      </c>
    </row>
    <row r="59" spans="1:9" s="375" customFormat="1" ht="17.5" customHeight="1">
      <c r="A59" s="15">
        <v>551</v>
      </c>
      <c r="B59" s="407" t="s">
        <v>661</v>
      </c>
      <c r="C59" s="407" t="s">
        <v>204</v>
      </c>
      <c r="D59" s="407" t="s">
        <v>263</v>
      </c>
      <c r="E59" s="20" t="s">
        <v>205</v>
      </c>
      <c r="F59" s="15">
        <v>199348500</v>
      </c>
      <c r="G59" s="15">
        <v>934</v>
      </c>
      <c r="H59" s="17" t="s">
        <v>2332</v>
      </c>
      <c r="I59" s="17" t="s">
        <v>2059</v>
      </c>
    </row>
    <row r="60" spans="1:9" s="375" customFormat="1" ht="17.5" customHeight="1">
      <c r="A60" s="15">
        <v>552</v>
      </c>
      <c r="B60" s="407" t="s">
        <v>16</v>
      </c>
      <c r="C60" s="407" t="s">
        <v>206</v>
      </c>
      <c r="D60" s="407" t="s">
        <v>207</v>
      </c>
      <c r="E60" s="20" t="s">
        <v>148</v>
      </c>
      <c r="F60" s="15">
        <v>309221675</v>
      </c>
      <c r="G60" s="15">
        <v>1827</v>
      </c>
      <c r="H60" s="17" t="s">
        <v>2332</v>
      </c>
      <c r="I60" s="17" t="s">
        <v>2059</v>
      </c>
    </row>
    <row r="61" spans="1:9" s="375" customFormat="1" ht="17.5" customHeight="1">
      <c r="A61" s="15">
        <v>553</v>
      </c>
      <c r="B61" s="407" t="s">
        <v>208</v>
      </c>
      <c r="C61" s="407" t="s">
        <v>209</v>
      </c>
      <c r="D61" s="407" t="s">
        <v>662</v>
      </c>
      <c r="E61" s="20" t="s">
        <v>210</v>
      </c>
      <c r="F61" s="15">
        <v>200419818</v>
      </c>
      <c r="G61" s="15">
        <v>1563</v>
      </c>
      <c r="H61" s="17" t="s">
        <v>2332</v>
      </c>
      <c r="I61" s="17" t="s">
        <v>2059</v>
      </c>
    </row>
    <row r="62" spans="1:9" s="375" customFormat="1" ht="17.5" customHeight="1">
      <c r="A62" s="15">
        <v>554</v>
      </c>
      <c r="B62" s="9" t="s">
        <v>16</v>
      </c>
      <c r="C62" s="9" t="s">
        <v>49</v>
      </c>
      <c r="D62" s="9" t="s">
        <v>17</v>
      </c>
      <c r="E62" s="20" t="s">
        <v>152</v>
      </c>
      <c r="F62" s="15">
        <v>195203055</v>
      </c>
      <c r="G62" s="15">
        <v>1430</v>
      </c>
      <c r="H62" s="17" t="s">
        <v>2332</v>
      </c>
      <c r="I62" s="17" t="s">
        <v>2059</v>
      </c>
    </row>
    <row r="63" spans="1:9" s="375" customFormat="1" ht="17.5" customHeight="1">
      <c r="A63" s="15">
        <v>555</v>
      </c>
      <c r="B63" s="9" t="s">
        <v>69</v>
      </c>
      <c r="C63" s="9" t="s">
        <v>640</v>
      </c>
      <c r="D63" s="9" t="s">
        <v>128</v>
      </c>
      <c r="E63" s="20" t="s">
        <v>154</v>
      </c>
      <c r="F63" s="15">
        <v>303420145</v>
      </c>
      <c r="G63" s="15">
        <v>939</v>
      </c>
      <c r="H63" s="17" t="s">
        <v>2332</v>
      </c>
      <c r="I63" s="17" t="s">
        <v>2059</v>
      </c>
    </row>
    <row r="64" spans="1:9" s="375" customFormat="1" ht="17.5" customHeight="1">
      <c r="A64" s="15">
        <v>556</v>
      </c>
      <c r="B64" s="9" t="s">
        <v>641</v>
      </c>
      <c r="C64" s="9" t="s">
        <v>642</v>
      </c>
      <c r="D64" s="9" t="s">
        <v>643</v>
      </c>
      <c r="E64" s="20" t="s">
        <v>155</v>
      </c>
      <c r="F64" s="15">
        <v>315619799</v>
      </c>
      <c r="G64" s="15">
        <v>1281</v>
      </c>
      <c r="H64" s="17" t="s">
        <v>2332</v>
      </c>
      <c r="I64" s="17" t="s">
        <v>2059</v>
      </c>
    </row>
    <row r="65" spans="1:9" s="375" customFormat="1" ht="17.5" customHeight="1">
      <c r="A65" s="15">
        <v>557</v>
      </c>
      <c r="B65" s="9" t="s">
        <v>67</v>
      </c>
      <c r="C65" s="9" t="s">
        <v>105</v>
      </c>
      <c r="D65" s="9" t="s">
        <v>129</v>
      </c>
      <c r="E65" s="20" t="s">
        <v>156</v>
      </c>
      <c r="F65" s="15">
        <v>310677459</v>
      </c>
      <c r="G65" s="15">
        <v>1155</v>
      </c>
      <c r="H65" s="17" t="s">
        <v>2332</v>
      </c>
      <c r="I65" s="17" t="s">
        <v>2059</v>
      </c>
    </row>
    <row r="66" spans="1:9" s="375" customFormat="1" ht="17.5" customHeight="1">
      <c r="A66" s="15">
        <v>558</v>
      </c>
      <c r="B66" s="9" t="s">
        <v>86</v>
      </c>
      <c r="C66" s="9" t="s">
        <v>107</v>
      </c>
      <c r="D66" s="9" t="s">
        <v>645</v>
      </c>
      <c r="E66" s="20" t="s">
        <v>159</v>
      </c>
      <c r="F66" s="15">
        <v>304598337</v>
      </c>
      <c r="G66" s="15">
        <v>1313</v>
      </c>
      <c r="H66" s="17" t="s">
        <v>2332</v>
      </c>
      <c r="I66" s="17" t="s">
        <v>2059</v>
      </c>
    </row>
    <row r="67" spans="1:9" s="375" customFormat="1" ht="17.5" customHeight="1">
      <c r="A67" s="15">
        <v>559</v>
      </c>
      <c r="B67" s="407" t="s">
        <v>211</v>
      </c>
      <c r="C67" s="407" t="s">
        <v>212</v>
      </c>
      <c r="D67" s="407" t="s">
        <v>213</v>
      </c>
      <c r="E67" s="20" t="s">
        <v>214</v>
      </c>
      <c r="F67" s="15">
        <v>300530560</v>
      </c>
      <c r="G67" s="15">
        <v>1620</v>
      </c>
      <c r="H67" s="17" t="s">
        <v>2332</v>
      </c>
      <c r="I67" s="17" t="s">
        <v>2059</v>
      </c>
    </row>
    <row r="68" spans="1:9" s="375" customFormat="1" ht="17.5" customHeight="1">
      <c r="A68" s="15">
        <v>560</v>
      </c>
      <c r="B68" s="407" t="s">
        <v>215</v>
      </c>
      <c r="C68" s="407" t="s">
        <v>264</v>
      </c>
      <c r="D68" s="407" t="s">
        <v>216</v>
      </c>
      <c r="E68" s="20" t="s">
        <v>217</v>
      </c>
      <c r="F68" s="15">
        <v>309079934</v>
      </c>
      <c r="G68" s="15">
        <v>1428</v>
      </c>
      <c r="H68" s="17" t="s">
        <v>2332</v>
      </c>
      <c r="I68" s="17" t="s">
        <v>2059</v>
      </c>
    </row>
    <row r="69" spans="1:9" s="375" customFormat="1" ht="17.5" customHeight="1">
      <c r="A69" s="15">
        <v>561</v>
      </c>
      <c r="B69" s="407" t="s">
        <v>218</v>
      </c>
      <c r="C69" s="407" t="s">
        <v>663</v>
      </c>
      <c r="D69" s="407" t="s">
        <v>664</v>
      </c>
      <c r="E69" s="20" t="s">
        <v>219</v>
      </c>
      <c r="F69" s="15">
        <v>309364150</v>
      </c>
      <c r="G69" s="15">
        <v>1182</v>
      </c>
      <c r="H69" s="17" t="s">
        <v>2332</v>
      </c>
      <c r="I69" s="17" t="s">
        <v>2059</v>
      </c>
    </row>
    <row r="70" spans="1:9" s="375" customFormat="1" ht="17.5" customHeight="1">
      <c r="A70" s="15">
        <v>562</v>
      </c>
      <c r="B70" s="407" t="s">
        <v>230</v>
      </c>
      <c r="C70" s="407" t="s">
        <v>231</v>
      </c>
      <c r="D70" s="407" t="s">
        <v>232</v>
      </c>
      <c r="E70" s="20" t="s">
        <v>233</v>
      </c>
      <c r="F70" s="15">
        <v>300344136</v>
      </c>
      <c r="G70" s="15">
        <v>1648</v>
      </c>
      <c r="H70" s="17" t="s">
        <v>2332</v>
      </c>
      <c r="I70" s="17" t="s">
        <v>2059</v>
      </c>
    </row>
    <row r="71" spans="1:9" s="375" customFormat="1" ht="17.5" customHeight="1">
      <c r="A71" s="15">
        <v>563</v>
      </c>
      <c r="B71" s="407" t="s">
        <v>665</v>
      </c>
      <c r="C71" s="407" t="s">
        <v>220</v>
      </c>
      <c r="D71" s="407" t="s">
        <v>221</v>
      </c>
      <c r="E71" s="20" t="s">
        <v>222</v>
      </c>
      <c r="F71" s="15">
        <v>305150164</v>
      </c>
      <c r="G71" s="15">
        <v>836</v>
      </c>
      <c r="H71" s="17" t="s">
        <v>2332</v>
      </c>
      <c r="I71" s="17" t="s">
        <v>2059</v>
      </c>
    </row>
    <row r="72" spans="1:9" s="375" customFormat="1" ht="17.5" customHeight="1">
      <c r="A72" s="15">
        <v>564</v>
      </c>
      <c r="B72" s="407" t="s">
        <v>223</v>
      </c>
      <c r="C72" s="407" t="s">
        <v>38</v>
      </c>
      <c r="D72" s="407" t="s">
        <v>224</v>
      </c>
      <c r="E72" s="20" t="s">
        <v>225</v>
      </c>
      <c r="F72" s="15">
        <v>303919792</v>
      </c>
      <c r="G72" s="15">
        <v>835</v>
      </c>
      <c r="H72" s="17" t="s">
        <v>2332</v>
      </c>
      <c r="I72" s="17" t="s">
        <v>2059</v>
      </c>
    </row>
    <row r="73" spans="1:9" s="375" customFormat="1" ht="17.5" customHeight="1">
      <c r="A73" s="15">
        <v>565</v>
      </c>
      <c r="B73" s="407" t="s">
        <v>25</v>
      </c>
      <c r="C73" s="407" t="s">
        <v>226</v>
      </c>
      <c r="D73" s="407" t="s">
        <v>41</v>
      </c>
      <c r="E73" s="20" t="s">
        <v>227</v>
      </c>
      <c r="F73" s="15">
        <v>322496698</v>
      </c>
      <c r="G73" s="15">
        <v>1055</v>
      </c>
      <c r="H73" s="17" t="s">
        <v>2332</v>
      </c>
      <c r="I73" s="17" t="s">
        <v>2059</v>
      </c>
    </row>
    <row r="74" spans="1:9" s="375" customFormat="1" ht="17.5" customHeight="1">
      <c r="A74" s="15">
        <v>566</v>
      </c>
      <c r="B74" s="407" t="s">
        <v>228</v>
      </c>
      <c r="C74" s="407" t="s">
        <v>666</v>
      </c>
      <c r="D74" s="407" t="s">
        <v>667</v>
      </c>
      <c r="E74" s="20" t="s">
        <v>229</v>
      </c>
      <c r="F74" s="15">
        <v>305150134</v>
      </c>
      <c r="G74" s="15">
        <v>1465</v>
      </c>
      <c r="H74" s="17" t="s">
        <v>2332</v>
      </c>
      <c r="I74" s="17" t="s">
        <v>2059</v>
      </c>
    </row>
    <row r="75" spans="1:9" s="375" customFormat="1" ht="17.5" customHeight="1">
      <c r="A75" s="15">
        <v>567</v>
      </c>
      <c r="B75" s="407" t="s">
        <v>234</v>
      </c>
      <c r="C75" s="407" t="s">
        <v>235</v>
      </c>
      <c r="D75" s="407" t="s">
        <v>236</v>
      </c>
      <c r="E75" s="20" t="s">
        <v>237</v>
      </c>
      <c r="F75" s="15">
        <v>311630043</v>
      </c>
      <c r="G75" s="15">
        <v>1060</v>
      </c>
      <c r="H75" s="17" t="s">
        <v>2332</v>
      </c>
      <c r="I75" s="17" t="s">
        <v>2059</v>
      </c>
    </row>
    <row r="76" spans="1:9" s="375" customFormat="1" ht="17.5" customHeight="1">
      <c r="A76" s="15">
        <v>568</v>
      </c>
      <c r="B76" s="407" t="s">
        <v>238</v>
      </c>
      <c r="C76" s="407" t="s">
        <v>239</v>
      </c>
      <c r="D76" s="407" t="s">
        <v>240</v>
      </c>
      <c r="E76" s="20" t="s">
        <v>241</v>
      </c>
      <c r="F76" s="15">
        <v>301596707</v>
      </c>
      <c r="G76" s="15">
        <v>1146</v>
      </c>
      <c r="H76" s="17" t="s">
        <v>2332</v>
      </c>
      <c r="I76" s="17" t="s">
        <v>2059</v>
      </c>
    </row>
    <row r="77" spans="1:9" s="375" customFormat="1" ht="17.5" customHeight="1">
      <c r="A77" s="15">
        <v>569</v>
      </c>
      <c r="B77" s="407" t="s">
        <v>668</v>
      </c>
      <c r="C77" s="407" t="s">
        <v>26</v>
      </c>
      <c r="D77" s="407" t="s">
        <v>242</v>
      </c>
      <c r="E77" s="20" t="s">
        <v>243</v>
      </c>
      <c r="F77" s="15">
        <v>308710770</v>
      </c>
      <c r="G77" s="15">
        <v>862</v>
      </c>
      <c r="H77" s="17" t="s">
        <v>2332</v>
      </c>
      <c r="I77" s="17" t="s">
        <v>2059</v>
      </c>
    </row>
    <row r="78" spans="1:9" s="375" customFormat="1" ht="17.5" customHeight="1">
      <c r="A78" s="15">
        <v>570</v>
      </c>
      <c r="B78" s="9" t="s">
        <v>267</v>
      </c>
      <c r="C78" s="9" t="s">
        <v>671</v>
      </c>
      <c r="D78" s="9" t="s">
        <v>268</v>
      </c>
      <c r="E78" s="408" t="s">
        <v>269</v>
      </c>
      <c r="F78" s="17">
        <v>303420160</v>
      </c>
      <c r="G78" s="17">
        <v>1388</v>
      </c>
      <c r="H78" s="17" t="s">
        <v>2332</v>
      </c>
      <c r="I78" s="17" t="s">
        <v>2059</v>
      </c>
    </row>
    <row r="79" spans="1:9" s="375" customFormat="1" ht="17.5" customHeight="1">
      <c r="A79" s="15">
        <v>571</v>
      </c>
      <c r="B79" s="407" t="s">
        <v>247</v>
      </c>
      <c r="C79" s="407" t="s">
        <v>248</v>
      </c>
      <c r="D79" s="407" t="s">
        <v>249</v>
      </c>
      <c r="E79" s="20" t="s">
        <v>250</v>
      </c>
      <c r="F79" s="15">
        <v>300229417</v>
      </c>
      <c r="G79" s="15">
        <v>1642</v>
      </c>
      <c r="H79" s="17" t="s">
        <v>2332</v>
      </c>
      <c r="I79" s="17" t="s">
        <v>2059</v>
      </c>
    </row>
    <row r="80" spans="1:9" s="375" customFormat="1" ht="17.5" customHeight="1">
      <c r="A80" s="15">
        <v>572</v>
      </c>
      <c r="B80" s="407" t="s">
        <v>251</v>
      </c>
      <c r="C80" s="407" t="s">
        <v>252</v>
      </c>
      <c r="D80" s="407" t="s">
        <v>253</v>
      </c>
      <c r="E80" s="20" t="s">
        <v>148</v>
      </c>
      <c r="F80" s="15">
        <v>302594768</v>
      </c>
      <c r="G80" s="15">
        <v>1269</v>
      </c>
      <c r="H80" s="17" t="s">
        <v>2332</v>
      </c>
      <c r="I80" s="17" t="s">
        <v>2059</v>
      </c>
    </row>
    <row r="81" spans="1:9" s="373" customFormat="1">
      <c r="A81" s="15">
        <v>573</v>
      </c>
      <c r="B81" s="9" t="s">
        <v>2333</v>
      </c>
      <c r="C81" s="9" t="s">
        <v>2334</v>
      </c>
      <c r="D81" s="9" t="s">
        <v>2335</v>
      </c>
      <c r="E81" s="408" t="s">
        <v>2336</v>
      </c>
      <c r="F81" s="17">
        <v>309221674</v>
      </c>
      <c r="G81" s="17">
        <v>1684</v>
      </c>
      <c r="H81" s="17" t="s">
        <v>2332</v>
      </c>
      <c r="I81" s="17" t="s">
        <v>2059</v>
      </c>
    </row>
    <row r="82" spans="1:9" s="375" customFormat="1" ht="17.5" customHeight="1">
      <c r="A82" s="15">
        <v>574</v>
      </c>
      <c r="B82" s="407" t="s">
        <v>266</v>
      </c>
      <c r="C82" s="407" t="s">
        <v>254</v>
      </c>
      <c r="D82" s="407" t="s">
        <v>670</v>
      </c>
      <c r="E82" s="20" t="s">
        <v>265</v>
      </c>
      <c r="F82" s="15">
        <v>306372439</v>
      </c>
      <c r="G82" s="15">
        <v>875</v>
      </c>
      <c r="H82" s="17" t="s">
        <v>2332</v>
      </c>
      <c r="I82" s="17" t="s">
        <v>2059</v>
      </c>
    </row>
    <row r="83" spans="1:9" s="373" customFormat="1">
      <c r="G83" s="409"/>
      <c r="H83" s="409"/>
      <c r="I83" s="409"/>
    </row>
  </sheetData>
  <mergeCells count="4">
    <mergeCell ref="A1:J1"/>
    <mergeCell ref="A2:J2"/>
    <mergeCell ref="A45:J45"/>
    <mergeCell ref="A46:J46"/>
  </mergeCells>
  <phoneticPr fontId="77" type="noConversion"/>
  <pageMargins left="0" right="0" top="0" bottom="0" header="0" footer="0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>
    <tabColor rgb="FF002060"/>
  </sheetPr>
  <dimension ref="A1:AC195"/>
  <sheetViews>
    <sheetView topLeftCell="A16" workbookViewId="0">
      <selection activeCell="D45" sqref="D45"/>
    </sheetView>
  </sheetViews>
  <sheetFormatPr defaultRowHeight="14.5"/>
  <cols>
    <col min="1" max="1" width="8.81640625" style="12"/>
    <col min="2" max="4" width="22" customWidth="1"/>
    <col min="5" max="5" width="12.81640625" customWidth="1"/>
    <col min="6" max="6" width="16.81640625" style="12" customWidth="1"/>
    <col min="7" max="7" width="12.1796875" style="12" customWidth="1"/>
    <col min="8" max="9" width="8.81640625" style="12"/>
    <col min="10" max="14" width="10" customWidth="1"/>
    <col min="15" max="15" width="13.1796875" customWidth="1"/>
    <col min="16" max="16" width="10" style="538" customWidth="1"/>
  </cols>
  <sheetData>
    <row r="1" spans="1:29" ht="15.5">
      <c r="A1" s="747">
        <v>1</v>
      </c>
      <c r="B1" s="748">
        <v>2</v>
      </c>
      <c r="C1" s="747">
        <v>3</v>
      </c>
      <c r="D1" s="748">
        <v>4</v>
      </c>
      <c r="E1" s="747">
        <v>5</v>
      </c>
      <c r="F1" s="748">
        <v>6</v>
      </c>
      <c r="G1" s="747">
        <v>7</v>
      </c>
      <c r="H1" s="748">
        <v>8</v>
      </c>
      <c r="I1" s="747">
        <v>9</v>
      </c>
      <c r="J1" s="748">
        <v>10</v>
      </c>
      <c r="K1" s="747">
        <v>11</v>
      </c>
      <c r="L1" s="748">
        <v>12</v>
      </c>
      <c r="M1" s="747">
        <v>13</v>
      </c>
      <c r="N1" s="748">
        <v>14</v>
      </c>
      <c r="O1" s="747">
        <v>15</v>
      </c>
      <c r="P1" s="748">
        <v>16</v>
      </c>
      <c r="Q1" s="747">
        <v>17</v>
      </c>
      <c r="R1" s="748">
        <v>18</v>
      </c>
      <c r="S1" s="747">
        <v>19</v>
      </c>
      <c r="T1" s="748">
        <v>20</v>
      </c>
      <c r="U1" s="747">
        <v>21</v>
      </c>
      <c r="V1" s="748">
        <v>22</v>
      </c>
      <c r="W1" s="747">
        <v>23</v>
      </c>
      <c r="X1" s="748">
        <v>24</v>
      </c>
      <c r="Y1" s="747">
        <v>25</v>
      </c>
      <c r="Z1" s="748">
        <v>26</v>
      </c>
      <c r="AA1" s="747">
        <v>27</v>
      </c>
      <c r="AB1" s="748">
        <v>28</v>
      </c>
      <c r="AC1" s="747">
        <v>29</v>
      </c>
    </row>
    <row r="2" spans="1:29" ht="21">
      <c r="A2" s="1217" t="s">
        <v>3023</v>
      </c>
      <c r="B2" s="1217"/>
      <c r="C2" s="1217"/>
      <c r="D2" s="1217"/>
      <c r="E2" s="1217"/>
      <c r="F2" s="1217"/>
      <c r="G2" s="1217"/>
      <c r="H2" s="1217"/>
      <c r="I2" s="1217"/>
      <c r="J2" s="1217"/>
    </row>
    <row r="3" spans="1:29" ht="21.5" thickBot="1">
      <c r="A3" s="1217" t="s">
        <v>3027</v>
      </c>
      <c r="B3" s="1217"/>
      <c r="C3" s="1217"/>
      <c r="D3" s="1217"/>
      <c r="E3" s="1217"/>
      <c r="F3" s="1217"/>
      <c r="G3" s="1217"/>
      <c r="H3" s="1217"/>
      <c r="I3" s="1217"/>
      <c r="J3" s="1218" t="s">
        <v>75</v>
      </c>
      <c r="K3" s="1218"/>
      <c r="L3" s="1218"/>
      <c r="M3" s="1218"/>
      <c r="N3" s="1218"/>
      <c r="O3" s="1218"/>
      <c r="P3" s="539"/>
      <c r="R3" s="1224" t="s">
        <v>506</v>
      </c>
      <c r="S3" s="1224"/>
      <c r="T3" s="1224"/>
      <c r="U3" s="1224"/>
      <c r="V3" s="1224"/>
      <c r="W3" s="1224"/>
      <c r="X3" s="1224"/>
      <c r="Y3" s="1224"/>
      <c r="Z3" s="1224"/>
      <c r="AA3" s="1224"/>
    </row>
    <row r="4" spans="1:29" s="377" customFormat="1" ht="31.75" customHeight="1" thickTop="1">
      <c r="A4" s="1" t="s">
        <v>0</v>
      </c>
      <c r="B4" s="1" t="s">
        <v>1</v>
      </c>
      <c r="C4" s="1" t="s">
        <v>2</v>
      </c>
      <c r="D4" s="1" t="s">
        <v>3</v>
      </c>
      <c r="E4" s="376" t="s">
        <v>4</v>
      </c>
      <c r="F4" s="1" t="s">
        <v>5</v>
      </c>
      <c r="G4" s="4" t="s">
        <v>6</v>
      </c>
      <c r="H4" s="244" t="s">
        <v>7</v>
      </c>
      <c r="I4" s="244" t="s">
        <v>8</v>
      </c>
      <c r="J4" s="516" t="s">
        <v>9</v>
      </c>
      <c r="K4" s="516" t="s">
        <v>3445</v>
      </c>
      <c r="L4" s="516" t="s">
        <v>77</v>
      </c>
      <c r="M4" s="516" t="s">
        <v>3251</v>
      </c>
      <c r="N4" s="516" t="s">
        <v>12</v>
      </c>
      <c r="O4" s="516" t="s">
        <v>3258</v>
      </c>
      <c r="P4" s="541" t="s">
        <v>513</v>
      </c>
      <c r="Q4" s="537" t="s">
        <v>9</v>
      </c>
      <c r="R4" s="537" t="s">
        <v>74</v>
      </c>
      <c r="S4" s="537" t="s">
        <v>3450</v>
      </c>
      <c r="T4" s="537" t="s">
        <v>74</v>
      </c>
      <c r="U4" s="537" t="s">
        <v>3451</v>
      </c>
      <c r="V4" s="537" t="s">
        <v>74</v>
      </c>
      <c r="W4" s="537" t="s">
        <v>3251</v>
      </c>
      <c r="X4" s="537" t="s">
        <v>74</v>
      </c>
      <c r="Y4" s="537" t="s">
        <v>3452</v>
      </c>
      <c r="Z4" s="537" t="s">
        <v>74</v>
      </c>
      <c r="AA4" s="537" t="s">
        <v>3453</v>
      </c>
      <c r="AB4" s="537" t="s">
        <v>74</v>
      </c>
      <c r="AC4" s="535" t="s">
        <v>513</v>
      </c>
    </row>
    <row r="5" spans="1:29" s="419" customFormat="1" ht="15.5">
      <c r="A5" s="420">
        <v>601</v>
      </c>
      <c r="B5" s="242" t="s">
        <v>2354</v>
      </c>
      <c r="C5" s="242" t="s">
        <v>2355</v>
      </c>
      <c r="D5" s="242" t="s">
        <v>2356</v>
      </c>
      <c r="E5" s="241" t="s">
        <v>2357</v>
      </c>
      <c r="F5" s="241">
        <v>304765517</v>
      </c>
      <c r="G5" s="420">
        <v>1254</v>
      </c>
      <c r="H5" s="420" t="s">
        <v>2475</v>
      </c>
      <c r="I5" s="499" t="s">
        <v>2059</v>
      </c>
      <c r="J5" s="515">
        <v>40</v>
      </c>
      <c r="K5" s="515">
        <v>48</v>
      </c>
      <c r="L5" s="515">
        <v>35</v>
      </c>
      <c r="M5" s="515">
        <v>32</v>
      </c>
      <c r="N5" s="515">
        <v>38</v>
      </c>
      <c r="O5" s="515">
        <v>39</v>
      </c>
      <c r="P5" s="540">
        <f>SUM(J5:O5)</f>
        <v>232</v>
      </c>
      <c r="Q5" s="533">
        <v>54</v>
      </c>
      <c r="R5" s="533">
        <v>36</v>
      </c>
      <c r="S5" s="533">
        <v>43</v>
      </c>
      <c r="T5" s="533">
        <v>30</v>
      </c>
      <c r="U5" s="533">
        <v>48</v>
      </c>
      <c r="V5" s="533">
        <v>30</v>
      </c>
      <c r="W5" s="533">
        <v>40</v>
      </c>
      <c r="X5" s="533">
        <v>30</v>
      </c>
      <c r="Y5" s="533">
        <v>52</v>
      </c>
      <c r="Z5" s="533">
        <v>30</v>
      </c>
      <c r="AA5" s="533">
        <v>52</v>
      </c>
      <c r="AB5" s="534">
        <v>30</v>
      </c>
      <c r="AC5" s="536">
        <f>SUM(Q5:AB5)</f>
        <v>475</v>
      </c>
    </row>
    <row r="6" spans="1:29" s="419" customFormat="1" ht="15.5">
      <c r="A6" s="420">
        <v>602</v>
      </c>
      <c r="B6" s="242" t="s">
        <v>2378</v>
      </c>
      <c r="C6" s="242" t="s">
        <v>2379</v>
      </c>
      <c r="D6" s="242" t="s">
        <v>2380</v>
      </c>
      <c r="E6" s="243" t="s">
        <v>2357</v>
      </c>
      <c r="F6" s="241">
        <v>315904973</v>
      </c>
      <c r="G6" s="420">
        <v>1782</v>
      </c>
      <c r="H6" s="420" t="s">
        <v>2475</v>
      </c>
      <c r="I6" s="499" t="s">
        <v>2059</v>
      </c>
      <c r="J6" s="515">
        <v>38</v>
      </c>
      <c r="K6" s="515">
        <v>50</v>
      </c>
      <c r="L6" s="515">
        <v>36</v>
      </c>
      <c r="M6" s="515">
        <v>38</v>
      </c>
      <c r="N6" s="515">
        <v>37</v>
      </c>
      <c r="O6" s="515">
        <v>29</v>
      </c>
      <c r="P6" s="540">
        <f t="shared" ref="P6:P41" si="0">SUM(J6:O6)</f>
        <v>228</v>
      </c>
      <c r="Q6" s="533">
        <v>51</v>
      </c>
      <c r="R6" s="533">
        <v>38</v>
      </c>
      <c r="S6" s="533">
        <v>41</v>
      </c>
      <c r="T6" s="533">
        <v>30</v>
      </c>
      <c r="U6" s="533">
        <v>44</v>
      </c>
      <c r="V6" s="533">
        <v>30</v>
      </c>
      <c r="W6" s="533">
        <v>40</v>
      </c>
      <c r="X6" s="533">
        <v>30</v>
      </c>
      <c r="Y6" s="533">
        <v>44</v>
      </c>
      <c r="Z6" s="533">
        <v>32</v>
      </c>
      <c r="AA6" s="533">
        <v>48</v>
      </c>
      <c r="AB6" s="534">
        <v>31</v>
      </c>
      <c r="AC6" s="536">
        <f t="shared" ref="AC6:AC41" si="1">SUM(Q6:AB6)</f>
        <v>459</v>
      </c>
    </row>
    <row r="7" spans="1:29" s="419" customFormat="1" ht="15.5">
      <c r="A7" s="420">
        <v>603</v>
      </c>
      <c r="B7" s="242" t="s">
        <v>2351</v>
      </c>
      <c r="C7" s="242" t="s">
        <v>2391</v>
      </c>
      <c r="D7" s="242" t="s">
        <v>2392</v>
      </c>
      <c r="E7" s="243" t="s">
        <v>2393</v>
      </c>
      <c r="F7" s="241">
        <v>301980923</v>
      </c>
      <c r="G7" s="420">
        <v>1758</v>
      </c>
      <c r="H7" s="420" t="s">
        <v>2475</v>
      </c>
      <c r="I7" s="499" t="s">
        <v>2059</v>
      </c>
      <c r="J7" s="515">
        <v>23</v>
      </c>
      <c r="K7" s="515">
        <v>29</v>
      </c>
      <c r="L7" s="515">
        <v>22</v>
      </c>
      <c r="M7" s="515">
        <v>27</v>
      </c>
      <c r="N7" s="515">
        <v>24</v>
      </c>
      <c r="O7" s="515">
        <v>22</v>
      </c>
      <c r="P7" s="540">
        <f t="shared" si="0"/>
        <v>147</v>
      </c>
      <c r="Q7" s="533">
        <v>33</v>
      </c>
      <c r="R7" s="533">
        <v>30</v>
      </c>
      <c r="S7" s="533">
        <v>31</v>
      </c>
      <c r="T7" s="533">
        <v>28</v>
      </c>
      <c r="U7" s="533">
        <v>30</v>
      </c>
      <c r="V7" s="533">
        <v>27</v>
      </c>
      <c r="W7" s="533">
        <v>32</v>
      </c>
      <c r="X7" s="533">
        <v>29</v>
      </c>
      <c r="Y7" s="533">
        <v>30</v>
      </c>
      <c r="Z7" s="533">
        <v>28</v>
      </c>
      <c r="AA7" s="533">
        <v>34</v>
      </c>
      <c r="AB7" s="534">
        <v>27</v>
      </c>
      <c r="AC7" s="536">
        <f t="shared" si="1"/>
        <v>359</v>
      </c>
    </row>
    <row r="8" spans="1:29" s="419" customFormat="1" ht="15.5">
      <c r="A8" s="420">
        <v>604</v>
      </c>
      <c r="B8" s="242" t="s">
        <v>2362</v>
      </c>
      <c r="C8" s="242" t="s">
        <v>2363</v>
      </c>
      <c r="D8" s="242" t="s">
        <v>2364</v>
      </c>
      <c r="E8" s="241" t="s">
        <v>2365</v>
      </c>
      <c r="F8" s="241">
        <v>194427256</v>
      </c>
      <c r="G8" s="420">
        <v>953</v>
      </c>
      <c r="H8" s="420" t="s">
        <v>2475</v>
      </c>
      <c r="I8" s="499" t="s">
        <v>2059</v>
      </c>
      <c r="J8" s="515">
        <v>28</v>
      </c>
      <c r="K8" s="515">
        <v>26</v>
      </c>
      <c r="L8" s="515">
        <v>28</v>
      </c>
      <c r="M8" s="515">
        <v>29</v>
      </c>
      <c r="N8" s="515">
        <v>25</v>
      </c>
      <c r="O8" s="515">
        <v>24</v>
      </c>
      <c r="P8" s="540">
        <f t="shared" si="0"/>
        <v>160</v>
      </c>
      <c r="Q8" s="533">
        <v>35</v>
      </c>
      <c r="R8" s="533">
        <v>29</v>
      </c>
      <c r="S8" s="533">
        <v>30</v>
      </c>
      <c r="T8" s="533">
        <v>29</v>
      </c>
      <c r="U8" s="533">
        <v>32</v>
      </c>
      <c r="V8" s="533">
        <v>30</v>
      </c>
      <c r="W8" s="533">
        <v>33</v>
      </c>
      <c r="X8" s="533">
        <v>30</v>
      </c>
      <c r="Y8" s="533">
        <v>31</v>
      </c>
      <c r="Z8" s="533">
        <v>28</v>
      </c>
      <c r="AA8" s="533">
        <v>36</v>
      </c>
      <c r="AB8" s="534">
        <v>29</v>
      </c>
      <c r="AC8" s="536">
        <f t="shared" si="1"/>
        <v>372</v>
      </c>
    </row>
    <row r="9" spans="1:29" s="419" customFormat="1" ht="15.5">
      <c r="A9" s="420">
        <v>605</v>
      </c>
      <c r="B9" s="242" t="s">
        <v>2345</v>
      </c>
      <c r="C9" s="242" t="s">
        <v>2366</v>
      </c>
      <c r="D9" s="242" t="s">
        <v>2367</v>
      </c>
      <c r="E9" s="241" t="s">
        <v>2368</v>
      </c>
      <c r="F9" s="241">
        <v>305150120</v>
      </c>
      <c r="G9" s="420">
        <v>848</v>
      </c>
      <c r="H9" s="420" t="s">
        <v>2475</v>
      </c>
      <c r="I9" s="499" t="s">
        <v>2059</v>
      </c>
      <c r="J9" s="515">
        <v>35</v>
      </c>
      <c r="K9" s="515">
        <v>40</v>
      </c>
      <c r="L9" s="515">
        <v>28</v>
      </c>
      <c r="M9" s="515">
        <v>39</v>
      </c>
      <c r="N9" s="515">
        <v>22</v>
      </c>
      <c r="O9" s="515">
        <v>28</v>
      </c>
      <c r="P9" s="540">
        <f t="shared" si="0"/>
        <v>192</v>
      </c>
      <c r="Q9" s="533">
        <v>43</v>
      </c>
      <c r="R9" s="533">
        <v>30</v>
      </c>
      <c r="S9" s="533">
        <v>38</v>
      </c>
      <c r="T9" s="533">
        <v>30</v>
      </c>
      <c r="U9" s="533">
        <v>42</v>
      </c>
      <c r="V9" s="533">
        <v>29</v>
      </c>
      <c r="W9" s="533">
        <v>40</v>
      </c>
      <c r="X9" s="533">
        <v>30</v>
      </c>
      <c r="Y9" s="533">
        <v>42</v>
      </c>
      <c r="Z9" s="533">
        <v>27</v>
      </c>
      <c r="AA9" s="533">
        <v>37</v>
      </c>
      <c r="AB9" s="534">
        <v>29</v>
      </c>
      <c r="AC9" s="536">
        <f t="shared" si="1"/>
        <v>417</v>
      </c>
    </row>
    <row r="10" spans="1:29" s="419" customFormat="1" ht="15.5">
      <c r="A10" s="420">
        <v>606</v>
      </c>
      <c r="B10" s="242" t="s">
        <v>2346</v>
      </c>
      <c r="C10" s="242" t="s">
        <v>2369</v>
      </c>
      <c r="D10" s="242" t="s">
        <v>2370</v>
      </c>
      <c r="E10" s="241" t="s">
        <v>2371</v>
      </c>
      <c r="F10" s="241">
        <v>303740723</v>
      </c>
      <c r="G10" s="420">
        <v>770</v>
      </c>
      <c r="H10" s="420" t="s">
        <v>2475</v>
      </c>
      <c r="I10" s="499" t="s">
        <v>2059</v>
      </c>
      <c r="J10" s="515">
        <v>39</v>
      </c>
      <c r="K10" s="515">
        <v>32</v>
      </c>
      <c r="L10" s="515">
        <v>25</v>
      </c>
      <c r="M10" s="515">
        <v>34</v>
      </c>
      <c r="N10" s="515">
        <v>26</v>
      </c>
      <c r="O10" s="515">
        <v>28</v>
      </c>
      <c r="P10" s="540">
        <f t="shared" si="0"/>
        <v>184</v>
      </c>
      <c r="Q10" s="533">
        <v>39</v>
      </c>
      <c r="R10" s="533">
        <v>30</v>
      </c>
      <c r="S10" s="533">
        <v>34</v>
      </c>
      <c r="T10" s="533">
        <v>30</v>
      </c>
      <c r="U10" s="533">
        <v>38</v>
      </c>
      <c r="V10" s="533">
        <v>28</v>
      </c>
      <c r="W10" s="533">
        <v>36</v>
      </c>
      <c r="X10" s="533">
        <v>31</v>
      </c>
      <c r="Y10" s="533">
        <v>33</v>
      </c>
      <c r="Z10" s="533">
        <v>29</v>
      </c>
      <c r="AA10" s="533">
        <v>35</v>
      </c>
      <c r="AB10" s="534">
        <v>29</v>
      </c>
      <c r="AC10" s="536">
        <f t="shared" si="1"/>
        <v>392</v>
      </c>
    </row>
    <row r="11" spans="1:29" s="419" customFormat="1" ht="15.5">
      <c r="A11" s="420">
        <v>607</v>
      </c>
      <c r="B11" s="242" t="s">
        <v>2347</v>
      </c>
      <c r="C11" s="242" t="s">
        <v>2372</v>
      </c>
      <c r="D11" s="242" t="s">
        <v>2373</v>
      </c>
      <c r="E11" s="241" t="s">
        <v>2374</v>
      </c>
      <c r="F11" s="241">
        <v>310199613</v>
      </c>
      <c r="G11" s="420">
        <v>828</v>
      </c>
      <c r="H11" s="420" t="s">
        <v>2475</v>
      </c>
      <c r="I11" s="499" t="s">
        <v>2059</v>
      </c>
      <c r="J11" s="515">
        <v>50</v>
      </c>
      <c r="K11" s="515">
        <v>53</v>
      </c>
      <c r="L11" s="515">
        <v>48</v>
      </c>
      <c r="M11" s="515">
        <v>50</v>
      </c>
      <c r="N11" s="515">
        <v>36</v>
      </c>
      <c r="O11" s="515">
        <v>37</v>
      </c>
      <c r="P11" s="540">
        <f t="shared" si="0"/>
        <v>274</v>
      </c>
      <c r="Q11" s="533">
        <v>48</v>
      </c>
      <c r="R11" s="533">
        <v>39</v>
      </c>
      <c r="S11" s="533">
        <v>40</v>
      </c>
      <c r="T11" s="533">
        <v>36</v>
      </c>
      <c r="U11" s="533">
        <v>47</v>
      </c>
      <c r="V11" s="533">
        <v>35</v>
      </c>
      <c r="W11" s="533">
        <v>50</v>
      </c>
      <c r="X11" s="533">
        <v>36</v>
      </c>
      <c r="Y11" s="533">
        <v>45</v>
      </c>
      <c r="Z11" s="533">
        <v>30</v>
      </c>
      <c r="AA11" s="533">
        <v>49</v>
      </c>
      <c r="AB11" s="534">
        <v>30</v>
      </c>
      <c r="AC11" s="536">
        <f t="shared" si="1"/>
        <v>485</v>
      </c>
    </row>
    <row r="12" spans="1:29" s="419" customFormat="1" ht="15.5">
      <c r="A12" s="420">
        <v>608</v>
      </c>
      <c r="B12" s="242" t="s">
        <v>2349</v>
      </c>
      <c r="C12" s="242" t="s">
        <v>2375</v>
      </c>
      <c r="D12" s="242" t="s">
        <v>2376</v>
      </c>
      <c r="E12" s="241" t="s">
        <v>2377</v>
      </c>
      <c r="F12" s="241">
        <v>197058122</v>
      </c>
      <c r="G12" s="420">
        <v>1546</v>
      </c>
      <c r="H12" s="420" t="s">
        <v>2475</v>
      </c>
      <c r="I12" s="499" t="s">
        <v>2059</v>
      </c>
      <c r="J12" s="515">
        <v>54</v>
      </c>
      <c r="K12" s="515">
        <v>56</v>
      </c>
      <c r="L12" s="515">
        <v>48</v>
      </c>
      <c r="M12" s="515">
        <v>50</v>
      </c>
      <c r="N12" s="515">
        <v>55</v>
      </c>
      <c r="O12" s="515">
        <v>51</v>
      </c>
      <c r="P12" s="540">
        <f t="shared" si="0"/>
        <v>314</v>
      </c>
      <c r="Q12" s="533">
        <v>54</v>
      </c>
      <c r="R12" s="533">
        <v>39</v>
      </c>
      <c r="S12" s="533">
        <v>53</v>
      </c>
      <c r="T12" s="533">
        <v>37</v>
      </c>
      <c r="U12" s="533">
        <v>57</v>
      </c>
      <c r="V12" s="533">
        <v>35</v>
      </c>
      <c r="W12" s="533">
        <v>56</v>
      </c>
      <c r="X12" s="533">
        <v>36</v>
      </c>
      <c r="Y12" s="533">
        <v>54</v>
      </c>
      <c r="Z12" s="533">
        <v>37</v>
      </c>
      <c r="AA12" s="533">
        <v>55</v>
      </c>
      <c r="AB12" s="534">
        <v>36</v>
      </c>
      <c r="AC12" s="536">
        <f t="shared" si="1"/>
        <v>549</v>
      </c>
    </row>
    <row r="13" spans="1:29" s="419" customFormat="1" ht="15.5">
      <c r="A13" s="420">
        <v>609</v>
      </c>
      <c r="B13" s="242" t="s">
        <v>2358</v>
      </c>
      <c r="C13" s="242" t="s">
        <v>2359</v>
      </c>
      <c r="D13" s="242" t="s">
        <v>2360</v>
      </c>
      <c r="E13" s="241" t="s">
        <v>2361</v>
      </c>
      <c r="F13" s="241">
        <v>304668921</v>
      </c>
      <c r="G13" s="420">
        <v>1192</v>
      </c>
      <c r="H13" s="420" t="s">
        <v>2475</v>
      </c>
      <c r="I13" s="499" t="s">
        <v>2059</v>
      </c>
      <c r="J13" s="515">
        <v>37</v>
      </c>
      <c r="K13" s="515">
        <v>40</v>
      </c>
      <c r="L13" s="515">
        <v>34</v>
      </c>
      <c r="M13" s="515">
        <v>45</v>
      </c>
      <c r="N13" s="515">
        <v>39</v>
      </c>
      <c r="O13" s="515">
        <v>28</v>
      </c>
      <c r="P13" s="540">
        <f t="shared" si="0"/>
        <v>223</v>
      </c>
      <c r="Q13" s="533">
        <v>47</v>
      </c>
      <c r="R13" s="533">
        <v>30</v>
      </c>
      <c r="S13" s="533">
        <v>38</v>
      </c>
      <c r="T13" s="533">
        <v>30</v>
      </c>
      <c r="U13" s="533">
        <v>39</v>
      </c>
      <c r="V13" s="533">
        <v>29</v>
      </c>
      <c r="W13" s="533">
        <v>48</v>
      </c>
      <c r="X13" s="533">
        <v>32</v>
      </c>
      <c r="Y13" s="533">
        <v>40</v>
      </c>
      <c r="Z13" s="533">
        <v>30</v>
      </c>
      <c r="AA13" s="533">
        <v>43</v>
      </c>
      <c r="AB13" s="534">
        <v>29</v>
      </c>
      <c r="AC13" s="536">
        <f t="shared" si="1"/>
        <v>435</v>
      </c>
    </row>
    <row r="14" spans="1:29" s="419" customFormat="1" ht="15.5">
      <c r="A14" s="420">
        <v>610</v>
      </c>
      <c r="B14" s="242" t="s">
        <v>2348</v>
      </c>
      <c r="C14" s="242" t="s">
        <v>2381</v>
      </c>
      <c r="D14" s="242" t="s">
        <v>2382</v>
      </c>
      <c r="E14" s="241" t="s">
        <v>2383</v>
      </c>
      <c r="F14" s="241">
        <v>307251306</v>
      </c>
      <c r="G14" s="420">
        <v>1490</v>
      </c>
      <c r="H14" s="420" t="s">
        <v>2475</v>
      </c>
      <c r="I14" s="499" t="s">
        <v>2059</v>
      </c>
      <c r="J14" s="515">
        <v>58</v>
      </c>
      <c r="K14" s="515">
        <v>52</v>
      </c>
      <c r="L14" s="515">
        <v>54</v>
      </c>
      <c r="M14" s="515">
        <v>56</v>
      </c>
      <c r="N14" s="515">
        <v>55</v>
      </c>
      <c r="O14" s="515">
        <v>54</v>
      </c>
      <c r="P14" s="540">
        <f t="shared" si="0"/>
        <v>329</v>
      </c>
      <c r="Q14" s="533">
        <v>59</v>
      </c>
      <c r="R14" s="533">
        <v>36</v>
      </c>
      <c r="S14" s="533">
        <v>58</v>
      </c>
      <c r="T14" s="533">
        <v>39</v>
      </c>
      <c r="U14" s="533">
        <v>51</v>
      </c>
      <c r="V14" s="533">
        <v>38</v>
      </c>
      <c r="W14" s="533">
        <v>58</v>
      </c>
      <c r="X14" s="533">
        <v>39</v>
      </c>
      <c r="Y14" s="533">
        <v>50</v>
      </c>
      <c r="Z14" s="533">
        <v>38</v>
      </c>
      <c r="AA14" s="533">
        <v>56</v>
      </c>
      <c r="AB14" s="534">
        <v>38</v>
      </c>
      <c r="AC14" s="536">
        <f t="shared" si="1"/>
        <v>560</v>
      </c>
    </row>
    <row r="15" spans="1:29" s="419" customFormat="1" ht="15.5">
      <c r="A15" s="420">
        <v>611</v>
      </c>
      <c r="B15" s="242" t="s">
        <v>2350</v>
      </c>
      <c r="C15" s="242" t="s">
        <v>2384</v>
      </c>
      <c r="D15" s="242" t="s">
        <v>2385</v>
      </c>
      <c r="E15" s="421">
        <v>41737</v>
      </c>
      <c r="F15" s="241">
        <v>309174606</v>
      </c>
      <c r="G15" s="420">
        <v>1021</v>
      </c>
      <c r="H15" s="420" t="s">
        <v>2475</v>
      </c>
      <c r="I15" s="499" t="s">
        <v>2059</v>
      </c>
      <c r="J15" s="515">
        <v>31</v>
      </c>
      <c r="K15" s="515">
        <v>37</v>
      </c>
      <c r="L15" s="515">
        <v>32</v>
      </c>
      <c r="M15" s="515">
        <v>28</v>
      </c>
      <c r="N15" s="515">
        <v>30</v>
      </c>
      <c r="O15" s="515">
        <v>29</v>
      </c>
      <c r="P15" s="540">
        <f t="shared" si="0"/>
        <v>187</v>
      </c>
      <c r="Q15" s="533">
        <v>37</v>
      </c>
      <c r="R15" s="533">
        <v>30</v>
      </c>
      <c r="S15" s="533">
        <v>34</v>
      </c>
      <c r="T15" s="533">
        <v>30</v>
      </c>
      <c r="U15" s="533">
        <v>32</v>
      </c>
      <c r="V15" s="533">
        <v>31</v>
      </c>
      <c r="W15" s="533">
        <v>46</v>
      </c>
      <c r="X15" s="533">
        <v>29</v>
      </c>
      <c r="Y15" s="533">
        <v>33</v>
      </c>
      <c r="Z15" s="533">
        <v>30</v>
      </c>
      <c r="AA15" s="533">
        <v>36</v>
      </c>
      <c r="AB15" s="534">
        <v>30</v>
      </c>
      <c r="AC15" s="536">
        <f t="shared" si="1"/>
        <v>398</v>
      </c>
    </row>
    <row r="16" spans="1:29" s="419" customFormat="1" ht="15.5">
      <c r="A16" s="420">
        <v>612</v>
      </c>
      <c r="B16" s="242" t="s">
        <v>2352</v>
      </c>
      <c r="C16" s="242" t="s">
        <v>2386</v>
      </c>
      <c r="D16" s="242" t="s">
        <v>3494</v>
      </c>
      <c r="E16" s="241" t="s">
        <v>2387</v>
      </c>
      <c r="F16" s="241">
        <v>310242661</v>
      </c>
      <c r="G16" s="420">
        <v>1631</v>
      </c>
      <c r="H16" s="420" t="s">
        <v>2475</v>
      </c>
      <c r="I16" s="499" t="s">
        <v>2059</v>
      </c>
      <c r="J16" s="515">
        <v>30</v>
      </c>
      <c r="K16" s="515">
        <v>30</v>
      </c>
      <c r="L16" s="515">
        <v>25</v>
      </c>
      <c r="M16" s="515">
        <v>24</v>
      </c>
      <c r="N16" s="515">
        <v>39</v>
      </c>
      <c r="O16" s="515">
        <v>23</v>
      </c>
      <c r="P16" s="540">
        <f t="shared" si="0"/>
        <v>171</v>
      </c>
      <c r="Q16" s="533">
        <v>39</v>
      </c>
      <c r="R16" s="533">
        <v>30</v>
      </c>
      <c r="S16" s="533">
        <v>32</v>
      </c>
      <c r="T16" s="533">
        <v>30</v>
      </c>
      <c r="U16" s="533">
        <v>33</v>
      </c>
      <c r="V16" s="533">
        <v>28</v>
      </c>
      <c r="W16" s="533">
        <v>38</v>
      </c>
      <c r="X16" s="533">
        <v>28</v>
      </c>
      <c r="Y16" s="533">
        <v>35</v>
      </c>
      <c r="Z16" s="533">
        <v>31</v>
      </c>
      <c r="AA16" s="533">
        <v>36</v>
      </c>
      <c r="AB16" s="534">
        <v>28</v>
      </c>
      <c r="AC16" s="536">
        <f t="shared" si="1"/>
        <v>388</v>
      </c>
    </row>
    <row r="17" spans="1:29" s="419" customFormat="1" ht="15.5">
      <c r="A17" s="420">
        <v>613</v>
      </c>
      <c r="B17" s="242" t="s">
        <v>2353</v>
      </c>
      <c r="C17" s="242" t="s">
        <v>2388</v>
      </c>
      <c r="D17" s="242" t="s">
        <v>2389</v>
      </c>
      <c r="E17" s="241" t="s">
        <v>2390</v>
      </c>
      <c r="F17" s="241">
        <v>199742547</v>
      </c>
      <c r="G17" s="420">
        <v>857</v>
      </c>
      <c r="H17" s="420" t="s">
        <v>2475</v>
      </c>
      <c r="I17" s="499" t="s">
        <v>2059</v>
      </c>
      <c r="J17" s="515">
        <v>58</v>
      </c>
      <c r="K17" s="515">
        <v>59</v>
      </c>
      <c r="L17" s="515">
        <v>55</v>
      </c>
      <c r="M17" s="515">
        <v>55</v>
      </c>
      <c r="N17" s="515">
        <v>59</v>
      </c>
      <c r="O17" s="515">
        <v>50</v>
      </c>
      <c r="P17" s="540">
        <f t="shared" si="0"/>
        <v>336</v>
      </c>
      <c r="Q17" s="533">
        <v>59</v>
      </c>
      <c r="R17" s="533">
        <v>39</v>
      </c>
      <c r="S17" s="533">
        <v>58</v>
      </c>
      <c r="T17" s="533">
        <v>38</v>
      </c>
      <c r="U17" s="533">
        <v>59</v>
      </c>
      <c r="V17" s="533">
        <v>36</v>
      </c>
      <c r="W17" s="533">
        <v>59</v>
      </c>
      <c r="X17" s="533">
        <v>38</v>
      </c>
      <c r="Y17" s="533">
        <v>57</v>
      </c>
      <c r="Z17" s="533">
        <v>38</v>
      </c>
      <c r="AA17" s="533">
        <v>58</v>
      </c>
      <c r="AB17" s="534">
        <v>36</v>
      </c>
      <c r="AC17" s="536">
        <f t="shared" si="1"/>
        <v>575</v>
      </c>
    </row>
    <row r="18" spans="1:29" s="419" customFormat="1" ht="15.5">
      <c r="A18" s="420">
        <v>614</v>
      </c>
      <c r="B18" s="242" t="s">
        <v>2394</v>
      </c>
      <c r="C18" s="242" t="s">
        <v>2395</v>
      </c>
      <c r="D18" s="242" t="s">
        <v>2396</v>
      </c>
      <c r="E18" s="241" t="s">
        <v>2397</v>
      </c>
      <c r="F18" s="420">
        <v>189486978</v>
      </c>
      <c r="G18" s="246">
        <v>774</v>
      </c>
      <c r="H18" s="420" t="s">
        <v>2475</v>
      </c>
      <c r="I18" s="499" t="s">
        <v>2059</v>
      </c>
      <c r="J18" s="515">
        <v>35</v>
      </c>
      <c r="K18" s="515">
        <v>35</v>
      </c>
      <c r="L18" s="515">
        <v>36</v>
      </c>
      <c r="M18" s="515">
        <v>40</v>
      </c>
      <c r="N18" s="515">
        <v>35</v>
      </c>
      <c r="O18" s="515">
        <v>34</v>
      </c>
      <c r="P18" s="540">
        <f t="shared" si="0"/>
        <v>215</v>
      </c>
      <c r="Q18" s="533">
        <v>44</v>
      </c>
      <c r="R18" s="533">
        <v>30</v>
      </c>
      <c r="S18" s="533">
        <v>42</v>
      </c>
      <c r="T18" s="533">
        <v>30</v>
      </c>
      <c r="U18" s="533">
        <v>36</v>
      </c>
      <c r="V18" s="533">
        <v>31</v>
      </c>
      <c r="W18" s="533">
        <v>48</v>
      </c>
      <c r="X18" s="533">
        <v>30</v>
      </c>
      <c r="Y18" s="533">
        <v>37</v>
      </c>
      <c r="Z18" s="533">
        <v>39</v>
      </c>
      <c r="AA18" s="533">
        <v>46</v>
      </c>
      <c r="AB18" s="534">
        <v>38</v>
      </c>
      <c r="AC18" s="536">
        <f t="shared" si="1"/>
        <v>451</v>
      </c>
    </row>
    <row r="19" spans="1:29" s="419" customFormat="1" ht="15.5">
      <c r="A19" s="420">
        <v>615</v>
      </c>
      <c r="B19" s="242" t="s">
        <v>2398</v>
      </c>
      <c r="C19" s="242" t="s">
        <v>2399</v>
      </c>
      <c r="D19" s="242" t="s">
        <v>2400</v>
      </c>
      <c r="E19" s="241" t="s">
        <v>2401</v>
      </c>
      <c r="F19" s="420">
        <v>301751772</v>
      </c>
      <c r="G19" s="246">
        <v>831</v>
      </c>
      <c r="H19" s="420" t="s">
        <v>2475</v>
      </c>
      <c r="I19" s="499" t="s">
        <v>2059</v>
      </c>
      <c r="J19" s="515">
        <v>45</v>
      </c>
      <c r="K19" s="515">
        <v>51</v>
      </c>
      <c r="L19" s="515">
        <v>34</v>
      </c>
      <c r="M19" s="515">
        <v>42</v>
      </c>
      <c r="N19" s="515">
        <v>38</v>
      </c>
      <c r="O19" s="515">
        <v>28</v>
      </c>
      <c r="P19" s="540">
        <f t="shared" si="0"/>
        <v>238</v>
      </c>
      <c r="Q19" s="533">
        <v>45</v>
      </c>
      <c r="R19" s="533">
        <v>36</v>
      </c>
      <c r="S19" s="533">
        <v>38</v>
      </c>
      <c r="T19" s="533">
        <v>32</v>
      </c>
      <c r="U19" s="533">
        <v>39</v>
      </c>
      <c r="V19" s="533">
        <v>29</v>
      </c>
      <c r="W19" s="533">
        <v>49</v>
      </c>
      <c r="X19" s="533">
        <v>32</v>
      </c>
      <c r="Y19" s="533">
        <v>35</v>
      </c>
      <c r="Z19" s="533">
        <v>30</v>
      </c>
      <c r="AA19" s="533">
        <v>46</v>
      </c>
      <c r="AB19" s="534">
        <v>29</v>
      </c>
      <c r="AC19" s="536">
        <f t="shared" si="1"/>
        <v>440</v>
      </c>
    </row>
    <row r="20" spans="1:29" s="419" customFormat="1" ht="15.5">
      <c r="A20" s="420">
        <v>616</v>
      </c>
      <c r="B20" s="242" t="s">
        <v>2402</v>
      </c>
      <c r="C20" s="242" t="s">
        <v>2458</v>
      </c>
      <c r="D20" s="242" t="s">
        <v>2459</v>
      </c>
      <c r="E20" s="241" t="s">
        <v>2460</v>
      </c>
      <c r="F20" s="420">
        <v>196853658</v>
      </c>
      <c r="G20" s="246">
        <v>1680</v>
      </c>
      <c r="H20" s="420" t="s">
        <v>2475</v>
      </c>
      <c r="I20" s="499" t="s">
        <v>2059</v>
      </c>
      <c r="J20" s="515">
        <v>25</v>
      </c>
      <c r="K20" s="515">
        <v>22</v>
      </c>
      <c r="L20" s="515">
        <v>27</v>
      </c>
      <c r="M20" s="515">
        <v>26</v>
      </c>
      <c r="N20" s="515">
        <v>24</v>
      </c>
      <c r="O20" s="515">
        <v>25</v>
      </c>
      <c r="P20" s="540">
        <f t="shared" si="0"/>
        <v>149</v>
      </c>
      <c r="Q20" s="533">
        <v>36</v>
      </c>
      <c r="R20" s="533">
        <v>27</v>
      </c>
      <c r="S20" s="533">
        <v>31</v>
      </c>
      <c r="T20" s="533">
        <v>28</v>
      </c>
      <c r="U20" s="533">
        <v>30</v>
      </c>
      <c r="V20" s="533">
        <v>29</v>
      </c>
      <c r="W20" s="533">
        <v>37</v>
      </c>
      <c r="X20" s="533">
        <v>29</v>
      </c>
      <c r="Y20" s="533">
        <v>32</v>
      </c>
      <c r="Z20" s="533">
        <v>28</v>
      </c>
      <c r="AA20" s="533">
        <v>35</v>
      </c>
      <c r="AB20" s="534">
        <v>28</v>
      </c>
      <c r="AC20" s="536">
        <f t="shared" si="1"/>
        <v>370</v>
      </c>
    </row>
    <row r="21" spans="1:29" s="419" customFormat="1" ht="15.5">
      <c r="A21" s="420">
        <v>617</v>
      </c>
      <c r="B21" s="242" t="s">
        <v>2403</v>
      </c>
      <c r="C21" s="242" t="s">
        <v>2404</v>
      </c>
      <c r="D21" s="242" t="s">
        <v>2405</v>
      </c>
      <c r="E21" s="241" t="s">
        <v>2406</v>
      </c>
      <c r="F21" s="420">
        <v>303828759</v>
      </c>
      <c r="G21" s="246">
        <v>1243</v>
      </c>
      <c r="H21" s="420" t="s">
        <v>2475</v>
      </c>
      <c r="I21" s="499" t="s">
        <v>2059</v>
      </c>
      <c r="J21" s="515">
        <v>22</v>
      </c>
      <c r="K21" s="515">
        <v>27</v>
      </c>
      <c r="L21" s="515">
        <v>26</v>
      </c>
      <c r="M21" s="515">
        <v>27</v>
      </c>
      <c r="N21" s="515">
        <v>25</v>
      </c>
      <c r="O21" s="515">
        <v>25</v>
      </c>
      <c r="P21" s="540">
        <f t="shared" si="0"/>
        <v>152</v>
      </c>
      <c r="Q21" s="533">
        <v>39</v>
      </c>
      <c r="R21" s="533">
        <v>29</v>
      </c>
      <c r="S21" s="533">
        <v>33</v>
      </c>
      <c r="T21" s="533">
        <v>27</v>
      </c>
      <c r="U21" s="533">
        <v>34</v>
      </c>
      <c r="V21" s="533">
        <v>29</v>
      </c>
      <c r="W21" s="533">
        <v>32</v>
      </c>
      <c r="X21" s="533">
        <v>29</v>
      </c>
      <c r="Y21" s="533">
        <v>30</v>
      </c>
      <c r="Z21" s="533">
        <v>28</v>
      </c>
      <c r="AA21" s="533">
        <v>34</v>
      </c>
      <c r="AB21" s="534">
        <v>28</v>
      </c>
      <c r="AC21" s="536">
        <f t="shared" si="1"/>
        <v>372</v>
      </c>
    </row>
    <row r="22" spans="1:29" s="419" customFormat="1" ht="15.5">
      <c r="A22" s="420">
        <v>618</v>
      </c>
      <c r="B22" s="242" t="s">
        <v>16</v>
      </c>
      <c r="C22" s="242" t="s">
        <v>1608</v>
      </c>
      <c r="D22" s="242" t="s">
        <v>2461</v>
      </c>
      <c r="E22" s="241" t="s">
        <v>2462</v>
      </c>
      <c r="F22" s="420">
        <v>198152106</v>
      </c>
      <c r="G22" s="246">
        <v>1744</v>
      </c>
      <c r="H22" s="420" t="s">
        <v>2475</v>
      </c>
      <c r="I22" s="499" t="s">
        <v>2059</v>
      </c>
      <c r="J22" s="515">
        <v>27</v>
      </c>
      <c r="K22" s="515">
        <v>23</v>
      </c>
      <c r="L22" s="515">
        <v>27</v>
      </c>
      <c r="M22" s="515">
        <v>28</v>
      </c>
      <c r="N22" s="515">
        <v>24</v>
      </c>
      <c r="O22" s="515">
        <v>25</v>
      </c>
      <c r="P22" s="540">
        <f t="shared" si="0"/>
        <v>154</v>
      </c>
      <c r="Q22" s="533">
        <v>41</v>
      </c>
      <c r="R22" s="533">
        <v>27</v>
      </c>
      <c r="S22" s="533">
        <v>32</v>
      </c>
      <c r="T22" s="533">
        <v>29</v>
      </c>
      <c r="U22" s="533">
        <v>38</v>
      </c>
      <c r="V22" s="533">
        <v>29</v>
      </c>
      <c r="W22" s="533">
        <v>35</v>
      </c>
      <c r="X22" s="533">
        <v>30</v>
      </c>
      <c r="Y22" s="533">
        <v>30</v>
      </c>
      <c r="Z22" s="533">
        <v>29</v>
      </c>
      <c r="AA22" s="533">
        <v>36</v>
      </c>
      <c r="AB22" s="534">
        <v>29</v>
      </c>
      <c r="AC22" s="536">
        <f t="shared" si="1"/>
        <v>385</v>
      </c>
    </row>
    <row r="23" spans="1:29" s="419" customFormat="1" ht="15.5">
      <c r="A23" s="420">
        <v>619</v>
      </c>
      <c r="B23" s="242" t="s">
        <v>2407</v>
      </c>
      <c r="C23" s="242" t="s">
        <v>2408</v>
      </c>
      <c r="D23" s="242" t="s">
        <v>2409</v>
      </c>
      <c r="E23" s="421">
        <v>41857</v>
      </c>
      <c r="F23" s="420">
        <v>319900647</v>
      </c>
      <c r="G23" s="246">
        <v>1425</v>
      </c>
      <c r="H23" s="420" t="s">
        <v>2475</v>
      </c>
      <c r="I23" s="499" t="s">
        <v>2059</v>
      </c>
      <c r="J23" s="515">
        <v>35</v>
      </c>
      <c r="K23" s="515">
        <v>40</v>
      </c>
      <c r="L23" s="515">
        <v>39</v>
      </c>
      <c r="M23" s="515">
        <v>38</v>
      </c>
      <c r="N23" s="515">
        <v>29</v>
      </c>
      <c r="O23" s="515">
        <v>36</v>
      </c>
      <c r="P23" s="540">
        <f t="shared" si="0"/>
        <v>217</v>
      </c>
      <c r="Q23" s="533">
        <v>43</v>
      </c>
      <c r="R23" s="533">
        <v>31</v>
      </c>
      <c r="S23" s="533">
        <v>38</v>
      </c>
      <c r="T23" s="533">
        <v>30</v>
      </c>
      <c r="U23" s="533">
        <v>41</v>
      </c>
      <c r="V23" s="533">
        <v>31</v>
      </c>
      <c r="W23" s="533">
        <v>38</v>
      </c>
      <c r="X23" s="533">
        <v>30</v>
      </c>
      <c r="Y23" s="533">
        <v>30</v>
      </c>
      <c r="Z23" s="533">
        <v>29</v>
      </c>
      <c r="AA23" s="533">
        <v>37</v>
      </c>
      <c r="AB23" s="534">
        <v>28</v>
      </c>
      <c r="AC23" s="536">
        <f t="shared" si="1"/>
        <v>406</v>
      </c>
    </row>
    <row r="24" spans="1:29" s="419" customFormat="1" ht="15.5">
      <c r="A24" s="420">
        <v>620</v>
      </c>
      <c r="B24" s="242" t="s">
        <v>2407</v>
      </c>
      <c r="C24" s="242" t="s">
        <v>2410</v>
      </c>
      <c r="D24" s="242" t="s">
        <v>2411</v>
      </c>
      <c r="E24" s="241" t="s">
        <v>2368</v>
      </c>
      <c r="F24" s="420">
        <v>302536269</v>
      </c>
      <c r="G24" s="246">
        <v>769</v>
      </c>
      <c r="H24" s="420" t="s">
        <v>2475</v>
      </c>
      <c r="I24" s="499" t="s">
        <v>2059</v>
      </c>
      <c r="J24" s="515">
        <v>40</v>
      </c>
      <c r="K24" s="515">
        <v>50</v>
      </c>
      <c r="L24" s="515">
        <v>37</v>
      </c>
      <c r="M24" s="515">
        <v>50</v>
      </c>
      <c r="N24" s="515">
        <v>37</v>
      </c>
      <c r="O24" s="515">
        <v>38</v>
      </c>
      <c r="P24" s="540">
        <f t="shared" si="0"/>
        <v>252</v>
      </c>
      <c r="Q24" s="533">
        <v>49</v>
      </c>
      <c r="R24" s="533">
        <v>36</v>
      </c>
      <c r="S24" s="533">
        <v>40</v>
      </c>
      <c r="T24" s="533">
        <v>30</v>
      </c>
      <c r="U24" s="533">
        <v>39</v>
      </c>
      <c r="V24" s="533">
        <v>29</v>
      </c>
      <c r="W24" s="533">
        <v>54</v>
      </c>
      <c r="X24" s="533">
        <v>35</v>
      </c>
      <c r="Y24" s="533">
        <v>32</v>
      </c>
      <c r="Z24" s="533">
        <v>29</v>
      </c>
      <c r="AA24" s="533">
        <v>44</v>
      </c>
      <c r="AB24" s="534">
        <v>30</v>
      </c>
      <c r="AC24" s="536">
        <f t="shared" si="1"/>
        <v>447</v>
      </c>
    </row>
    <row r="25" spans="1:29" s="419" customFormat="1" ht="15.5">
      <c r="A25" s="420">
        <v>621</v>
      </c>
      <c r="B25" s="242" t="s">
        <v>2412</v>
      </c>
      <c r="C25" s="242" t="s">
        <v>2413</v>
      </c>
      <c r="D25" s="242" t="s">
        <v>2414</v>
      </c>
      <c r="E25" s="421">
        <v>41643</v>
      </c>
      <c r="F25" s="420">
        <v>302209064</v>
      </c>
      <c r="G25" s="246">
        <v>863</v>
      </c>
      <c r="H25" s="420" t="s">
        <v>2475</v>
      </c>
      <c r="I25" s="499" t="s">
        <v>2059</v>
      </c>
      <c r="J25" s="515">
        <v>58</v>
      </c>
      <c r="K25" s="515">
        <v>56</v>
      </c>
      <c r="L25" s="515">
        <v>57</v>
      </c>
      <c r="M25" s="515">
        <v>58</v>
      </c>
      <c r="N25" s="515">
        <v>53</v>
      </c>
      <c r="O25" s="515">
        <v>55</v>
      </c>
      <c r="P25" s="540">
        <f t="shared" si="0"/>
        <v>337</v>
      </c>
      <c r="Q25" s="533">
        <v>58</v>
      </c>
      <c r="R25" s="533">
        <v>39</v>
      </c>
      <c r="S25" s="533">
        <v>56</v>
      </c>
      <c r="T25" s="533">
        <v>38</v>
      </c>
      <c r="U25" s="533">
        <v>50</v>
      </c>
      <c r="V25" s="533">
        <v>39</v>
      </c>
      <c r="W25" s="533">
        <v>55</v>
      </c>
      <c r="X25" s="533">
        <v>38</v>
      </c>
      <c r="Y25" s="533">
        <v>55</v>
      </c>
      <c r="Z25" s="533">
        <v>36</v>
      </c>
      <c r="AA25" s="533">
        <v>56</v>
      </c>
      <c r="AB25" s="534">
        <v>37</v>
      </c>
      <c r="AC25" s="536">
        <f t="shared" si="1"/>
        <v>557</v>
      </c>
    </row>
    <row r="26" spans="1:29" s="419" customFormat="1" ht="15.5">
      <c r="A26" s="420">
        <v>622</v>
      </c>
      <c r="B26" s="242" t="s">
        <v>2415</v>
      </c>
      <c r="C26" s="242" t="s">
        <v>2416</v>
      </c>
      <c r="D26" s="242" t="s">
        <v>2417</v>
      </c>
      <c r="E26" s="241" t="s">
        <v>2418</v>
      </c>
      <c r="F26" s="420">
        <v>305179712</v>
      </c>
      <c r="G26" s="246">
        <v>870</v>
      </c>
      <c r="H26" s="420" t="s">
        <v>2475</v>
      </c>
      <c r="I26" s="499" t="s">
        <v>2059</v>
      </c>
      <c r="J26" s="515">
        <v>28</v>
      </c>
      <c r="K26" s="515">
        <v>36</v>
      </c>
      <c r="L26" s="515">
        <v>29</v>
      </c>
      <c r="M26" s="515">
        <v>27</v>
      </c>
      <c r="N26" s="515">
        <v>24</v>
      </c>
      <c r="O26" s="515">
        <v>20</v>
      </c>
      <c r="P26" s="540">
        <f t="shared" si="0"/>
        <v>164</v>
      </c>
      <c r="Q26" s="533">
        <v>37</v>
      </c>
      <c r="R26" s="533">
        <v>30</v>
      </c>
      <c r="S26" s="533">
        <v>35</v>
      </c>
      <c r="T26" s="533">
        <v>29</v>
      </c>
      <c r="U26" s="533">
        <v>32</v>
      </c>
      <c r="V26" s="533">
        <v>28</v>
      </c>
      <c r="W26" s="533">
        <v>31</v>
      </c>
      <c r="X26" s="533">
        <v>28</v>
      </c>
      <c r="Y26" s="533">
        <v>32</v>
      </c>
      <c r="Z26" s="533">
        <v>27</v>
      </c>
      <c r="AA26" s="533">
        <v>36</v>
      </c>
      <c r="AB26" s="534">
        <v>27</v>
      </c>
      <c r="AC26" s="536">
        <f t="shared" si="1"/>
        <v>372</v>
      </c>
    </row>
    <row r="27" spans="1:29" s="419" customFormat="1" ht="15.5">
      <c r="A27" s="420">
        <v>623</v>
      </c>
      <c r="B27" s="242" t="s">
        <v>2419</v>
      </c>
      <c r="C27" s="242" t="s">
        <v>2420</v>
      </c>
      <c r="D27" s="242" t="s">
        <v>2421</v>
      </c>
      <c r="E27" s="241" t="s">
        <v>2422</v>
      </c>
      <c r="F27" s="420">
        <v>194164008</v>
      </c>
      <c r="G27" s="246">
        <v>1643</v>
      </c>
      <c r="H27" s="420" t="s">
        <v>2475</v>
      </c>
      <c r="I27" s="499" t="s">
        <v>2059</v>
      </c>
      <c r="J27" s="515">
        <v>39</v>
      </c>
      <c r="K27" s="515">
        <v>38</v>
      </c>
      <c r="L27" s="515">
        <v>32</v>
      </c>
      <c r="M27" s="515">
        <v>39</v>
      </c>
      <c r="N27" s="515">
        <v>38</v>
      </c>
      <c r="O27" s="515">
        <v>33</v>
      </c>
      <c r="P27" s="540">
        <f t="shared" si="0"/>
        <v>219</v>
      </c>
      <c r="Q27" s="533">
        <v>35</v>
      </c>
      <c r="R27" s="533">
        <v>30</v>
      </c>
      <c r="S27" s="533">
        <v>34</v>
      </c>
      <c r="T27" s="533">
        <v>30</v>
      </c>
      <c r="U27" s="533">
        <v>39</v>
      </c>
      <c r="V27" s="533">
        <v>29</v>
      </c>
      <c r="W27" s="533">
        <v>37</v>
      </c>
      <c r="X27" s="533">
        <v>30</v>
      </c>
      <c r="Y27" s="533">
        <v>32</v>
      </c>
      <c r="Z27" s="533">
        <v>30</v>
      </c>
      <c r="AA27" s="533">
        <v>39</v>
      </c>
      <c r="AB27" s="534">
        <v>29</v>
      </c>
      <c r="AC27" s="536">
        <f t="shared" si="1"/>
        <v>394</v>
      </c>
    </row>
    <row r="28" spans="1:29" s="419" customFormat="1" ht="15.5">
      <c r="A28" s="420">
        <v>624</v>
      </c>
      <c r="B28" s="242" t="s">
        <v>2423</v>
      </c>
      <c r="C28" s="242" t="s">
        <v>2424</v>
      </c>
      <c r="D28" s="242" t="s">
        <v>2425</v>
      </c>
      <c r="E28" s="241" t="s">
        <v>2426</v>
      </c>
      <c r="F28" s="420">
        <v>307846594</v>
      </c>
      <c r="G28" s="246">
        <v>1218</v>
      </c>
      <c r="H28" s="420" t="s">
        <v>2475</v>
      </c>
      <c r="I28" s="499" t="s">
        <v>2059</v>
      </c>
      <c r="J28" s="515">
        <v>36</v>
      </c>
      <c r="K28" s="515">
        <v>48</v>
      </c>
      <c r="L28" s="515">
        <v>40</v>
      </c>
      <c r="M28" s="515">
        <v>35</v>
      </c>
      <c r="N28" s="515">
        <v>25</v>
      </c>
      <c r="O28" s="515">
        <v>33</v>
      </c>
      <c r="P28" s="540">
        <f t="shared" si="0"/>
        <v>217</v>
      </c>
      <c r="Q28" s="533">
        <v>39</v>
      </c>
      <c r="R28" s="533">
        <v>34</v>
      </c>
      <c r="S28" s="533">
        <v>34</v>
      </c>
      <c r="T28" s="533">
        <v>30</v>
      </c>
      <c r="U28" s="533">
        <v>38</v>
      </c>
      <c r="V28" s="533">
        <v>31</v>
      </c>
      <c r="W28" s="533">
        <v>35</v>
      </c>
      <c r="X28" s="533">
        <v>30</v>
      </c>
      <c r="Y28" s="533">
        <v>30</v>
      </c>
      <c r="Z28" s="533">
        <v>28</v>
      </c>
      <c r="AA28" s="533">
        <v>41</v>
      </c>
      <c r="AB28" s="534">
        <v>29</v>
      </c>
      <c r="AC28" s="536">
        <f t="shared" si="1"/>
        <v>399</v>
      </c>
    </row>
    <row r="29" spans="1:29" s="419" customFormat="1" ht="15.5">
      <c r="A29" s="420">
        <v>625</v>
      </c>
      <c r="B29" s="242" t="s">
        <v>2427</v>
      </c>
      <c r="C29" s="242" t="s">
        <v>2428</v>
      </c>
      <c r="D29" s="242" t="s">
        <v>421</v>
      </c>
      <c r="E29" s="241" t="s">
        <v>2429</v>
      </c>
      <c r="F29" s="420">
        <v>196520887</v>
      </c>
      <c r="G29" s="246">
        <v>1022</v>
      </c>
      <c r="H29" s="420" t="s">
        <v>2475</v>
      </c>
      <c r="I29" s="499" t="s">
        <v>2059</v>
      </c>
      <c r="J29" s="515">
        <v>53</v>
      </c>
      <c r="K29" s="515">
        <v>51</v>
      </c>
      <c r="L29" s="515">
        <v>47</v>
      </c>
      <c r="M29" s="515">
        <v>43</v>
      </c>
      <c r="N29" s="515">
        <v>37</v>
      </c>
      <c r="O29" s="515">
        <v>42</v>
      </c>
      <c r="P29" s="540">
        <f t="shared" si="0"/>
        <v>273</v>
      </c>
      <c r="Q29" s="533">
        <v>54</v>
      </c>
      <c r="R29" s="533">
        <v>35</v>
      </c>
      <c r="S29" s="533">
        <v>49</v>
      </c>
      <c r="T29" s="533">
        <v>37</v>
      </c>
      <c r="U29" s="533">
        <v>50</v>
      </c>
      <c r="V29" s="533">
        <v>34</v>
      </c>
      <c r="W29" s="533">
        <v>51</v>
      </c>
      <c r="X29" s="533">
        <v>31</v>
      </c>
      <c r="Y29" s="533">
        <v>45</v>
      </c>
      <c r="Z29" s="533">
        <v>30</v>
      </c>
      <c r="AA29" s="533">
        <v>53</v>
      </c>
      <c r="AB29" s="534">
        <v>31</v>
      </c>
      <c r="AC29" s="536">
        <f t="shared" si="1"/>
        <v>500</v>
      </c>
    </row>
    <row r="30" spans="1:29" s="419" customFormat="1" ht="15.5">
      <c r="A30" s="420">
        <v>626</v>
      </c>
      <c r="B30" s="242" t="s">
        <v>2430</v>
      </c>
      <c r="C30" s="242" t="s">
        <v>972</v>
      </c>
      <c r="D30" s="242" t="s">
        <v>2431</v>
      </c>
      <c r="E30" s="241" t="s">
        <v>2432</v>
      </c>
      <c r="F30" s="420">
        <v>305150118</v>
      </c>
      <c r="G30" s="246">
        <v>1466</v>
      </c>
      <c r="H30" s="420" t="s">
        <v>2475</v>
      </c>
      <c r="I30" s="499" t="s">
        <v>2059</v>
      </c>
      <c r="J30" s="515">
        <v>54</v>
      </c>
      <c r="K30" s="515">
        <v>56</v>
      </c>
      <c r="L30" s="515">
        <v>56</v>
      </c>
      <c r="M30" s="515">
        <v>51</v>
      </c>
      <c r="N30" s="515">
        <v>50</v>
      </c>
      <c r="O30" s="515">
        <v>52</v>
      </c>
      <c r="P30" s="540">
        <f t="shared" si="0"/>
        <v>319</v>
      </c>
      <c r="Q30" s="533">
        <v>57</v>
      </c>
      <c r="R30" s="533">
        <v>38</v>
      </c>
      <c r="S30" s="533">
        <v>52</v>
      </c>
      <c r="T30" s="533">
        <v>37</v>
      </c>
      <c r="U30" s="533">
        <v>54</v>
      </c>
      <c r="V30" s="533">
        <v>38</v>
      </c>
      <c r="W30" s="533">
        <v>50</v>
      </c>
      <c r="X30" s="533">
        <v>35</v>
      </c>
      <c r="Y30" s="533">
        <v>48</v>
      </c>
      <c r="Z30" s="533">
        <v>35</v>
      </c>
      <c r="AA30" s="533">
        <v>55</v>
      </c>
      <c r="AB30" s="534">
        <v>36</v>
      </c>
      <c r="AC30" s="536">
        <f t="shared" si="1"/>
        <v>535</v>
      </c>
    </row>
    <row r="31" spans="1:29" s="419" customFormat="1" ht="15.5">
      <c r="A31" s="420">
        <v>627</v>
      </c>
      <c r="B31" s="242" t="s">
        <v>2433</v>
      </c>
      <c r="C31" s="242" t="s">
        <v>2434</v>
      </c>
      <c r="D31" s="242" t="s">
        <v>2435</v>
      </c>
      <c r="E31" s="241" t="s">
        <v>2406</v>
      </c>
      <c r="F31" s="420">
        <v>307705325</v>
      </c>
      <c r="G31" s="246">
        <v>1399</v>
      </c>
      <c r="H31" s="420" t="s">
        <v>2475</v>
      </c>
      <c r="I31" s="499" t="s">
        <v>2059</v>
      </c>
      <c r="J31" s="515">
        <v>22</v>
      </c>
      <c r="K31" s="515">
        <v>34</v>
      </c>
      <c r="L31" s="515">
        <v>29</v>
      </c>
      <c r="M31" s="515">
        <v>26</v>
      </c>
      <c r="N31" s="515">
        <v>34</v>
      </c>
      <c r="O31" s="515">
        <v>29</v>
      </c>
      <c r="P31" s="540">
        <f t="shared" si="0"/>
        <v>174</v>
      </c>
      <c r="Q31" s="533">
        <v>35</v>
      </c>
      <c r="R31" s="533">
        <v>29</v>
      </c>
      <c r="S31" s="533">
        <v>31</v>
      </c>
      <c r="T31" s="533">
        <v>27</v>
      </c>
      <c r="U31" s="533">
        <v>34</v>
      </c>
      <c r="V31" s="533">
        <v>30</v>
      </c>
      <c r="W31" s="533">
        <v>30</v>
      </c>
      <c r="X31" s="533">
        <v>29</v>
      </c>
      <c r="Y31" s="533">
        <v>32</v>
      </c>
      <c r="Z31" s="533">
        <v>30</v>
      </c>
      <c r="AA31" s="533">
        <v>34</v>
      </c>
      <c r="AB31" s="534">
        <v>30</v>
      </c>
      <c r="AC31" s="536">
        <f t="shared" si="1"/>
        <v>371</v>
      </c>
    </row>
    <row r="32" spans="1:29" s="419" customFormat="1" ht="15.5">
      <c r="A32" s="420">
        <v>628</v>
      </c>
      <c r="B32" s="242" t="s">
        <v>2440</v>
      </c>
      <c r="C32" s="242" t="s">
        <v>2463</v>
      </c>
      <c r="D32" s="242" t="s">
        <v>2464</v>
      </c>
      <c r="E32" s="241" t="s">
        <v>2465</v>
      </c>
      <c r="F32" s="420">
        <v>199742549</v>
      </c>
      <c r="G32" s="246">
        <v>1828</v>
      </c>
      <c r="H32" s="420" t="s">
        <v>2475</v>
      </c>
      <c r="I32" s="499" t="s">
        <v>2059</v>
      </c>
      <c r="J32" s="515">
        <v>35</v>
      </c>
      <c r="K32" s="515">
        <v>39</v>
      </c>
      <c r="L32" s="515">
        <v>23</v>
      </c>
      <c r="M32" s="515">
        <v>23</v>
      </c>
      <c r="N32" s="515">
        <v>24</v>
      </c>
      <c r="O32" s="515">
        <v>28</v>
      </c>
      <c r="P32" s="540">
        <f t="shared" si="0"/>
        <v>172</v>
      </c>
      <c r="Q32" s="533">
        <v>36</v>
      </c>
      <c r="R32" s="533">
        <v>31</v>
      </c>
      <c r="S32" s="533">
        <v>30</v>
      </c>
      <c r="T32" s="533">
        <v>30</v>
      </c>
      <c r="U32" s="533">
        <v>35</v>
      </c>
      <c r="V32" s="533">
        <v>28</v>
      </c>
      <c r="W32" s="533">
        <v>32</v>
      </c>
      <c r="X32" s="533">
        <v>28</v>
      </c>
      <c r="Y32" s="533">
        <v>30</v>
      </c>
      <c r="Z32" s="533">
        <v>28</v>
      </c>
      <c r="AA32" s="533">
        <v>35</v>
      </c>
      <c r="AB32" s="534">
        <v>29</v>
      </c>
      <c r="AC32" s="536">
        <f t="shared" si="1"/>
        <v>372</v>
      </c>
    </row>
    <row r="33" spans="1:29" s="419" customFormat="1" ht="15.5">
      <c r="A33" s="420">
        <v>629</v>
      </c>
      <c r="B33" s="242" t="s">
        <v>2436</v>
      </c>
      <c r="C33" s="242" t="s">
        <v>2437</v>
      </c>
      <c r="D33" s="242" t="s">
        <v>2438</v>
      </c>
      <c r="E33" s="241" t="s">
        <v>2439</v>
      </c>
      <c r="F33" s="420">
        <v>305179705</v>
      </c>
      <c r="G33" s="246">
        <v>843</v>
      </c>
      <c r="H33" s="420" t="s">
        <v>2475</v>
      </c>
      <c r="I33" s="499" t="s">
        <v>2059</v>
      </c>
      <c r="J33" s="515">
        <v>32</v>
      </c>
      <c r="K33" s="515">
        <v>41</v>
      </c>
      <c r="L33" s="515">
        <v>36</v>
      </c>
      <c r="M33" s="515">
        <v>39</v>
      </c>
      <c r="N33" s="515">
        <v>37</v>
      </c>
      <c r="O33" s="515">
        <v>31</v>
      </c>
      <c r="P33" s="540">
        <f t="shared" si="0"/>
        <v>216</v>
      </c>
      <c r="Q33" s="533">
        <v>44</v>
      </c>
      <c r="R33" s="533">
        <v>32</v>
      </c>
      <c r="S33" s="533">
        <v>38</v>
      </c>
      <c r="T33" s="533">
        <v>30</v>
      </c>
      <c r="U33" s="533">
        <v>39</v>
      </c>
      <c r="V33" s="533">
        <v>31</v>
      </c>
      <c r="W33" s="533">
        <v>43</v>
      </c>
      <c r="X33" s="533">
        <v>31</v>
      </c>
      <c r="Y33" s="533">
        <v>36</v>
      </c>
      <c r="Z33" s="533">
        <v>30</v>
      </c>
      <c r="AA33" s="533">
        <v>46</v>
      </c>
      <c r="AB33" s="534">
        <v>29</v>
      </c>
      <c r="AC33" s="536">
        <f t="shared" si="1"/>
        <v>429</v>
      </c>
    </row>
    <row r="34" spans="1:29" s="419" customFormat="1" ht="15.5">
      <c r="A34" s="420">
        <v>630</v>
      </c>
      <c r="B34" s="242" t="s">
        <v>2444</v>
      </c>
      <c r="C34" s="242" t="s">
        <v>2466</v>
      </c>
      <c r="D34" s="242" t="s">
        <v>2468</v>
      </c>
      <c r="E34" s="241" t="s">
        <v>2469</v>
      </c>
      <c r="F34" s="420">
        <v>199100878</v>
      </c>
      <c r="G34" s="246">
        <v>1773</v>
      </c>
      <c r="H34" s="420" t="s">
        <v>2475</v>
      </c>
      <c r="I34" s="499" t="s">
        <v>2059</v>
      </c>
      <c r="J34" s="515">
        <v>43</v>
      </c>
      <c r="K34" s="515">
        <v>41</v>
      </c>
      <c r="L34" s="515">
        <v>34</v>
      </c>
      <c r="M34" s="515">
        <v>39</v>
      </c>
      <c r="N34" s="515">
        <v>32</v>
      </c>
      <c r="O34" s="515">
        <v>38</v>
      </c>
      <c r="P34" s="540">
        <f t="shared" si="0"/>
        <v>227</v>
      </c>
      <c r="Q34" s="533">
        <v>47</v>
      </c>
      <c r="R34" s="533">
        <v>33</v>
      </c>
      <c r="S34" s="533">
        <v>45</v>
      </c>
      <c r="T34" s="533">
        <v>33</v>
      </c>
      <c r="U34" s="533">
        <v>54</v>
      </c>
      <c r="V34" s="533">
        <v>30</v>
      </c>
      <c r="W34" s="533">
        <v>48</v>
      </c>
      <c r="X34" s="533">
        <v>31</v>
      </c>
      <c r="Y34" s="533">
        <v>35</v>
      </c>
      <c r="Z34" s="533">
        <v>30</v>
      </c>
      <c r="AA34" s="533">
        <v>49</v>
      </c>
      <c r="AB34" s="534">
        <v>31</v>
      </c>
      <c r="AC34" s="536">
        <f t="shared" si="1"/>
        <v>466</v>
      </c>
    </row>
    <row r="35" spans="1:29" s="419" customFormat="1" ht="15.5">
      <c r="A35" s="420">
        <v>631</v>
      </c>
      <c r="B35" s="242" t="s">
        <v>2445</v>
      </c>
      <c r="C35" s="242" t="s">
        <v>2470</v>
      </c>
      <c r="D35" s="242" t="s">
        <v>2471</v>
      </c>
      <c r="E35" s="241" t="s">
        <v>2472</v>
      </c>
      <c r="F35" s="420">
        <v>197918368</v>
      </c>
      <c r="G35" s="246">
        <v>1769</v>
      </c>
      <c r="H35" s="420" t="s">
        <v>2475</v>
      </c>
      <c r="I35" s="499" t="s">
        <v>2059</v>
      </c>
      <c r="J35" s="515">
        <v>44</v>
      </c>
      <c r="K35" s="515">
        <v>43</v>
      </c>
      <c r="L35" s="515">
        <v>44</v>
      </c>
      <c r="M35" s="515">
        <v>30</v>
      </c>
      <c r="N35" s="515">
        <v>39</v>
      </c>
      <c r="O35" s="515">
        <v>38</v>
      </c>
      <c r="P35" s="540">
        <f t="shared" si="0"/>
        <v>238</v>
      </c>
      <c r="Q35" s="533">
        <v>49</v>
      </c>
      <c r="R35" s="533">
        <v>30</v>
      </c>
      <c r="S35" s="533">
        <v>39</v>
      </c>
      <c r="T35" s="533">
        <v>32</v>
      </c>
      <c r="U35" s="533">
        <v>49</v>
      </c>
      <c r="V35" s="533">
        <v>32</v>
      </c>
      <c r="W35" s="533">
        <v>38</v>
      </c>
      <c r="X35" s="533">
        <v>25</v>
      </c>
      <c r="Y35" s="533">
        <v>40</v>
      </c>
      <c r="Z35" s="533">
        <v>30</v>
      </c>
      <c r="AA35" s="533">
        <v>47</v>
      </c>
      <c r="AB35" s="534">
        <v>30</v>
      </c>
      <c r="AC35" s="536">
        <f t="shared" si="1"/>
        <v>441</v>
      </c>
    </row>
    <row r="36" spans="1:29" s="419" customFormat="1" ht="15.5">
      <c r="A36" s="420">
        <v>632</v>
      </c>
      <c r="B36" s="242" t="s">
        <v>2441</v>
      </c>
      <c r="C36" s="242" t="s">
        <v>916</v>
      </c>
      <c r="D36" s="242" t="s">
        <v>2442</v>
      </c>
      <c r="E36" s="241" t="s">
        <v>2443</v>
      </c>
      <c r="F36" s="420">
        <v>305179707</v>
      </c>
      <c r="G36" s="246">
        <v>872</v>
      </c>
      <c r="H36" s="420" t="s">
        <v>2475</v>
      </c>
      <c r="I36" s="499" t="s">
        <v>2059</v>
      </c>
      <c r="J36" s="515">
        <v>38</v>
      </c>
      <c r="K36" s="515">
        <v>28</v>
      </c>
      <c r="L36" s="515">
        <v>34</v>
      </c>
      <c r="M36" s="515">
        <v>28</v>
      </c>
      <c r="N36" s="515">
        <v>27</v>
      </c>
      <c r="O36" s="515">
        <v>25</v>
      </c>
      <c r="P36" s="540">
        <f t="shared" si="0"/>
        <v>180</v>
      </c>
      <c r="Q36" s="533">
        <v>39</v>
      </c>
      <c r="R36" s="533">
        <v>29</v>
      </c>
      <c r="S36" s="533">
        <v>31</v>
      </c>
      <c r="T36" s="533">
        <v>30</v>
      </c>
      <c r="U36" s="533">
        <v>38</v>
      </c>
      <c r="V36" s="533">
        <v>28</v>
      </c>
      <c r="W36" s="533">
        <v>30</v>
      </c>
      <c r="X36" s="533">
        <v>29</v>
      </c>
      <c r="Y36" s="533">
        <v>32</v>
      </c>
      <c r="Z36" s="533">
        <v>29</v>
      </c>
      <c r="AA36" s="533">
        <v>36</v>
      </c>
      <c r="AB36" s="534">
        <v>28</v>
      </c>
      <c r="AC36" s="536">
        <f t="shared" si="1"/>
        <v>379</v>
      </c>
    </row>
    <row r="37" spans="1:29" ht="15.5">
      <c r="A37" s="420">
        <v>633</v>
      </c>
      <c r="B37" s="242" t="s">
        <v>2446</v>
      </c>
      <c r="C37" s="242" t="s">
        <v>47</v>
      </c>
      <c r="D37" s="242" t="s">
        <v>1288</v>
      </c>
      <c r="E37" s="421">
        <v>41680</v>
      </c>
      <c r="F37" s="420">
        <v>303427019</v>
      </c>
      <c r="G37" s="246">
        <v>874</v>
      </c>
      <c r="H37" s="420" t="s">
        <v>2475</v>
      </c>
      <c r="I37" s="499" t="s">
        <v>2059</v>
      </c>
      <c r="J37" s="515">
        <v>31</v>
      </c>
      <c r="K37" s="515">
        <v>39</v>
      </c>
      <c r="L37" s="515">
        <v>30</v>
      </c>
      <c r="M37" s="515">
        <v>39</v>
      </c>
      <c r="N37" s="515">
        <v>35</v>
      </c>
      <c r="O37" s="515">
        <v>32</v>
      </c>
      <c r="P37" s="540">
        <f t="shared" si="0"/>
        <v>206</v>
      </c>
      <c r="Q37" s="533">
        <v>37</v>
      </c>
      <c r="R37" s="533">
        <v>30</v>
      </c>
      <c r="S37" s="533">
        <v>34</v>
      </c>
      <c r="T37" s="533">
        <v>27</v>
      </c>
      <c r="U37" s="533">
        <v>32</v>
      </c>
      <c r="V37" s="533">
        <v>27</v>
      </c>
      <c r="W37" s="533">
        <v>31</v>
      </c>
      <c r="X37" s="533">
        <v>30</v>
      </c>
      <c r="Y37" s="533">
        <v>30</v>
      </c>
      <c r="Z37" s="533">
        <v>29</v>
      </c>
      <c r="AA37" s="533">
        <v>35</v>
      </c>
      <c r="AB37" s="534">
        <v>29</v>
      </c>
      <c r="AC37" s="536">
        <f t="shared" si="1"/>
        <v>371</v>
      </c>
    </row>
    <row r="38" spans="1:29" ht="15.5">
      <c r="A38" s="420">
        <v>634</v>
      </c>
      <c r="B38" s="242" t="s">
        <v>2447</v>
      </c>
      <c r="C38" s="242" t="s">
        <v>2473</v>
      </c>
      <c r="D38" s="242" t="s">
        <v>797</v>
      </c>
      <c r="E38" s="241" t="s">
        <v>2474</v>
      </c>
      <c r="F38" s="420">
        <v>195136331</v>
      </c>
      <c r="G38" s="246">
        <v>1361</v>
      </c>
      <c r="H38" s="420" t="s">
        <v>2475</v>
      </c>
      <c r="I38" s="499" t="s">
        <v>2059</v>
      </c>
      <c r="J38" s="515">
        <v>37</v>
      </c>
      <c r="K38" s="515">
        <v>32</v>
      </c>
      <c r="L38" s="515">
        <v>29</v>
      </c>
      <c r="M38" s="515">
        <v>30</v>
      </c>
      <c r="N38" s="515">
        <v>28</v>
      </c>
      <c r="O38" s="515">
        <v>29</v>
      </c>
      <c r="P38" s="540">
        <f t="shared" si="0"/>
        <v>185</v>
      </c>
      <c r="Q38" s="533">
        <v>39</v>
      </c>
      <c r="R38" s="533">
        <v>26</v>
      </c>
      <c r="S38" s="533">
        <v>31</v>
      </c>
      <c r="T38" s="533">
        <v>28</v>
      </c>
      <c r="U38" s="533">
        <v>34</v>
      </c>
      <c r="V38" s="533">
        <v>24</v>
      </c>
      <c r="W38" s="533">
        <v>32</v>
      </c>
      <c r="X38" s="533">
        <v>26</v>
      </c>
      <c r="Y38" s="533">
        <v>30</v>
      </c>
      <c r="Z38" s="533">
        <v>29</v>
      </c>
      <c r="AA38" s="533">
        <v>41</v>
      </c>
      <c r="AB38" s="534">
        <v>28</v>
      </c>
      <c r="AC38" s="536">
        <f t="shared" si="1"/>
        <v>368</v>
      </c>
    </row>
    <row r="39" spans="1:29" ht="15.5">
      <c r="A39" s="420">
        <v>635</v>
      </c>
      <c r="B39" s="242" t="s">
        <v>2448</v>
      </c>
      <c r="C39" s="242" t="s">
        <v>2449</v>
      </c>
      <c r="D39" s="242" t="s">
        <v>2450</v>
      </c>
      <c r="E39" s="421">
        <v>41644</v>
      </c>
      <c r="F39" s="420">
        <v>301339824</v>
      </c>
      <c r="G39" s="246">
        <v>1382</v>
      </c>
      <c r="H39" s="420" t="s">
        <v>2475</v>
      </c>
      <c r="I39" s="499" t="s">
        <v>2059</v>
      </c>
      <c r="J39" s="515">
        <v>55</v>
      </c>
      <c r="K39" s="515">
        <v>58</v>
      </c>
      <c r="L39" s="515">
        <v>50</v>
      </c>
      <c r="M39" s="515">
        <v>52</v>
      </c>
      <c r="N39" s="515">
        <v>53</v>
      </c>
      <c r="O39" s="515">
        <v>51</v>
      </c>
      <c r="P39" s="540">
        <f t="shared" si="0"/>
        <v>319</v>
      </c>
      <c r="Q39" s="533">
        <v>57</v>
      </c>
      <c r="R39" s="533">
        <v>38</v>
      </c>
      <c r="S39" s="533">
        <v>55</v>
      </c>
      <c r="T39" s="533">
        <v>36</v>
      </c>
      <c r="U39" s="533">
        <v>56</v>
      </c>
      <c r="V39" s="533">
        <v>35</v>
      </c>
      <c r="W39" s="533">
        <v>58</v>
      </c>
      <c r="X39" s="533">
        <v>35</v>
      </c>
      <c r="Y39" s="533">
        <v>50</v>
      </c>
      <c r="Z39" s="533">
        <v>37</v>
      </c>
      <c r="AA39" s="533">
        <v>56</v>
      </c>
      <c r="AB39" s="534">
        <v>35</v>
      </c>
      <c r="AC39" s="536">
        <f t="shared" si="1"/>
        <v>548</v>
      </c>
    </row>
    <row r="40" spans="1:29" ht="15.5">
      <c r="A40" s="420">
        <v>636</v>
      </c>
      <c r="B40" s="242" t="s">
        <v>2451</v>
      </c>
      <c r="C40" s="242" t="s">
        <v>3495</v>
      </c>
      <c r="D40" s="242" t="s">
        <v>2452</v>
      </c>
      <c r="E40" s="241" t="s">
        <v>2453</v>
      </c>
      <c r="F40" s="420">
        <v>198482511</v>
      </c>
      <c r="G40" s="246">
        <v>1641</v>
      </c>
      <c r="H40" s="420" t="s">
        <v>2475</v>
      </c>
      <c r="I40" s="499" t="s">
        <v>2059</v>
      </c>
      <c r="J40" s="515">
        <v>39</v>
      </c>
      <c r="K40" s="515">
        <v>37</v>
      </c>
      <c r="L40" s="515">
        <v>28</v>
      </c>
      <c r="M40" s="515">
        <v>37</v>
      </c>
      <c r="N40" s="515">
        <v>24</v>
      </c>
      <c r="O40" s="515">
        <v>24</v>
      </c>
      <c r="P40" s="540">
        <f t="shared" si="0"/>
        <v>189</v>
      </c>
      <c r="Q40" s="533">
        <v>39</v>
      </c>
      <c r="R40" s="533">
        <v>29</v>
      </c>
      <c r="S40" s="533">
        <v>32</v>
      </c>
      <c r="T40" s="533">
        <v>30</v>
      </c>
      <c r="U40" s="533">
        <v>38</v>
      </c>
      <c r="V40" s="533">
        <v>29</v>
      </c>
      <c r="W40" s="533">
        <v>35</v>
      </c>
      <c r="X40" s="533">
        <v>28</v>
      </c>
      <c r="Y40" s="533">
        <v>30</v>
      </c>
      <c r="Z40" s="533">
        <v>28</v>
      </c>
      <c r="AA40" s="533">
        <v>37</v>
      </c>
      <c r="AB40" s="534">
        <v>28</v>
      </c>
      <c r="AC40" s="536">
        <f t="shared" si="1"/>
        <v>383</v>
      </c>
    </row>
    <row r="41" spans="1:29" ht="15.5">
      <c r="A41" s="420">
        <v>637</v>
      </c>
      <c r="B41" s="242" t="s">
        <v>2454</v>
      </c>
      <c r="C41" s="242" t="s">
        <v>2455</v>
      </c>
      <c r="D41" s="242" t="s">
        <v>2456</v>
      </c>
      <c r="E41" s="241" t="s">
        <v>2457</v>
      </c>
      <c r="F41" s="420">
        <v>321873782</v>
      </c>
      <c r="G41" s="246">
        <v>1000</v>
      </c>
      <c r="H41" s="420" t="s">
        <v>2475</v>
      </c>
      <c r="I41" s="499" t="s">
        <v>2059</v>
      </c>
      <c r="J41" s="515">
        <v>35</v>
      </c>
      <c r="K41" s="515">
        <v>40</v>
      </c>
      <c r="L41" s="515">
        <v>31</v>
      </c>
      <c r="M41" s="515">
        <v>30</v>
      </c>
      <c r="N41" s="515">
        <v>37</v>
      </c>
      <c r="O41" s="515">
        <v>32</v>
      </c>
      <c r="P41" s="540">
        <f t="shared" si="0"/>
        <v>205</v>
      </c>
      <c r="Q41" s="533">
        <v>44</v>
      </c>
      <c r="R41" s="533">
        <v>30</v>
      </c>
      <c r="S41" s="533">
        <v>39</v>
      </c>
      <c r="T41" s="533">
        <v>29</v>
      </c>
      <c r="U41" s="533">
        <v>45</v>
      </c>
      <c r="V41" s="533">
        <v>28</v>
      </c>
      <c r="W41" s="533">
        <v>40</v>
      </c>
      <c r="X41" s="533">
        <v>28</v>
      </c>
      <c r="Y41" s="533">
        <v>33</v>
      </c>
      <c r="Z41" s="533">
        <v>29</v>
      </c>
      <c r="AA41" s="533">
        <v>46</v>
      </c>
      <c r="AB41" s="534">
        <v>28</v>
      </c>
      <c r="AC41" s="536">
        <f t="shared" si="1"/>
        <v>419</v>
      </c>
    </row>
    <row r="42" spans="1:29">
      <c r="E42" s="418"/>
    </row>
    <row r="43" spans="1:29">
      <c r="E43" s="418"/>
    </row>
    <row r="44" spans="1:29">
      <c r="E44" s="418"/>
    </row>
    <row r="45" spans="1:29">
      <c r="E45" s="418"/>
    </row>
    <row r="46" spans="1:29">
      <c r="E46" s="418"/>
    </row>
    <row r="47" spans="1:29">
      <c r="E47" s="418"/>
    </row>
    <row r="48" spans="1:29">
      <c r="E48" s="418"/>
    </row>
    <row r="49" spans="5:5">
      <c r="E49" s="418"/>
    </row>
    <row r="50" spans="5:5">
      <c r="E50" s="418"/>
    </row>
    <row r="51" spans="5:5">
      <c r="E51" s="418"/>
    </row>
    <row r="52" spans="5:5">
      <c r="E52" s="418"/>
    </row>
    <row r="53" spans="5:5">
      <c r="E53" s="418"/>
    </row>
    <row r="54" spans="5:5">
      <c r="E54" s="418"/>
    </row>
    <row r="55" spans="5:5">
      <c r="E55" s="418"/>
    </row>
    <row r="56" spans="5:5">
      <c r="E56" s="418"/>
    </row>
    <row r="57" spans="5:5">
      <c r="E57" s="418"/>
    </row>
    <row r="58" spans="5:5">
      <c r="E58" s="418"/>
    </row>
    <row r="59" spans="5:5">
      <c r="E59" s="418"/>
    </row>
    <row r="60" spans="5:5">
      <c r="E60" s="418"/>
    </row>
    <row r="61" spans="5:5">
      <c r="E61" s="418"/>
    </row>
    <row r="62" spans="5:5">
      <c r="E62" s="418"/>
    </row>
    <row r="63" spans="5:5">
      <c r="E63" s="418"/>
    </row>
    <row r="64" spans="5:5">
      <c r="E64" s="418"/>
    </row>
    <row r="65" spans="5:5">
      <c r="E65" s="418"/>
    </row>
    <row r="66" spans="5:5">
      <c r="E66" s="418"/>
    </row>
    <row r="67" spans="5:5">
      <c r="E67" s="418"/>
    </row>
    <row r="68" spans="5:5">
      <c r="E68" s="418"/>
    </row>
    <row r="69" spans="5:5">
      <c r="E69" s="418"/>
    </row>
    <row r="70" spans="5:5">
      <c r="E70" s="418"/>
    </row>
    <row r="71" spans="5:5">
      <c r="E71" s="418"/>
    </row>
    <row r="72" spans="5:5">
      <c r="E72" s="418"/>
    </row>
    <row r="73" spans="5:5">
      <c r="E73" s="418"/>
    </row>
    <row r="74" spans="5:5">
      <c r="E74" s="418"/>
    </row>
    <row r="75" spans="5:5">
      <c r="E75" s="418"/>
    </row>
    <row r="76" spans="5:5">
      <c r="E76" s="418"/>
    </row>
    <row r="77" spans="5:5">
      <c r="E77" s="418"/>
    </row>
    <row r="78" spans="5:5">
      <c r="E78" s="418"/>
    </row>
    <row r="79" spans="5:5">
      <c r="E79" s="418"/>
    </row>
    <row r="80" spans="5:5">
      <c r="E80" s="418"/>
    </row>
    <row r="81" spans="5:5">
      <c r="E81" s="418"/>
    </row>
    <row r="82" spans="5:5">
      <c r="E82" s="418"/>
    </row>
    <row r="83" spans="5:5">
      <c r="E83" s="418"/>
    </row>
    <row r="84" spans="5:5">
      <c r="E84" s="418"/>
    </row>
    <row r="85" spans="5:5">
      <c r="E85" s="418"/>
    </row>
    <row r="86" spans="5:5">
      <c r="E86" s="418"/>
    </row>
    <row r="87" spans="5:5">
      <c r="E87" s="418"/>
    </row>
    <row r="88" spans="5:5">
      <c r="E88" s="418"/>
    </row>
    <row r="89" spans="5:5">
      <c r="E89" s="418"/>
    </row>
    <row r="90" spans="5:5">
      <c r="E90" s="418"/>
    </row>
    <row r="91" spans="5:5">
      <c r="E91" s="418"/>
    </row>
    <row r="92" spans="5:5">
      <c r="E92" s="418"/>
    </row>
    <row r="93" spans="5:5">
      <c r="E93" s="418"/>
    </row>
    <row r="94" spans="5:5">
      <c r="E94" s="418"/>
    </row>
    <row r="95" spans="5:5">
      <c r="E95" s="418"/>
    </row>
    <row r="96" spans="5:5">
      <c r="E96" s="418"/>
    </row>
    <row r="97" spans="5:5">
      <c r="E97" s="418"/>
    </row>
    <row r="98" spans="5:5">
      <c r="E98" s="418"/>
    </row>
    <row r="99" spans="5:5">
      <c r="E99" s="418"/>
    </row>
    <row r="100" spans="5:5">
      <c r="E100" s="418"/>
    </row>
    <row r="101" spans="5:5">
      <c r="E101" s="418"/>
    </row>
    <row r="102" spans="5:5">
      <c r="E102" s="418"/>
    </row>
    <row r="103" spans="5:5">
      <c r="E103" s="418"/>
    </row>
    <row r="104" spans="5:5">
      <c r="E104" s="418"/>
    </row>
    <row r="105" spans="5:5">
      <c r="E105" s="418"/>
    </row>
    <row r="106" spans="5:5">
      <c r="E106" s="418"/>
    </row>
    <row r="107" spans="5:5">
      <c r="E107" s="418"/>
    </row>
    <row r="108" spans="5:5">
      <c r="E108" s="418"/>
    </row>
    <row r="109" spans="5:5">
      <c r="E109" s="418"/>
    </row>
    <row r="110" spans="5:5">
      <c r="E110" s="418"/>
    </row>
    <row r="111" spans="5:5">
      <c r="E111" s="418"/>
    </row>
    <row r="112" spans="5:5">
      <c r="E112" s="418"/>
    </row>
    <row r="113" spans="5:5">
      <c r="E113" s="418"/>
    </row>
    <row r="114" spans="5:5">
      <c r="E114" s="418"/>
    </row>
    <row r="115" spans="5:5">
      <c r="E115" s="418"/>
    </row>
    <row r="116" spans="5:5">
      <c r="E116" s="418"/>
    </row>
    <row r="117" spans="5:5">
      <c r="E117" s="418"/>
    </row>
    <row r="118" spans="5:5">
      <c r="E118" s="418"/>
    </row>
    <row r="119" spans="5:5">
      <c r="E119" s="418"/>
    </row>
    <row r="120" spans="5:5">
      <c r="E120" s="418"/>
    </row>
    <row r="121" spans="5:5">
      <c r="E121" s="418"/>
    </row>
    <row r="122" spans="5:5">
      <c r="E122" s="418"/>
    </row>
    <row r="123" spans="5:5">
      <c r="E123" s="418"/>
    </row>
    <row r="124" spans="5:5">
      <c r="E124" s="418"/>
    </row>
    <row r="125" spans="5:5">
      <c r="E125" s="418"/>
    </row>
    <row r="126" spans="5:5">
      <c r="E126" s="418"/>
    </row>
    <row r="127" spans="5:5">
      <c r="E127" s="418"/>
    </row>
    <row r="128" spans="5:5">
      <c r="E128" s="418"/>
    </row>
    <row r="129" spans="5:5">
      <c r="E129" s="418"/>
    </row>
    <row r="130" spans="5:5">
      <c r="E130" s="418"/>
    </row>
    <row r="131" spans="5:5">
      <c r="E131" s="418"/>
    </row>
    <row r="132" spans="5:5">
      <c r="E132" s="418"/>
    </row>
    <row r="133" spans="5:5">
      <c r="E133" s="418"/>
    </row>
    <row r="134" spans="5:5">
      <c r="E134" s="418"/>
    </row>
    <row r="135" spans="5:5">
      <c r="E135" s="418"/>
    </row>
    <row r="136" spans="5:5">
      <c r="E136" s="418"/>
    </row>
    <row r="137" spans="5:5">
      <c r="E137" s="418"/>
    </row>
    <row r="138" spans="5:5">
      <c r="E138" s="418"/>
    </row>
    <row r="139" spans="5:5">
      <c r="E139" s="418"/>
    </row>
    <row r="140" spans="5:5">
      <c r="E140" s="418"/>
    </row>
    <row r="141" spans="5:5">
      <c r="E141" s="418"/>
    </row>
    <row r="142" spans="5:5">
      <c r="E142" s="418"/>
    </row>
    <row r="143" spans="5:5">
      <c r="E143" s="418"/>
    </row>
    <row r="144" spans="5:5">
      <c r="E144" s="418"/>
    </row>
    <row r="145" spans="5:5">
      <c r="E145" s="418"/>
    </row>
    <row r="146" spans="5:5">
      <c r="E146" s="418"/>
    </row>
    <row r="147" spans="5:5">
      <c r="E147" s="418"/>
    </row>
    <row r="148" spans="5:5">
      <c r="E148" s="418"/>
    </row>
    <row r="149" spans="5:5">
      <c r="E149" s="418"/>
    </row>
    <row r="150" spans="5:5">
      <c r="E150" s="418"/>
    </row>
    <row r="151" spans="5:5">
      <c r="E151" s="418"/>
    </row>
    <row r="152" spans="5:5">
      <c r="E152" s="418"/>
    </row>
    <row r="153" spans="5:5">
      <c r="E153" s="418"/>
    </row>
    <row r="154" spans="5:5">
      <c r="E154" s="418"/>
    </row>
    <row r="155" spans="5:5">
      <c r="E155" s="418"/>
    </row>
    <row r="156" spans="5:5">
      <c r="E156" s="418"/>
    </row>
    <row r="157" spans="5:5">
      <c r="E157" s="418"/>
    </row>
    <row r="158" spans="5:5">
      <c r="E158" s="418"/>
    </row>
    <row r="159" spans="5:5">
      <c r="E159" s="418"/>
    </row>
    <row r="160" spans="5:5">
      <c r="E160" s="418"/>
    </row>
    <row r="161" spans="5:5">
      <c r="E161" s="418"/>
    </row>
    <row r="162" spans="5:5">
      <c r="E162" s="418"/>
    </row>
    <row r="163" spans="5:5">
      <c r="E163" s="418"/>
    </row>
    <row r="164" spans="5:5">
      <c r="E164" s="418"/>
    </row>
    <row r="165" spans="5:5">
      <c r="E165" s="418"/>
    </row>
    <row r="166" spans="5:5">
      <c r="E166" s="418"/>
    </row>
    <row r="167" spans="5:5">
      <c r="E167" s="418"/>
    </row>
    <row r="168" spans="5:5">
      <c r="E168" s="418"/>
    </row>
    <row r="169" spans="5:5">
      <c r="E169" s="418"/>
    </row>
    <row r="170" spans="5:5">
      <c r="E170" s="418"/>
    </row>
    <row r="171" spans="5:5">
      <c r="E171" s="418"/>
    </row>
    <row r="172" spans="5:5">
      <c r="E172" s="418"/>
    </row>
    <row r="173" spans="5:5">
      <c r="E173" s="418"/>
    </row>
    <row r="174" spans="5:5">
      <c r="E174" s="418"/>
    </row>
    <row r="175" spans="5:5">
      <c r="E175" s="418"/>
    </row>
    <row r="176" spans="5:5">
      <c r="E176" s="418"/>
    </row>
    <row r="177" spans="5:5">
      <c r="E177" s="418"/>
    </row>
    <row r="178" spans="5:5">
      <c r="E178" s="418"/>
    </row>
    <row r="179" spans="5:5">
      <c r="E179" s="418"/>
    </row>
    <row r="180" spans="5:5">
      <c r="E180" s="418"/>
    </row>
    <row r="181" spans="5:5">
      <c r="E181" s="418"/>
    </row>
    <row r="182" spans="5:5">
      <c r="E182" s="418"/>
    </row>
    <row r="183" spans="5:5">
      <c r="E183" s="418"/>
    </row>
    <row r="184" spans="5:5">
      <c r="E184" s="418"/>
    </row>
    <row r="185" spans="5:5">
      <c r="E185" s="418"/>
    </row>
    <row r="186" spans="5:5">
      <c r="E186" s="418"/>
    </row>
    <row r="187" spans="5:5">
      <c r="E187" s="418"/>
    </row>
    <row r="188" spans="5:5">
      <c r="E188" s="418"/>
    </row>
    <row r="189" spans="5:5">
      <c r="E189" s="418"/>
    </row>
    <row r="190" spans="5:5">
      <c r="E190" s="418"/>
    </row>
    <row r="191" spans="5:5">
      <c r="E191" s="418"/>
    </row>
    <row r="192" spans="5:5">
      <c r="E192" s="418"/>
    </row>
    <row r="193" spans="5:5">
      <c r="E193" s="418"/>
    </row>
    <row r="194" spans="5:5">
      <c r="E194" s="418"/>
    </row>
    <row r="195" spans="5:5">
      <c r="E195" s="418"/>
    </row>
  </sheetData>
  <autoFilter ref="A4:I17">
    <sortState ref="A5:I47">
      <sortCondition ref="B4:B17"/>
    </sortState>
  </autoFilter>
  <sortState ref="A5:I41">
    <sortCondition ref="B5:B41"/>
  </sortState>
  <mergeCells count="4">
    <mergeCell ref="A2:J2"/>
    <mergeCell ref="J3:O3"/>
    <mergeCell ref="A3:I3"/>
    <mergeCell ref="R3:AA3"/>
  </mergeCells>
  <phoneticPr fontId="77" type="noConversion"/>
  <pageMargins left="0.25" right="0.25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>
    <tabColor rgb="FF00B0F0"/>
  </sheetPr>
  <dimension ref="A1:AC42"/>
  <sheetViews>
    <sheetView topLeftCell="A16" workbookViewId="0">
      <selection activeCell="F17" sqref="F17"/>
    </sheetView>
  </sheetViews>
  <sheetFormatPr defaultRowHeight="14.5"/>
  <cols>
    <col min="2" max="2" width="24.54296875" customWidth="1"/>
    <col min="3" max="3" width="29.453125" customWidth="1"/>
    <col min="4" max="4" width="24.453125" customWidth="1"/>
    <col min="5" max="5" width="17" style="3" customWidth="1"/>
    <col min="6" max="6" width="18.81640625" customWidth="1"/>
    <col min="9" max="9" width="13.54296875" customWidth="1"/>
    <col min="10" max="14" width="8.54296875" customWidth="1"/>
    <col min="15" max="15" width="11.453125" customWidth="1"/>
    <col min="16" max="16" width="7.453125" style="3" customWidth="1"/>
  </cols>
  <sheetData>
    <row r="1" spans="1:29" ht="21">
      <c r="A1" s="1217" t="s">
        <v>3023</v>
      </c>
      <c r="B1" s="1217"/>
      <c r="C1" s="1217"/>
      <c r="D1" s="1217"/>
      <c r="E1" s="1217"/>
      <c r="F1" s="1217"/>
      <c r="G1" s="1217"/>
      <c r="H1" s="1217"/>
      <c r="I1" s="1217"/>
      <c r="J1" s="1217"/>
    </row>
    <row r="2" spans="1:29" ht="25" thickBot="1">
      <c r="A2" s="1225" t="s">
        <v>3026</v>
      </c>
      <c r="B2" s="1225"/>
      <c r="C2" s="1225"/>
      <c r="D2" s="1225"/>
      <c r="E2" s="1225"/>
      <c r="F2" s="1225"/>
      <c r="G2" s="1225"/>
      <c r="H2" s="1225"/>
      <c r="I2" s="1225"/>
      <c r="J2" s="1226" t="s">
        <v>3441</v>
      </c>
      <c r="K2" s="1227"/>
      <c r="L2" s="1227"/>
      <c r="M2" s="1227"/>
      <c r="N2" s="1227"/>
      <c r="O2" s="1227"/>
      <c r="P2" s="1227"/>
      <c r="R2" s="1228" t="s">
        <v>506</v>
      </c>
      <c r="S2" s="1228"/>
      <c r="T2" s="1228"/>
      <c r="U2" s="1228"/>
      <c r="V2" s="1228"/>
      <c r="W2" s="1228"/>
      <c r="X2" s="1228"/>
      <c r="Y2" s="1228"/>
      <c r="Z2" s="1228"/>
      <c r="AA2" s="1228"/>
    </row>
    <row r="3" spans="1:29" s="377" customFormat="1" ht="23.5" customHeight="1" thickTop="1">
      <c r="A3" s="1" t="s">
        <v>0</v>
      </c>
      <c r="B3" s="1" t="s">
        <v>1</v>
      </c>
      <c r="C3" s="1" t="s">
        <v>2</v>
      </c>
      <c r="D3" s="1" t="s">
        <v>3</v>
      </c>
      <c r="E3" s="376" t="s">
        <v>4</v>
      </c>
      <c r="F3" s="1" t="s">
        <v>5</v>
      </c>
      <c r="G3" s="4" t="s">
        <v>6</v>
      </c>
      <c r="H3" s="244" t="s">
        <v>7</v>
      </c>
      <c r="I3" s="485" t="s">
        <v>8</v>
      </c>
      <c r="J3" s="517" t="s">
        <v>9</v>
      </c>
      <c r="K3" s="517" t="s">
        <v>3445</v>
      </c>
      <c r="L3" s="517" t="s">
        <v>77</v>
      </c>
      <c r="M3" s="517" t="s">
        <v>3251</v>
      </c>
      <c r="N3" s="517" t="s">
        <v>12</v>
      </c>
      <c r="O3" s="517" t="s">
        <v>3258</v>
      </c>
      <c r="P3" s="519" t="s">
        <v>513</v>
      </c>
      <c r="Q3" s="537" t="s">
        <v>9</v>
      </c>
      <c r="R3" s="537" t="s">
        <v>74</v>
      </c>
      <c r="S3" s="537" t="s">
        <v>3450</v>
      </c>
      <c r="T3" s="537" t="s">
        <v>74</v>
      </c>
      <c r="U3" s="537" t="s">
        <v>3451</v>
      </c>
      <c r="V3" s="537" t="s">
        <v>74</v>
      </c>
      <c r="W3" s="537" t="s">
        <v>3251</v>
      </c>
      <c r="X3" s="537" t="s">
        <v>74</v>
      </c>
      <c r="Y3" s="537" t="s">
        <v>3452</v>
      </c>
      <c r="Z3" s="537" t="s">
        <v>74</v>
      </c>
      <c r="AA3" s="537" t="s">
        <v>3453</v>
      </c>
      <c r="AB3" s="537" t="s">
        <v>74</v>
      </c>
      <c r="AC3" s="542" t="s">
        <v>513</v>
      </c>
    </row>
    <row r="4" spans="1:29" s="426" customFormat="1" ht="19.399999999999999" customHeight="1">
      <c r="A4" s="422">
        <v>701</v>
      </c>
      <c r="B4" s="423" t="s">
        <v>2477</v>
      </c>
      <c r="C4" s="423" t="s">
        <v>2478</v>
      </c>
      <c r="D4" s="423" t="s">
        <v>2479</v>
      </c>
      <c r="E4" s="424" t="s">
        <v>2480</v>
      </c>
      <c r="F4" s="422">
        <v>199742546</v>
      </c>
      <c r="G4" s="425">
        <v>880</v>
      </c>
      <c r="H4" s="422" t="s">
        <v>2476</v>
      </c>
      <c r="I4" s="425" t="s">
        <v>2059</v>
      </c>
      <c r="J4" s="515">
        <v>59</v>
      </c>
      <c r="K4" s="515">
        <v>58</v>
      </c>
      <c r="L4" s="515">
        <v>59</v>
      </c>
      <c r="M4" s="515">
        <v>58</v>
      </c>
      <c r="N4" s="515">
        <v>59</v>
      </c>
      <c r="O4" s="515">
        <v>54</v>
      </c>
      <c r="P4" s="422">
        <f>SUM(J4:O4)</f>
        <v>347</v>
      </c>
      <c r="Q4" s="533">
        <v>58</v>
      </c>
      <c r="R4" s="533">
        <v>37</v>
      </c>
      <c r="S4" s="533">
        <v>56</v>
      </c>
      <c r="T4" s="533">
        <v>39</v>
      </c>
      <c r="U4" s="533">
        <v>59</v>
      </c>
      <c r="V4" s="533">
        <v>39</v>
      </c>
      <c r="W4" s="533">
        <v>58</v>
      </c>
      <c r="X4" s="533">
        <v>38</v>
      </c>
      <c r="Y4" s="533">
        <v>56</v>
      </c>
      <c r="Z4" s="533">
        <v>38</v>
      </c>
      <c r="AA4" s="533">
        <v>59</v>
      </c>
      <c r="AB4" s="533">
        <v>37</v>
      </c>
      <c r="AC4" s="543">
        <f>SUM(Q4:AB4)</f>
        <v>574</v>
      </c>
    </row>
    <row r="5" spans="1:29" s="426" customFormat="1" ht="19.399999999999999" customHeight="1">
      <c r="A5" s="422">
        <v>702</v>
      </c>
      <c r="B5" s="423" t="s">
        <v>2481</v>
      </c>
      <c r="C5" s="423" t="s">
        <v>2482</v>
      </c>
      <c r="D5" s="423" t="s">
        <v>39</v>
      </c>
      <c r="E5" s="424" t="s">
        <v>2483</v>
      </c>
      <c r="F5" s="422">
        <v>165557333</v>
      </c>
      <c r="G5" s="425">
        <v>902</v>
      </c>
      <c r="H5" s="422" t="s">
        <v>2476</v>
      </c>
      <c r="I5" s="425" t="s">
        <v>2059</v>
      </c>
      <c r="J5" s="515">
        <v>37</v>
      </c>
      <c r="K5" s="515">
        <v>32</v>
      </c>
      <c r="L5" s="515">
        <v>44</v>
      </c>
      <c r="M5" s="515">
        <v>35</v>
      </c>
      <c r="N5" s="515">
        <v>34</v>
      </c>
      <c r="O5" s="515">
        <v>25</v>
      </c>
      <c r="P5" s="422">
        <f t="shared" ref="P5:P41" si="0">SUM(J5:O5)</f>
        <v>207</v>
      </c>
      <c r="Q5" s="533">
        <v>36</v>
      </c>
      <c r="R5" s="533">
        <v>27</v>
      </c>
      <c r="S5" s="533">
        <v>37</v>
      </c>
      <c r="T5" s="533">
        <v>28</v>
      </c>
      <c r="U5" s="533">
        <v>41</v>
      </c>
      <c r="V5" s="533">
        <v>33</v>
      </c>
      <c r="W5" s="533">
        <v>42</v>
      </c>
      <c r="X5" s="533">
        <v>30</v>
      </c>
      <c r="Y5" s="533">
        <v>34</v>
      </c>
      <c r="Z5" s="533">
        <v>29</v>
      </c>
      <c r="AA5" s="533">
        <v>37</v>
      </c>
      <c r="AB5" s="533">
        <v>28</v>
      </c>
      <c r="AC5" s="543">
        <f t="shared" ref="AC5:AC41" si="1">SUM(Q5:AB5)</f>
        <v>402</v>
      </c>
    </row>
    <row r="6" spans="1:29" s="426" customFormat="1" ht="19.399999999999999" customHeight="1">
      <c r="A6" s="422">
        <v>703</v>
      </c>
      <c r="B6" s="423" t="s">
        <v>2484</v>
      </c>
      <c r="C6" s="423" t="s">
        <v>586</v>
      </c>
      <c r="D6" s="423" t="s">
        <v>2485</v>
      </c>
      <c r="E6" s="424" t="s">
        <v>2486</v>
      </c>
      <c r="F6" s="422">
        <v>309627962</v>
      </c>
      <c r="G6" s="425">
        <v>951</v>
      </c>
      <c r="H6" s="422" t="s">
        <v>2476</v>
      </c>
      <c r="I6" s="425" t="s">
        <v>2059</v>
      </c>
      <c r="J6" s="515">
        <v>35</v>
      </c>
      <c r="K6" s="515">
        <v>37</v>
      </c>
      <c r="L6" s="515">
        <v>40</v>
      </c>
      <c r="M6" s="515">
        <v>34</v>
      </c>
      <c r="N6" s="515">
        <v>30</v>
      </c>
      <c r="O6" s="515">
        <v>23</v>
      </c>
      <c r="P6" s="422">
        <f t="shared" si="0"/>
        <v>199</v>
      </c>
      <c r="Q6" s="533">
        <v>26</v>
      </c>
      <c r="R6" s="533">
        <v>28</v>
      </c>
      <c r="S6" s="533">
        <v>33</v>
      </c>
      <c r="T6" s="533">
        <v>28</v>
      </c>
      <c r="U6" s="533">
        <v>30</v>
      </c>
      <c r="V6" s="533">
        <v>30</v>
      </c>
      <c r="W6" s="533">
        <v>36</v>
      </c>
      <c r="X6" s="533">
        <v>27</v>
      </c>
      <c r="Y6" s="533">
        <v>32</v>
      </c>
      <c r="Z6" s="533">
        <v>26</v>
      </c>
      <c r="AA6" s="533">
        <v>35</v>
      </c>
      <c r="AB6" s="533">
        <v>27</v>
      </c>
      <c r="AC6" s="543">
        <f t="shared" si="1"/>
        <v>358</v>
      </c>
    </row>
    <row r="7" spans="1:29" s="426" customFormat="1" ht="19.399999999999999" customHeight="1">
      <c r="A7" s="422">
        <v>704</v>
      </c>
      <c r="B7" s="423" t="s">
        <v>2487</v>
      </c>
      <c r="C7" s="423" t="s">
        <v>2488</v>
      </c>
      <c r="D7" s="423" t="s">
        <v>2489</v>
      </c>
      <c r="E7" s="424" t="s">
        <v>2490</v>
      </c>
      <c r="F7" s="422">
        <v>118447158</v>
      </c>
      <c r="G7" s="425">
        <v>1002</v>
      </c>
      <c r="H7" s="422" t="s">
        <v>2476</v>
      </c>
      <c r="I7" s="425" t="s">
        <v>2059</v>
      </c>
      <c r="J7" s="515">
        <v>49</v>
      </c>
      <c r="K7" s="515">
        <v>56</v>
      </c>
      <c r="L7" s="515">
        <v>54</v>
      </c>
      <c r="M7" s="515">
        <v>46</v>
      </c>
      <c r="N7" s="515">
        <v>55</v>
      </c>
      <c r="O7" s="515">
        <v>40</v>
      </c>
      <c r="P7" s="422">
        <f t="shared" si="0"/>
        <v>300</v>
      </c>
      <c r="Q7" s="533">
        <v>55</v>
      </c>
      <c r="R7" s="533">
        <v>38</v>
      </c>
      <c r="S7" s="533">
        <v>52</v>
      </c>
      <c r="T7" s="533">
        <v>32</v>
      </c>
      <c r="U7" s="533">
        <v>54</v>
      </c>
      <c r="V7" s="533">
        <v>36</v>
      </c>
      <c r="W7" s="533">
        <v>56</v>
      </c>
      <c r="X7" s="533">
        <v>32</v>
      </c>
      <c r="Y7" s="533">
        <v>52</v>
      </c>
      <c r="Z7" s="533">
        <v>36</v>
      </c>
      <c r="AA7" s="533">
        <v>56</v>
      </c>
      <c r="AB7" s="533">
        <v>29</v>
      </c>
      <c r="AC7" s="543">
        <f t="shared" si="1"/>
        <v>528</v>
      </c>
    </row>
    <row r="8" spans="1:29" s="426" customFormat="1" ht="19.399999999999999" customHeight="1">
      <c r="A8" s="422">
        <v>705</v>
      </c>
      <c r="B8" s="423" t="s">
        <v>2491</v>
      </c>
      <c r="C8" s="423" t="s">
        <v>2492</v>
      </c>
      <c r="D8" s="423" t="s">
        <v>2493</v>
      </c>
      <c r="E8" s="427" t="s">
        <v>2494</v>
      </c>
      <c r="F8" s="422">
        <v>195260239</v>
      </c>
      <c r="G8" s="425">
        <v>1576</v>
      </c>
      <c r="H8" s="422" t="s">
        <v>2476</v>
      </c>
      <c r="I8" s="425" t="s">
        <v>2059</v>
      </c>
      <c r="J8" s="515">
        <v>35</v>
      </c>
      <c r="K8" s="515">
        <v>36</v>
      </c>
      <c r="L8" s="515">
        <v>33</v>
      </c>
      <c r="M8" s="515">
        <v>35</v>
      </c>
      <c r="N8" s="515">
        <v>30</v>
      </c>
      <c r="O8" s="515">
        <v>24</v>
      </c>
      <c r="P8" s="422">
        <f t="shared" si="0"/>
        <v>193</v>
      </c>
      <c r="Q8" s="533">
        <v>30</v>
      </c>
      <c r="R8" s="533">
        <v>28</v>
      </c>
      <c r="S8" s="533">
        <v>31</v>
      </c>
      <c r="T8" s="533">
        <v>28</v>
      </c>
      <c r="U8" s="533">
        <v>30</v>
      </c>
      <c r="V8" s="533">
        <v>27</v>
      </c>
      <c r="W8" s="533">
        <v>32</v>
      </c>
      <c r="X8" s="533">
        <v>28</v>
      </c>
      <c r="Y8" s="533">
        <v>33</v>
      </c>
      <c r="Z8" s="533">
        <v>27</v>
      </c>
      <c r="AA8" s="533">
        <v>34</v>
      </c>
      <c r="AB8" s="533">
        <v>26</v>
      </c>
      <c r="AC8" s="543">
        <f t="shared" si="1"/>
        <v>354</v>
      </c>
    </row>
    <row r="9" spans="1:29" s="426" customFormat="1" ht="19.399999999999999" customHeight="1">
      <c r="A9" s="422">
        <v>706</v>
      </c>
      <c r="B9" s="423" t="s">
        <v>2495</v>
      </c>
      <c r="C9" s="423" t="s">
        <v>587</v>
      </c>
      <c r="D9" s="423" t="s">
        <v>588</v>
      </c>
      <c r="E9" s="424" t="s">
        <v>2496</v>
      </c>
      <c r="F9" s="422">
        <v>199250279</v>
      </c>
      <c r="G9" s="425">
        <v>903</v>
      </c>
      <c r="H9" s="422" t="s">
        <v>2476</v>
      </c>
      <c r="I9" s="425" t="s">
        <v>2059</v>
      </c>
      <c r="J9" s="515">
        <v>48</v>
      </c>
      <c r="K9" s="515">
        <v>56</v>
      </c>
      <c r="L9" s="515">
        <v>48</v>
      </c>
      <c r="M9" s="515">
        <v>50</v>
      </c>
      <c r="N9" s="515">
        <v>45</v>
      </c>
      <c r="O9" s="515">
        <v>31</v>
      </c>
      <c r="P9" s="422">
        <f t="shared" si="0"/>
        <v>278</v>
      </c>
      <c r="Q9" s="533">
        <v>48</v>
      </c>
      <c r="R9" s="533">
        <v>38</v>
      </c>
      <c r="S9" s="533">
        <v>57</v>
      </c>
      <c r="T9" s="533">
        <v>32</v>
      </c>
      <c r="U9" s="533">
        <v>50</v>
      </c>
      <c r="V9" s="533">
        <v>32</v>
      </c>
      <c r="W9" s="533">
        <v>45</v>
      </c>
      <c r="X9" s="533">
        <v>34</v>
      </c>
      <c r="Y9" s="533">
        <v>48</v>
      </c>
      <c r="Z9" s="533">
        <v>30</v>
      </c>
      <c r="AA9" s="533">
        <v>47</v>
      </c>
      <c r="AB9" s="533">
        <v>26</v>
      </c>
      <c r="AC9" s="543">
        <f t="shared" si="1"/>
        <v>487</v>
      </c>
    </row>
    <row r="10" spans="1:29" s="426" customFormat="1" ht="19.399999999999999" customHeight="1">
      <c r="A10" s="422">
        <v>707</v>
      </c>
      <c r="B10" s="423" t="s">
        <v>2497</v>
      </c>
      <c r="C10" s="423" t="s">
        <v>33</v>
      </c>
      <c r="D10" s="423" t="s">
        <v>40</v>
      </c>
      <c r="E10" s="424" t="s">
        <v>2498</v>
      </c>
      <c r="F10" s="422">
        <v>199438364</v>
      </c>
      <c r="G10" s="425">
        <v>851</v>
      </c>
      <c r="H10" s="422" t="s">
        <v>2476</v>
      </c>
      <c r="I10" s="425" t="s">
        <v>2059</v>
      </c>
      <c r="J10" s="515">
        <v>39</v>
      </c>
      <c r="K10" s="515">
        <v>56</v>
      </c>
      <c r="L10" s="515">
        <v>44</v>
      </c>
      <c r="M10" s="515">
        <v>25</v>
      </c>
      <c r="N10" s="515">
        <v>43</v>
      </c>
      <c r="O10" s="515">
        <v>24</v>
      </c>
      <c r="P10" s="422">
        <f t="shared" si="0"/>
        <v>231</v>
      </c>
      <c r="Q10" s="533">
        <v>45</v>
      </c>
      <c r="R10" s="533">
        <v>38</v>
      </c>
      <c r="S10" s="533">
        <v>52</v>
      </c>
      <c r="T10" s="533">
        <v>30</v>
      </c>
      <c r="U10" s="533">
        <v>49</v>
      </c>
      <c r="V10" s="533">
        <v>31</v>
      </c>
      <c r="W10" s="533">
        <v>40</v>
      </c>
      <c r="X10" s="533">
        <v>28</v>
      </c>
      <c r="Y10" s="533">
        <v>42</v>
      </c>
      <c r="Z10" s="533">
        <v>33</v>
      </c>
      <c r="AA10" s="533">
        <v>46</v>
      </c>
      <c r="AB10" s="533">
        <v>28</v>
      </c>
      <c r="AC10" s="543">
        <f t="shared" si="1"/>
        <v>462</v>
      </c>
    </row>
    <row r="11" spans="1:29" s="426" customFormat="1" ht="19.399999999999999" customHeight="1">
      <c r="A11" s="422">
        <v>708</v>
      </c>
      <c r="B11" s="423" t="s">
        <v>2499</v>
      </c>
      <c r="C11" s="423" t="s">
        <v>2500</v>
      </c>
      <c r="D11" s="423" t="s">
        <v>2501</v>
      </c>
      <c r="E11" s="424" t="s">
        <v>2502</v>
      </c>
      <c r="F11" s="422">
        <v>105904941</v>
      </c>
      <c r="G11" s="425">
        <v>882</v>
      </c>
      <c r="H11" s="422" t="s">
        <v>2476</v>
      </c>
      <c r="I11" s="425" t="s">
        <v>2059</v>
      </c>
      <c r="J11" s="515">
        <v>35</v>
      </c>
      <c r="K11" s="515">
        <v>33</v>
      </c>
      <c r="L11" s="515">
        <v>30</v>
      </c>
      <c r="M11" s="515">
        <v>31</v>
      </c>
      <c r="N11" s="515">
        <v>27</v>
      </c>
      <c r="O11" s="515">
        <v>22</v>
      </c>
      <c r="P11" s="422">
        <f t="shared" si="0"/>
        <v>178</v>
      </c>
      <c r="Q11" s="533">
        <v>34</v>
      </c>
      <c r="R11" s="533">
        <v>28</v>
      </c>
      <c r="S11" s="533">
        <v>35</v>
      </c>
      <c r="T11" s="533">
        <v>29</v>
      </c>
      <c r="U11" s="533">
        <v>31</v>
      </c>
      <c r="V11" s="533">
        <v>25</v>
      </c>
      <c r="W11" s="533">
        <v>32</v>
      </c>
      <c r="X11" s="533">
        <v>25</v>
      </c>
      <c r="Y11" s="533">
        <v>36</v>
      </c>
      <c r="Z11" s="533">
        <v>24</v>
      </c>
      <c r="AA11" s="533">
        <v>37</v>
      </c>
      <c r="AB11" s="533">
        <v>25</v>
      </c>
      <c r="AC11" s="543">
        <f t="shared" si="1"/>
        <v>361</v>
      </c>
    </row>
    <row r="12" spans="1:29" s="426" customFormat="1" ht="19.399999999999999" customHeight="1">
      <c r="A12" s="422">
        <v>709</v>
      </c>
      <c r="B12" s="423" t="s">
        <v>2503</v>
      </c>
      <c r="C12" s="423" t="s">
        <v>2467</v>
      </c>
      <c r="D12" s="423" t="s">
        <v>2504</v>
      </c>
      <c r="E12" s="424" t="s">
        <v>2505</v>
      </c>
      <c r="F12" s="422">
        <v>193829673</v>
      </c>
      <c r="G12" s="425">
        <v>1387</v>
      </c>
      <c r="H12" s="422" t="s">
        <v>2476</v>
      </c>
      <c r="I12" s="425" t="s">
        <v>2059</v>
      </c>
      <c r="J12" s="515">
        <v>56</v>
      </c>
      <c r="K12" s="515">
        <v>57</v>
      </c>
      <c r="L12" s="515">
        <v>57</v>
      </c>
      <c r="M12" s="515">
        <v>56</v>
      </c>
      <c r="N12" s="515">
        <v>59</v>
      </c>
      <c r="O12" s="515">
        <v>47</v>
      </c>
      <c r="P12" s="422">
        <f t="shared" si="0"/>
        <v>332</v>
      </c>
      <c r="Q12" s="533">
        <v>57</v>
      </c>
      <c r="R12" s="533">
        <v>38</v>
      </c>
      <c r="S12" s="533">
        <v>55</v>
      </c>
      <c r="T12" s="533">
        <v>39</v>
      </c>
      <c r="U12" s="533">
        <v>56</v>
      </c>
      <c r="V12" s="533">
        <v>38</v>
      </c>
      <c r="W12" s="533">
        <v>58</v>
      </c>
      <c r="X12" s="533">
        <v>36</v>
      </c>
      <c r="Y12" s="533">
        <v>54</v>
      </c>
      <c r="Z12" s="533">
        <v>38</v>
      </c>
      <c r="AA12" s="533">
        <v>57</v>
      </c>
      <c r="AB12" s="533">
        <v>32</v>
      </c>
      <c r="AC12" s="543">
        <f t="shared" si="1"/>
        <v>558</v>
      </c>
    </row>
    <row r="13" spans="1:29" s="426" customFormat="1" ht="19.399999999999999" customHeight="1">
      <c r="A13" s="422">
        <v>710</v>
      </c>
      <c r="B13" s="423" t="s">
        <v>2506</v>
      </c>
      <c r="C13" s="423" t="s">
        <v>2507</v>
      </c>
      <c r="D13" s="423" t="s">
        <v>475</v>
      </c>
      <c r="E13" s="424" t="s">
        <v>2508</v>
      </c>
      <c r="F13" s="422">
        <v>105268624</v>
      </c>
      <c r="G13" s="425">
        <v>1126</v>
      </c>
      <c r="H13" s="422" t="s">
        <v>2476</v>
      </c>
      <c r="I13" s="425" t="s">
        <v>2059</v>
      </c>
      <c r="J13" s="515">
        <v>55</v>
      </c>
      <c r="K13" s="515">
        <v>56</v>
      </c>
      <c r="L13" s="515">
        <v>49</v>
      </c>
      <c r="M13" s="515">
        <v>39</v>
      </c>
      <c r="N13" s="515">
        <v>52</v>
      </c>
      <c r="O13" s="515">
        <v>36</v>
      </c>
      <c r="P13" s="422">
        <f t="shared" si="0"/>
        <v>287</v>
      </c>
      <c r="Q13" s="533">
        <v>43</v>
      </c>
      <c r="R13" s="533">
        <v>38</v>
      </c>
      <c r="S13" s="533">
        <v>54</v>
      </c>
      <c r="T13" s="533">
        <v>36</v>
      </c>
      <c r="U13" s="533">
        <v>50</v>
      </c>
      <c r="V13" s="533">
        <v>32</v>
      </c>
      <c r="W13" s="533">
        <v>33</v>
      </c>
      <c r="X13" s="533">
        <v>28</v>
      </c>
      <c r="Y13" s="533">
        <v>37</v>
      </c>
      <c r="Z13" s="533">
        <v>35</v>
      </c>
      <c r="AA13" s="533">
        <v>53</v>
      </c>
      <c r="AB13" s="533">
        <v>28</v>
      </c>
      <c r="AC13" s="543">
        <f t="shared" si="1"/>
        <v>467</v>
      </c>
    </row>
    <row r="14" spans="1:29" s="426" customFormat="1" ht="19.399999999999999" customHeight="1">
      <c r="A14" s="422">
        <v>711</v>
      </c>
      <c r="B14" s="423" t="s">
        <v>2509</v>
      </c>
      <c r="C14" s="423" t="s">
        <v>2510</v>
      </c>
      <c r="D14" s="423" t="s">
        <v>2511</v>
      </c>
      <c r="E14" s="424" t="s">
        <v>2512</v>
      </c>
      <c r="F14" s="422">
        <v>197805293</v>
      </c>
      <c r="G14" s="425">
        <v>1530</v>
      </c>
      <c r="H14" s="422" t="s">
        <v>2476</v>
      </c>
      <c r="I14" s="425" t="s">
        <v>2059</v>
      </c>
      <c r="J14" s="515">
        <v>43</v>
      </c>
      <c r="K14" s="515">
        <v>54</v>
      </c>
      <c r="L14" s="515">
        <v>48</v>
      </c>
      <c r="M14" s="515">
        <v>37</v>
      </c>
      <c r="N14" s="515">
        <v>33</v>
      </c>
      <c r="O14" s="515">
        <v>23</v>
      </c>
      <c r="P14" s="422">
        <f t="shared" si="0"/>
        <v>238</v>
      </c>
      <c r="Q14" s="533">
        <v>40</v>
      </c>
      <c r="R14" s="533">
        <v>36</v>
      </c>
      <c r="S14" s="533">
        <v>47</v>
      </c>
      <c r="T14" s="533">
        <v>30</v>
      </c>
      <c r="U14" s="533">
        <v>47</v>
      </c>
      <c r="V14" s="533">
        <v>32</v>
      </c>
      <c r="W14" s="533">
        <v>38</v>
      </c>
      <c r="X14" s="533">
        <v>26</v>
      </c>
      <c r="Y14" s="533">
        <v>35</v>
      </c>
      <c r="Z14" s="533">
        <v>27</v>
      </c>
      <c r="AA14" s="533">
        <v>46</v>
      </c>
      <c r="AB14" s="533">
        <v>25</v>
      </c>
      <c r="AC14" s="543">
        <f t="shared" si="1"/>
        <v>429</v>
      </c>
    </row>
    <row r="15" spans="1:29" s="426" customFormat="1" ht="19.399999999999999" customHeight="1">
      <c r="A15" s="422">
        <v>712</v>
      </c>
      <c r="B15" s="423" t="s">
        <v>2513</v>
      </c>
      <c r="C15" s="423" t="s">
        <v>2514</v>
      </c>
      <c r="D15" s="423" t="s">
        <v>2515</v>
      </c>
      <c r="E15" s="424" t="s">
        <v>2516</v>
      </c>
      <c r="F15" s="422">
        <v>304765016</v>
      </c>
      <c r="G15" s="425">
        <v>900</v>
      </c>
      <c r="H15" s="422" t="s">
        <v>2476</v>
      </c>
      <c r="I15" s="425" t="s">
        <v>2059</v>
      </c>
      <c r="J15" s="515">
        <v>45</v>
      </c>
      <c r="K15" s="515">
        <v>53</v>
      </c>
      <c r="L15" s="515">
        <v>48</v>
      </c>
      <c r="M15" s="515">
        <v>38</v>
      </c>
      <c r="N15" s="515">
        <v>45</v>
      </c>
      <c r="O15" s="515">
        <v>25</v>
      </c>
      <c r="P15" s="422">
        <f t="shared" si="0"/>
        <v>254</v>
      </c>
      <c r="Q15" s="533">
        <v>40</v>
      </c>
      <c r="R15" s="533">
        <v>36</v>
      </c>
      <c r="S15" s="533">
        <v>51</v>
      </c>
      <c r="T15" s="533">
        <v>31</v>
      </c>
      <c r="U15" s="533">
        <v>55</v>
      </c>
      <c r="V15" s="533">
        <v>33</v>
      </c>
      <c r="W15" s="533">
        <v>41</v>
      </c>
      <c r="X15" s="533">
        <v>28</v>
      </c>
      <c r="Y15" s="533">
        <v>42</v>
      </c>
      <c r="Z15" s="533">
        <v>31</v>
      </c>
      <c r="AA15" s="533">
        <v>53</v>
      </c>
      <c r="AB15" s="533">
        <v>26</v>
      </c>
      <c r="AC15" s="543">
        <f t="shared" si="1"/>
        <v>467</v>
      </c>
    </row>
    <row r="16" spans="1:29" s="426" customFormat="1" ht="19.399999999999999" customHeight="1">
      <c r="A16" s="422">
        <v>713</v>
      </c>
      <c r="B16" s="423" t="s">
        <v>2517</v>
      </c>
      <c r="C16" s="423" t="s">
        <v>2518</v>
      </c>
      <c r="D16" s="423" t="s">
        <v>41</v>
      </c>
      <c r="E16" s="424" t="s">
        <v>2519</v>
      </c>
      <c r="F16" s="422">
        <v>140260432</v>
      </c>
      <c r="G16" s="425">
        <v>1595</v>
      </c>
      <c r="H16" s="422" t="s">
        <v>2476</v>
      </c>
      <c r="I16" s="425" t="s">
        <v>2059</v>
      </c>
      <c r="J16" s="515">
        <v>36</v>
      </c>
      <c r="K16" s="515">
        <v>49</v>
      </c>
      <c r="L16" s="515">
        <v>30</v>
      </c>
      <c r="M16" s="515">
        <v>36</v>
      </c>
      <c r="N16" s="515">
        <v>33</v>
      </c>
      <c r="O16" s="515">
        <v>24</v>
      </c>
      <c r="P16" s="422">
        <f t="shared" si="0"/>
        <v>208</v>
      </c>
      <c r="Q16" s="533">
        <v>35</v>
      </c>
      <c r="R16" s="533">
        <v>33</v>
      </c>
      <c r="S16" s="533">
        <v>40</v>
      </c>
      <c r="T16" s="533">
        <v>29</v>
      </c>
      <c r="U16" s="533">
        <v>39</v>
      </c>
      <c r="V16" s="533">
        <v>27</v>
      </c>
      <c r="W16" s="533">
        <v>42</v>
      </c>
      <c r="X16" s="533">
        <v>29</v>
      </c>
      <c r="Y16" s="533">
        <v>44</v>
      </c>
      <c r="Z16" s="533">
        <v>28</v>
      </c>
      <c r="AA16" s="533">
        <v>46</v>
      </c>
      <c r="AB16" s="533">
        <v>26</v>
      </c>
      <c r="AC16" s="543">
        <f t="shared" si="1"/>
        <v>418</v>
      </c>
    </row>
    <row r="17" spans="1:29" s="426" customFormat="1" ht="19.399999999999999" customHeight="1">
      <c r="A17" s="422">
        <v>714</v>
      </c>
      <c r="B17" s="423" t="s">
        <v>2520</v>
      </c>
      <c r="C17" s="423" t="s">
        <v>108</v>
      </c>
      <c r="D17" s="423" t="s">
        <v>131</v>
      </c>
      <c r="E17" s="424" t="s">
        <v>2521</v>
      </c>
      <c r="F17" s="422">
        <v>191382264</v>
      </c>
      <c r="G17" s="425">
        <v>773</v>
      </c>
      <c r="H17" s="422" t="s">
        <v>2476</v>
      </c>
      <c r="I17" s="425" t="s">
        <v>2059</v>
      </c>
      <c r="J17" s="515">
        <v>56</v>
      </c>
      <c r="K17" s="515">
        <v>56</v>
      </c>
      <c r="L17" s="515">
        <v>48</v>
      </c>
      <c r="M17" s="515">
        <v>38</v>
      </c>
      <c r="N17" s="515">
        <v>41</v>
      </c>
      <c r="O17" s="515">
        <v>25</v>
      </c>
      <c r="P17" s="422">
        <f t="shared" si="0"/>
        <v>264</v>
      </c>
      <c r="Q17" s="533">
        <v>50</v>
      </c>
      <c r="R17" s="533">
        <v>38</v>
      </c>
      <c r="S17" s="533">
        <v>59</v>
      </c>
      <c r="T17" s="533">
        <v>38</v>
      </c>
      <c r="U17" s="533">
        <v>54</v>
      </c>
      <c r="V17" s="533">
        <v>32</v>
      </c>
      <c r="W17" s="533">
        <v>54</v>
      </c>
      <c r="X17" s="533">
        <v>30</v>
      </c>
      <c r="Y17" s="533">
        <v>53</v>
      </c>
      <c r="Z17" s="533">
        <v>31</v>
      </c>
      <c r="AA17" s="533">
        <v>49</v>
      </c>
      <c r="AB17" s="533">
        <v>27</v>
      </c>
      <c r="AC17" s="543">
        <f t="shared" si="1"/>
        <v>515</v>
      </c>
    </row>
    <row r="18" spans="1:29" s="426" customFormat="1" ht="19.399999999999999" customHeight="1">
      <c r="A18" s="422">
        <v>715</v>
      </c>
      <c r="B18" s="423" t="s">
        <v>2522</v>
      </c>
      <c r="C18" s="423" t="s">
        <v>2523</v>
      </c>
      <c r="D18" s="423" t="s">
        <v>2524</v>
      </c>
      <c r="E18" s="424" t="s">
        <v>2525</v>
      </c>
      <c r="F18" s="422">
        <v>304462616</v>
      </c>
      <c r="G18" s="425">
        <v>886</v>
      </c>
      <c r="H18" s="422" t="s">
        <v>2476</v>
      </c>
      <c r="I18" s="425" t="s">
        <v>2059</v>
      </c>
      <c r="J18" s="515">
        <v>32</v>
      </c>
      <c r="K18" s="515">
        <v>43</v>
      </c>
      <c r="L18" s="515">
        <v>28</v>
      </c>
      <c r="M18" s="515">
        <v>27</v>
      </c>
      <c r="N18" s="515">
        <v>32</v>
      </c>
      <c r="O18" s="515">
        <v>23</v>
      </c>
      <c r="P18" s="422">
        <f t="shared" si="0"/>
        <v>185</v>
      </c>
      <c r="Q18" s="533">
        <v>29</v>
      </c>
      <c r="R18" s="533">
        <v>30</v>
      </c>
      <c r="S18" s="533">
        <v>37</v>
      </c>
      <c r="T18" s="533">
        <v>25</v>
      </c>
      <c r="U18" s="533">
        <v>38</v>
      </c>
      <c r="V18" s="533">
        <v>24</v>
      </c>
      <c r="W18" s="533">
        <v>35</v>
      </c>
      <c r="X18" s="533">
        <v>25</v>
      </c>
      <c r="Y18" s="533">
        <v>37</v>
      </c>
      <c r="Z18" s="533">
        <v>27</v>
      </c>
      <c r="AA18" s="533">
        <v>36</v>
      </c>
      <c r="AB18" s="533">
        <v>26</v>
      </c>
      <c r="AC18" s="543">
        <f t="shared" si="1"/>
        <v>369</v>
      </c>
    </row>
    <row r="19" spans="1:29" s="426" customFormat="1" ht="19.399999999999999" customHeight="1">
      <c r="A19" s="422">
        <v>716</v>
      </c>
      <c r="B19" s="423" t="s">
        <v>34</v>
      </c>
      <c r="C19" s="423" t="s">
        <v>490</v>
      </c>
      <c r="D19" s="423" t="s">
        <v>42</v>
      </c>
      <c r="E19" s="424" t="s">
        <v>2526</v>
      </c>
      <c r="F19" s="422">
        <v>303427007</v>
      </c>
      <c r="G19" s="425">
        <v>1056</v>
      </c>
      <c r="H19" s="422" t="s">
        <v>2476</v>
      </c>
      <c r="I19" s="425" t="s">
        <v>2059</v>
      </c>
      <c r="J19" s="515">
        <v>33</v>
      </c>
      <c r="K19" s="515">
        <v>45</v>
      </c>
      <c r="L19" s="515">
        <v>44</v>
      </c>
      <c r="M19" s="515">
        <v>28</v>
      </c>
      <c r="N19" s="515">
        <v>34</v>
      </c>
      <c r="O19" s="515">
        <v>23</v>
      </c>
      <c r="P19" s="422">
        <f t="shared" si="0"/>
        <v>207</v>
      </c>
      <c r="Q19" s="533">
        <v>41</v>
      </c>
      <c r="R19" s="533">
        <v>31</v>
      </c>
      <c r="S19" s="533">
        <v>45</v>
      </c>
      <c r="T19" s="533">
        <v>26</v>
      </c>
      <c r="U19" s="533">
        <v>49</v>
      </c>
      <c r="V19" s="533">
        <v>31</v>
      </c>
      <c r="W19" s="533">
        <v>35</v>
      </c>
      <c r="X19" s="533">
        <v>24</v>
      </c>
      <c r="Y19" s="533">
        <v>40</v>
      </c>
      <c r="Z19" s="533">
        <v>25</v>
      </c>
      <c r="AA19" s="533">
        <v>43</v>
      </c>
      <c r="AB19" s="533">
        <v>23</v>
      </c>
      <c r="AC19" s="543">
        <f t="shared" si="1"/>
        <v>413</v>
      </c>
    </row>
    <row r="20" spans="1:29" s="426" customFormat="1" ht="19.399999999999999" customHeight="1">
      <c r="A20" s="422">
        <v>717</v>
      </c>
      <c r="B20" s="423" t="s">
        <v>2527</v>
      </c>
      <c r="C20" s="423" t="s">
        <v>35</v>
      </c>
      <c r="D20" s="423" t="s">
        <v>2528</v>
      </c>
      <c r="E20" s="424" t="s">
        <v>2529</v>
      </c>
      <c r="F20" s="422">
        <v>197047381</v>
      </c>
      <c r="G20" s="425">
        <v>1376</v>
      </c>
      <c r="H20" s="422" t="s">
        <v>2476</v>
      </c>
      <c r="I20" s="425" t="s">
        <v>2059</v>
      </c>
      <c r="J20" s="515">
        <v>54</v>
      </c>
      <c r="K20" s="515">
        <v>44</v>
      </c>
      <c r="L20" s="515">
        <v>52</v>
      </c>
      <c r="M20" s="515">
        <v>45</v>
      </c>
      <c r="N20" s="515">
        <v>45</v>
      </c>
      <c r="O20" s="515">
        <v>27</v>
      </c>
      <c r="P20" s="422">
        <f t="shared" si="0"/>
        <v>267</v>
      </c>
      <c r="Q20" s="533">
        <v>55</v>
      </c>
      <c r="R20" s="533">
        <v>31</v>
      </c>
      <c r="S20" s="533">
        <v>53</v>
      </c>
      <c r="T20" s="533">
        <v>37</v>
      </c>
      <c r="U20" s="533">
        <v>51</v>
      </c>
      <c r="V20" s="533">
        <v>35</v>
      </c>
      <c r="W20" s="533">
        <v>50</v>
      </c>
      <c r="X20" s="533">
        <v>31</v>
      </c>
      <c r="Y20" s="533">
        <v>52</v>
      </c>
      <c r="Z20" s="533">
        <v>31</v>
      </c>
      <c r="AA20" s="533">
        <v>49</v>
      </c>
      <c r="AB20" s="533">
        <v>24</v>
      </c>
      <c r="AC20" s="543">
        <f t="shared" si="1"/>
        <v>499</v>
      </c>
    </row>
    <row r="21" spans="1:29" s="426" customFormat="1" ht="19.399999999999999" customHeight="1">
      <c r="A21" s="422">
        <v>718</v>
      </c>
      <c r="B21" s="423" t="s">
        <v>2530</v>
      </c>
      <c r="C21" s="423" t="s">
        <v>2514</v>
      </c>
      <c r="D21" s="423" t="s">
        <v>2531</v>
      </c>
      <c r="E21" s="424" t="s">
        <v>2532</v>
      </c>
      <c r="F21" s="422">
        <v>197073659</v>
      </c>
      <c r="G21" s="425">
        <v>1574</v>
      </c>
      <c r="H21" s="422" t="s">
        <v>2476</v>
      </c>
      <c r="I21" s="425" t="s">
        <v>2059</v>
      </c>
      <c r="J21" s="515">
        <v>32</v>
      </c>
      <c r="K21" s="515">
        <v>33</v>
      </c>
      <c r="L21" s="515">
        <v>36</v>
      </c>
      <c r="M21" s="515">
        <v>28</v>
      </c>
      <c r="N21" s="515">
        <v>34</v>
      </c>
      <c r="O21" s="515">
        <v>24</v>
      </c>
      <c r="P21" s="422">
        <f t="shared" si="0"/>
        <v>187</v>
      </c>
      <c r="Q21" s="533">
        <v>28</v>
      </c>
      <c r="R21" s="533">
        <v>26</v>
      </c>
      <c r="S21" s="533">
        <v>35</v>
      </c>
      <c r="T21" s="533">
        <v>26</v>
      </c>
      <c r="U21" s="533">
        <v>30</v>
      </c>
      <c r="V21" s="533">
        <v>27</v>
      </c>
      <c r="W21" s="533">
        <v>35</v>
      </c>
      <c r="X21" s="533">
        <v>25</v>
      </c>
      <c r="Y21" s="533">
        <v>37</v>
      </c>
      <c r="Z21" s="533">
        <v>26</v>
      </c>
      <c r="AA21" s="533">
        <v>36</v>
      </c>
      <c r="AB21" s="533">
        <v>24</v>
      </c>
      <c r="AC21" s="543">
        <f t="shared" si="1"/>
        <v>355</v>
      </c>
    </row>
    <row r="22" spans="1:29" s="426" customFormat="1" ht="19.399999999999999" customHeight="1">
      <c r="A22" s="422">
        <v>719</v>
      </c>
      <c r="B22" s="423" t="s">
        <v>2533</v>
      </c>
      <c r="C22" s="423" t="s">
        <v>2534</v>
      </c>
      <c r="D22" s="423" t="s">
        <v>589</v>
      </c>
      <c r="E22" s="424" t="s">
        <v>2535</v>
      </c>
      <c r="F22" s="422">
        <v>195471148</v>
      </c>
      <c r="G22" s="425">
        <v>772</v>
      </c>
      <c r="H22" s="422" t="s">
        <v>2476</v>
      </c>
      <c r="I22" s="425" t="s">
        <v>2059</v>
      </c>
      <c r="J22" s="515">
        <v>54</v>
      </c>
      <c r="K22" s="515">
        <v>55</v>
      </c>
      <c r="L22" s="515">
        <v>39</v>
      </c>
      <c r="M22" s="515">
        <v>33</v>
      </c>
      <c r="N22" s="515">
        <v>34</v>
      </c>
      <c r="O22" s="515">
        <v>24</v>
      </c>
      <c r="P22" s="422">
        <f t="shared" si="0"/>
        <v>239</v>
      </c>
      <c r="Q22" s="533">
        <v>40</v>
      </c>
      <c r="R22" s="533">
        <v>36</v>
      </c>
      <c r="S22" s="533">
        <v>54</v>
      </c>
      <c r="T22" s="533">
        <v>37</v>
      </c>
      <c r="U22" s="533">
        <v>47</v>
      </c>
      <c r="V22" s="533">
        <v>28</v>
      </c>
      <c r="W22" s="533">
        <v>48</v>
      </c>
      <c r="X22" s="533">
        <v>24</v>
      </c>
      <c r="Y22" s="533">
        <v>43</v>
      </c>
      <c r="Z22" s="533">
        <v>25</v>
      </c>
      <c r="AA22" s="533">
        <v>45</v>
      </c>
      <c r="AB22" s="533">
        <v>24</v>
      </c>
      <c r="AC22" s="543">
        <f t="shared" si="1"/>
        <v>451</v>
      </c>
    </row>
    <row r="23" spans="1:29" s="426" customFormat="1" ht="19.399999999999999" customHeight="1">
      <c r="A23" s="422">
        <v>720</v>
      </c>
      <c r="B23" s="423" t="s">
        <v>2536</v>
      </c>
      <c r="C23" s="423" t="s">
        <v>2537</v>
      </c>
      <c r="D23" s="423" t="s">
        <v>2538</v>
      </c>
      <c r="E23" s="424" t="s">
        <v>2539</v>
      </c>
      <c r="F23" s="422">
        <v>199348470</v>
      </c>
      <c r="G23" s="425">
        <v>1185</v>
      </c>
      <c r="H23" s="422" t="s">
        <v>2476</v>
      </c>
      <c r="I23" s="425" t="s">
        <v>2059</v>
      </c>
      <c r="J23" s="515">
        <v>42</v>
      </c>
      <c r="K23" s="515">
        <v>39</v>
      </c>
      <c r="L23" s="515">
        <v>35</v>
      </c>
      <c r="M23" s="515">
        <v>34</v>
      </c>
      <c r="N23" s="515">
        <v>30</v>
      </c>
      <c r="O23" s="515">
        <v>24</v>
      </c>
      <c r="P23" s="422">
        <f t="shared" si="0"/>
        <v>204</v>
      </c>
      <c r="Q23" s="533">
        <v>40</v>
      </c>
      <c r="R23" s="533">
        <v>30</v>
      </c>
      <c r="S23" s="533">
        <v>46</v>
      </c>
      <c r="T23" s="533">
        <v>31</v>
      </c>
      <c r="U23" s="533">
        <v>36</v>
      </c>
      <c r="V23" s="533">
        <v>26</v>
      </c>
      <c r="W23" s="533">
        <v>45</v>
      </c>
      <c r="X23" s="533">
        <v>25</v>
      </c>
      <c r="Y23" s="533">
        <v>48</v>
      </c>
      <c r="Z23" s="533">
        <v>23</v>
      </c>
      <c r="AA23" s="533">
        <v>39</v>
      </c>
      <c r="AB23" s="533">
        <v>22</v>
      </c>
      <c r="AC23" s="543">
        <f t="shared" si="1"/>
        <v>411</v>
      </c>
    </row>
    <row r="24" spans="1:29" s="426" customFormat="1" ht="19.399999999999999" customHeight="1">
      <c r="A24" s="422">
        <v>721</v>
      </c>
      <c r="B24" s="423" t="s">
        <v>36</v>
      </c>
      <c r="C24" s="423" t="s">
        <v>2410</v>
      </c>
      <c r="D24" s="423" t="s">
        <v>2411</v>
      </c>
      <c r="E24" s="424" t="s">
        <v>2540</v>
      </c>
      <c r="F24" s="422">
        <v>302537087</v>
      </c>
      <c r="G24" s="425">
        <v>829</v>
      </c>
      <c r="H24" s="422" t="s">
        <v>2476</v>
      </c>
      <c r="I24" s="425" t="s">
        <v>2059</v>
      </c>
      <c r="J24" s="515">
        <v>39</v>
      </c>
      <c r="K24" s="515">
        <v>35</v>
      </c>
      <c r="L24" s="515">
        <v>30</v>
      </c>
      <c r="M24" s="515">
        <v>24</v>
      </c>
      <c r="N24" s="515">
        <v>37</v>
      </c>
      <c r="O24" s="515">
        <v>23</v>
      </c>
      <c r="P24" s="422">
        <f t="shared" si="0"/>
        <v>188</v>
      </c>
      <c r="Q24" s="533">
        <v>25</v>
      </c>
      <c r="R24" s="533">
        <v>26</v>
      </c>
      <c r="S24" s="533">
        <v>37</v>
      </c>
      <c r="T24" s="533">
        <v>28</v>
      </c>
      <c r="U24" s="533">
        <v>32</v>
      </c>
      <c r="V24" s="533">
        <v>24</v>
      </c>
      <c r="W24" s="533">
        <v>40</v>
      </c>
      <c r="X24" s="533">
        <v>23</v>
      </c>
      <c r="Y24" s="533">
        <v>42</v>
      </c>
      <c r="Z24" s="533">
        <v>26</v>
      </c>
      <c r="AA24" s="533">
        <v>38</v>
      </c>
      <c r="AB24" s="533">
        <v>23</v>
      </c>
      <c r="AC24" s="543">
        <f t="shared" si="1"/>
        <v>364</v>
      </c>
    </row>
    <row r="25" spans="1:29" s="426" customFormat="1" ht="19.399999999999999" customHeight="1">
      <c r="A25" s="422">
        <v>722</v>
      </c>
      <c r="B25" s="423" t="s">
        <v>2541</v>
      </c>
      <c r="C25" s="423" t="s">
        <v>2542</v>
      </c>
      <c r="D25" s="423" t="s">
        <v>2543</v>
      </c>
      <c r="E25" s="424" t="s">
        <v>2544</v>
      </c>
      <c r="F25" s="422">
        <v>301319755</v>
      </c>
      <c r="G25" s="425">
        <v>1005</v>
      </c>
      <c r="H25" s="422" t="s">
        <v>2476</v>
      </c>
      <c r="I25" s="425" t="s">
        <v>2059</v>
      </c>
      <c r="J25" s="515">
        <v>34</v>
      </c>
      <c r="K25" s="515">
        <v>44</v>
      </c>
      <c r="L25" s="515">
        <v>37</v>
      </c>
      <c r="M25" s="515">
        <v>23</v>
      </c>
      <c r="N25" s="515">
        <v>36</v>
      </c>
      <c r="O25" s="515">
        <v>26</v>
      </c>
      <c r="P25" s="422">
        <f t="shared" si="0"/>
        <v>200</v>
      </c>
      <c r="Q25" s="533">
        <v>30</v>
      </c>
      <c r="R25" s="533">
        <v>32</v>
      </c>
      <c r="S25" s="533">
        <v>41</v>
      </c>
      <c r="T25" s="533">
        <v>24</v>
      </c>
      <c r="U25" s="533">
        <v>34</v>
      </c>
      <c r="V25" s="533">
        <v>26</v>
      </c>
      <c r="W25" s="533">
        <v>34</v>
      </c>
      <c r="X25" s="533">
        <v>24</v>
      </c>
      <c r="Y25" s="533">
        <v>35</v>
      </c>
      <c r="Z25" s="533">
        <v>27</v>
      </c>
      <c r="AA25" s="533">
        <v>42</v>
      </c>
      <c r="AB25" s="533">
        <v>24</v>
      </c>
      <c r="AC25" s="543">
        <f t="shared" si="1"/>
        <v>373</v>
      </c>
    </row>
    <row r="26" spans="1:29" s="426" customFormat="1" ht="19.399999999999999" customHeight="1">
      <c r="A26" s="422">
        <v>723</v>
      </c>
      <c r="B26" s="423" t="s">
        <v>2545</v>
      </c>
      <c r="C26" s="423" t="s">
        <v>30</v>
      </c>
      <c r="D26" s="423" t="s">
        <v>31</v>
      </c>
      <c r="E26" s="424" t="s">
        <v>2546</v>
      </c>
      <c r="F26" s="422">
        <v>194161944</v>
      </c>
      <c r="G26" s="425">
        <v>1537</v>
      </c>
      <c r="H26" s="422" t="s">
        <v>2476</v>
      </c>
      <c r="I26" s="425" t="s">
        <v>2059</v>
      </c>
      <c r="J26" s="515">
        <v>37</v>
      </c>
      <c r="K26" s="515">
        <v>46</v>
      </c>
      <c r="L26" s="515">
        <v>36</v>
      </c>
      <c r="M26" s="515">
        <v>29</v>
      </c>
      <c r="N26" s="515">
        <v>28</v>
      </c>
      <c r="O26" s="515">
        <v>27</v>
      </c>
      <c r="P26" s="422">
        <f t="shared" si="0"/>
        <v>203</v>
      </c>
      <c r="Q26" s="533">
        <v>34</v>
      </c>
      <c r="R26" s="533">
        <v>32</v>
      </c>
      <c r="S26" s="533">
        <v>33</v>
      </c>
      <c r="T26" s="533">
        <v>27</v>
      </c>
      <c r="U26" s="533">
        <v>32</v>
      </c>
      <c r="V26" s="533">
        <v>26</v>
      </c>
      <c r="W26" s="533">
        <v>32</v>
      </c>
      <c r="X26" s="533">
        <v>23</v>
      </c>
      <c r="Y26" s="533">
        <v>36</v>
      </c>
      <c r="Z26" s="533">
        <v>26</v>
      </c>
      <c r="AA26" s="533">
        <v>40</v>
      </c>
      <c r="AB26" s="533">
        <v>25</v>
      </c>
      <c r="AC26" s="543">
        <f t="shared" si="1"/>
        <v>366</v>
      </c>
    </row>
    <row r="27" spans="1:29" s="426" customFormat="1" ht="19.399999999999999" customHeight="1">
      <c r="A27" s="422">
        <v>724</v>
      </c>
      <c r="B27" s="423" t="s">
        <v>16</v>
      </c>
      <c r="C27" s="423" t="s">
        <v>37</v>
      </c>
      <c r="D27" s="423" t="s">
        <v>2547</v>
      </c>
      <c r="E27" s="424" t="s">
        <v>2548</v>
      </c>
      <c r="F27" s="422">
        <v>303420143</v>
      </c>
      <c r="G27" s="425">
        <v>1597</v>
      </c>
      <c r="H27" s="422" t="s">
        <v>2476</v>
      </c>
      <c r="I27" s="425" t="s">
        <v>2059</v>
      </c>
      <c r="J27" s="515">
        <v>35</v>
      </c>
      <c r="K27" s="515">
        <v>38</v>
      </c>
      <c r="L27" s="515">
        <v>37</v>
      </c>
      <c r="M27" s="515">
        <v>29</v>
      </c>
      <c r="N27" s="515">
        <v>25</v>
      </c>
      <c r="O27" s="515">
        <v>23</v>
      </c>
      <c r="P27" s="422">
        <f t="shared" si="0"/>
        <v>187</v>
      </c>
      <c r="Q27" s="533">
        <v>28</v>
      </c>
      <c r="R27" s="533">
        <v>29</v>
      </c>
      <c r="S27" s="533">
        <v>32</v>
      </c>
      <c r="T27" s="533">
        <v>28</v>
      </c>
      <c r="U27" s="533">
        <v>30</v>
      </c>
      <c r="V27" s="533">
        <v>28</v>
      </c>
      <c r="W27" s="533">
        <v>30</v>
      </c>
      <c r="X27" s="533">
        <v>27</v>
      </c>
      <c r="Y27" s="533">
        <v>35</v>
      </c>
      <c r="Z27" s="533">
        <v>26</v>
      </c>
      <c r="AA27" s="533">
        <v>34</v>
      </c>
      <c r="AB27" s="533">
        <v>26</v>
      </c>
      <c r="AC27" s="543">
        <f t="shared" si="1"/>
        <v>353</v>
      </c>
    </row>
    <row r="28" spans="1:29" s="426" customFormat="1" ht="19.399999999999999" customHeight="1">
      <c r="A28" s="422">
        <v>725</v>
      </c>
      <c r="B28" s="423" t="s">
        <v>2549</v>
      </c>
      <c r="C28" s="423" t="s">
        <v>2550</v>
      </c>
      <c r="D28" s="423" t="s">
        <v>2551</v>
      </c>
      <c r="E28" s="424" t="s">
        <v>2552</v>
      </c>
      <c r="F28" s="422">
        <v>195136419</v>
      </c>
      <c r="G28" s="425">
        <v>1613</v>
      </c>
      <c r="H28" s="422" t="s">
        <v>2476</v>
      </c>
      <c r="I28" s="425" t="s">
        <v>2059</v>
      </c>
      <c r="J28" s="515">
        <v>36</v>
      </c>
      <c r="K28" s="515">
        <v>34</v>
      </c>
      <c r="L28" s="515">
        <v>30</v>
      </c>
      <c r="M28" s="515">
        <v>30</v>
      </c>
      <c r="N28" s="515">
        <v>28</v>
      </c>
      <c r="O28" s="515">
        <v>22</v>
      </c>
      <c r="P28" s="422">
        <f t="shared" si="0"/>
        <v>180</v>
      </c>
      <c r="Q28" s="533">
        <v>38</v>
      </c>
      <c r="R28" s="533">
        <v>25</v>
      </c>
      <c r="S28" s="533">
        <v>38</v>
      </c>
      <c r="T28" s="533">
        <v>27</v>
      </c>
      <c r="U28" s="533">
        <v>35</v>
      </c>
      <c r="V28" s="533">
        <v>24</v>
      </c>
      <c r="W28" s="533">
        <v>30</v>
      </c>
      <c r="X28" s="533">
        <v>24</v>
      </c>
      <c r="Y28" s="533">
        <v>36</v>
      </c>
      <c r="Z28" s="533">
        <v>23</v>
      </c>
      <c r="AA28" s="533">
        <v>37</v>
      </c>
      <c r="AB28" s="533">
        <v>24</v>
      </c>
      <c r="AC28" s="543">
        <f t="shared" si="1"/>
        <v>361</v>
      </c>
    </row>
    <row r="29" spans="1:29" s="426" customFormat="1" ht="19.399999999999999" customHeight="1">
      <c r="A29" s="422">
        <v>726</v>
      </c>
      <c r="B29" s="423" t="s">
        <v>2557</v>
      </c>
      <c r="C29" s="423" t="s">
        <v>2590</v>
      </c>
      <c r="D29" s="423" t="s">
        <v>2315</v>
      </c>
      <c r="E29" s="424" t="s">
        <v>2591</v>
      </c>
      <c r="F29" s="422">
        <v>199854279</v>
      </c>
      <c r="G29" s="425">
        <v>1733</v>
      </c>
      <c r="H29" s="422" t="s">
        <v>2476</v>
      </c>
      <c r="I29" s="425" t="s">
        <v>2059</v>
      </c>
      <c r="J29" s="515">
        <v>39</v>
      </c>
      <c r="K29" s="515">
        <v>32</v>
      </c>
      <c r="L29" s="515">
        <v>30</v>
      </c>
      <c r="M29" s="515">
        <v>27</v>
      </c>
      <c r="N29" s="515">
        <v>36</v>
      </c>
      <c r="O29" s="515">
        <v>23</v>
      </c>
      <c r="P29" s="422">
        <f t="shared" si="0"/>
        <v>187</v>
      </c>
      <c r="Q29" s="533">
        <v>37</v>
      </c>
      <c r="R29" s="533">
        <v>26</v>
      </c>
      <c r="S29" s="533">
        <v>36</v>
      </c>
      <c r="T29" s="533">
        <v>29</v>
      </c>
      <c r="U29" s="533">
        <v>30</v>
      </c>
      <c r="V29" s="533">
        <v>25</v>
      </c>
      <c r="W29" s="533">
        <v>31</v>
      </c>
      <c r="X29" s="533">
        <v>24</v>
      </c>
      <c r="Y29" s="533">
        <v>36</v>
      </c>
      <c r="Z29" s="533">
        <v>27</v>
      </c>
      <c r="AA29" s="533">
        <v>34</v>
      </c>
      <c r="AB29" s="533">
        <v>24</v>
      </c>
      <c r="AC29" s="543">
        <f t="shared" si="1"/>
        <v>359</v>
      </c>
    </row>
    <row r="30" spans="1:29" s="426" customFormat="1" ht="19.399999999999999" customHeight="1">
      <c r="A30" s="422">
        <v>727</v>
      </c>
      <c r="B30" s="423" t="s">
        <v>2553</v>
      </c>
      <c r="C30" s="423" t="s">
        <v>2554</v>
      </c>
      <c r="D30" s="423" t="s">
        <v>2555</v>
      </c>
      <c r="E30" s="424" t="s">
        <v>2556</v>
      </c>
      <c r="F30" s="422">
        <v>199348465</v>
      </c>
      <c r="G30" s="425">
        <v>893</v>
      </c>
      <c r="H30" s="422" t="s">
        <v>2476</v>
      </c>
      <c r="I30" s="425" t="s">
        <v>2059</v>
      </c>
      <c r="J30" s="515">
        <v>33</v>
      </c>
      <c r="K30" s="515">
        <v>37</v>
      </c>
      <c r="L30" s="515">
        <v>48</v>
      </c>
      <c r="M30" s="515">
        <v>26</v>
      </c>
      <c r="N30" s="515">
        <v>29</v>
      </c>
      <c r="O30" s="515">
        <v>25</v>
      </c>
      <c r="P30" s="422">
        <f t="shared" si="0"/>
        <v>198</v>
      </c>
      <c r="Q30" s="533">
        <v>37</v>
      </c>
      <c r="R30" s="533">
        <v>26</v>
      </c>
      <c r="S30" s="533">
        <v>40</v>
      </c>
      <c r="T30" s="533">
        <v>24</v>
      </c>
      <c r="U30" s="533">
        <v>39</v>
      </c>
      <c r="V30" s="533">
        <v>34</v>
      </c>
      <c r="W30" s="533">
        <v>35</v>
      </c>
      <c r="X30" s="533">
        <v>28</v>
      </c>
      <c r="Y30" s="533">
        <v>40</v>
      </c>
      <c r="Z30" s="533">
        <v>29</v>
      </c>
      <c r="AA30" s="533">
        <v>38</v>
      </c>
      <c r="AB30" s="533">
        <v>27</v>
      </c>
      <c r="AC30" s="543">
        <f t="shared" si="1"/>
        <v>397</v>
      </c>
    </row>
    <row r="31" spans="1:29" s="426" customFormat="1" ht="19.399999999999999" customHeight="1">
      <c r="A31" s="422">
        <v>728</v>
      </c>
      <c r="B31" s="423" t="s">
        <v>2558</v>
      </c>
      <c r="C31" s="423" t="s">
        <v>2559</v>
      </c>
      <c r="D31" s="423" t="s">
        <v>2560</v>
      </c>
      <c r="E31" s="424" t="s">
        <v>2561</v>
      </c>
      <c r="F31" s="422">
        <v>140902695</v>
      </c>
      <c r="G31" s="425">
        <v>1596</v>
      </c>
      <c r="H31" s="422" t="s">
        <v>2476</v>
      </c>
      <c r="I31" s="425" t="s">
        <v>2059</v>
      </c>
      <c r="J31" s="515">
        <v>34</v>
      </c>
      <c r="K31" s="515">
        <v>42</v>
      </c>
      <c r="L31" s="515">
        <v>47</v>
      </c>
      <c r="M31" s="515">
        <v>29</v>
      </c>
      <c r="N31" s="515">
        <v>29</v>
      </c>
      <c r="O31" s="515">
        <v>24</v>
      </c>
      <c r="P31" s="422">
        <f t="shared" si="0"/>
        <v>205</v>
      </c>
      <c r="Q31" s="533">
        <v>40</v>
      </c>
      <c r="R31" s="533">
        <v>32</v>
      </c>
      <c r="S31" s="533">
        <v>41</v>
      </c>
      <c r="T31" s="533">
        <v>28</v>
      </c>
      <c r="U31" s="533">
        <v>52</v>
      </c>
      <c r="V31" s="533">
        <v>34</v>
      </c>
      <c r="W31" s="533">
        <v>34</v>
      </c>
      <c r="X31" s="533">
        <v>26</v>
      </c>
      <c r="Y31" s="533">
        <v>36</v>
      </c>
      <c r="Z31" s="533">
        <v>26</v>
      </c>
      <c r="AA31" s="533">
        <v>39</v>
      </c>
      <c r="AB31" s="533">
        <v>24</v>
      </c>
      <c r="AC31" s="543">
        <f t="shared" si="1"/>
        <v>412</v>
      </c>
    </row>
    <row r="32" spans="1:29" s="426" customFormat="1" ht="19.399999999999999" customHeight="1">
      <c r="A32" s="422">
        <v>729</v>
      </c>
      <c r="B32" s="423" t="s">
        <v>2562</v>
      </c>
      <c r="C32" s="423" t="s">
        <v>2563</v>
      </c>
      <c r="D32" s="423" t="s">
        <v>2564</v>
      </c>
      <c r="E32" s="424" t="s">
        <v>2565</v>
      </c>
      <c r="F32" s="422">
        <v>199438318</v>
      </c>
      <c r="G32" s="425">
        <v>910</v>
      </c>
      <c r="H32" s="422" t="s">
        <v>2476</v>
      </c>
      <c r="I32" s="425" t="s">
        <v>2059</v>
      </c>
      <c r="J32" s="515">
        <v>56</v>
      </c>
      <c r="K32" s="515">
        <v>57</v>
      </c>
      <c r="L32" s="515">
        <v>58</v>
      </c>
      <c r="M32" s="515">
        <v>49</v>
      </c>
      <c r="N32" s="515">
        <v>59</v>
      </c>
      <c r="O32" s="515">
        <v>35</v>
      </c>
      <c r="P32" s="422">
        <f t="shared" si="0"/>
        <v>314</v>
      </c>
      <c r="Q32" s="533">
        <v>50</v>
      </c>
      <c r="R32" s="533">
        <v>38</v>
      </c>
      <c r="S32" s="533">
        <v>58</v>
      </c>
      <c r="T32" s="533">
        <v>38</v>
      </c>
      <c r="U32" s="533">
        <v>56</v>
      </c>
      <c r="V32" s="533">
        <v>38</v>
      </c>
      <c r="W32" s="533">
        <v>55</v>
      </c>
      <c r="X32" s="533">
        <v>36</v>
      </c>
      <c r="Y32" s="533">
        <v>53</v>
      </c>
      <c r="Z32" s="533">
        <v>39</v>
      </c>
      <c r="AA32" s="533">
        <v>56</v>
      </c>
      <c r="AB32" s="533">
        <v>30</v>
      </c>
      <c r="AC32" s="543">
        <f t="shared" si="1"/>
        <v>547</v>
      </c>
    </row>
    <row r="33" spans="1:29" s="426" customFormat="1" ht="19.399999999999999" customHeight="1">
      <c r="A33" s="422">
        <v>730</v>
      </c>
      <c r="B33" s="423" t="s">
        <v>2566</v>
      </c>
      <c r="C33" s="423" t="s">
        <v>2567</v>
      </c>
      <c r="D33" s="423" t="s">
        <v>2568</v>
      </c>
      <c r="E33" s="424" t="s">
        <v>3362</v>
      </c>
      <c r="F33" s="422">
        <v>194944883</v>
      </c>
      <c r="G33" s="425">
        <v>1655</v>
      </c>
      <c r="H33" s="422" t="s">
        <v>2476</v>
      </c>
      <c r="I33" s="425" t="s">
        <v>2059</v>
      </c>
      <c r="J33" s="515">
        <v>35</v>
      </c>
      <c r="K33" s="515">
        <v>33</v>
      </c>
      <c r="L33" s="515">
        <v>39</v>
      </c>
      <c r="M33" s="515">
        <v>24</v>
      </c>
      <c r="N33" s="515">
        <v>25</v>
      </c>
      <c r="O33" s="515">
        <v>26</v>
      </c>
      <c r="P33" s="422">
        <f t="shared" si="0"/>
        <v>182</v>
      </c>
      <c r="Q33" s="533">
        <v>31</v>
      </c>
      <c r="R33" s="533">
        <v>25</v>
      </c>
      <c r="S33" s="533">
        <v>32</v>
      </c>
      <c r="T33" s="533">
        <v>26</v>
      </c>
      <c r="U33" s="533">
        <v>41</v>
      </c>
      <c r="V33" s="533">
        <v>28</v>
      </c>
      <c r="W33" s="533">
        <v>30</v>
      </c>
      <c r="X33" s="533">
        <v>26</v>
      </c>
      <c r="Y33" s="533">
        <v>33</v>
      </c>
      <c r="Z33" s="533">
        <v>24</v>
      </c>
      <c r="AA33" s="533">
        <v>41</v>
      </c>
      <c r="AB33" s="533">
        <v>25</v>
      </c>
      <c r="AC33" s="543">
        <f t="shared" si="1"/>
        <v>362</v>
      </c>
    </row>
    <row r="34" spans="1:29" ht="19.399999999999999" customHeight="1">
      <c r="A34" s="422">
        <v>731</v>
      </c>
      <c r="B34" s="428" t="s">
        <v>2592</v>
      </c>
      <c r="C34" s="428" t="s">
        <v>2593</v>
      </c>
      <c r="D34" s="428" t="s">
        <v>2594</v>
      </c>
      <c r="E34" s="431" t="s">
        <v>2595</v>
      </c>
      <c r="F34" s="429">
        <v>304162189</v>
      </c>
      <c r="G34" s="430">
        <v>1837</v>
      </c>
      <c r="H34" s="422" t="s">
        <v>2476</v>
      </c>
      <c r="I34" s="425" t="s">
        <v>2059</v>
      </c>
      <c r="J34" s="515">
        <v>53</v>
      </c>
      <c r="K34" s="515">
        <v>58</v>
      </c>
      <c r="L34" s="515">
        <v>48</v>
      </c>
      <c r="M34" s="515">
        <v>27</v>
      </c>
      <c r="N34" s="515">
        <v>46</v>
      </c>
      <c r="O34" s="515">
        <v>32</v>
      </c>
      <c r="P34" s="422">
        <f t="shared" si="0"/>
        <v>264</v>
      </c>
      <c r="Q34" s="533">
        <v>50</v>
      </c>
      <c r="R34" s="533">
        <v>38</v>
      </c>
      <c r="S34" s="533">
        <v>52</v>
      </c>
      <c r="T34" s="533">
        <v>37</v>
      </c>
      <c r="U34" s="533">
        <v>41</v>
      </c>
      <c r="V34" s="533">
        <v>34</v>
      </c>
      <c r="W34" s="533">
        <v>35</v>
      </c>
      <c r="X34" s="533">
        <v>26</v>
      </c>
      <c r="Y34" s="533">
        <v>42</v>
      </c>
      <c r="Z34" s="533">
        <v>30</v>
      </c>
      <c r="AA34" s="533">
        <v>54</v>
      </c>
      <c r="AB34" s="533">
        <v>25</v>
      </c>
      <c r="AC34" s="543">
        <f t="shared" si="1"/>
        <v>464</v>
      </c>
    </row>
    <row r="35" spans="1:29" s="426" customFormat="1" ht="19.399999999999999" customHeight="1">
      <c r="A35" s="422">
        <v>732</v>
      </c>
      <c r="B35" s="423" t="s">
        <v>2444</v>
      </c>
      <c r="C35" s="423" t="s">
        <v>590</v>
      </c>
      <c r="D35" s="423" t="s">
        <v>2569</v>
      </c>
      <c r="E35" s="424" t="s">
        <v>2570</v>
      </c>
      <c r="F35" s="422">
        <v>135269354</v>
      </c>
      <c r="G35" s="425">
        <v>917</v>
      </c>
      <c r="H35" s="422" t="s">
        <v>2476</v>
      </c>
      <c r="I35" s="425" t="s">
        <v>2059</v>
      </c>
      <c r="J35" s="515">
        <v>37</v>
      </c>
      <c r="K35" s="515">
        <v>33</v>
      </c>
      <c r="L35" s="515">
        <v>33</v>
      </c>
      <c r="M35" s="515">
        <v>39</v>
      </c>
      <c r="N35" s="515">
        <v>32</v>
      </c>
      <c r="O35" s="515">
        <v>24</v>
      </c>
      <c r="P35" s="422">
        <f t="shared" si="0"/>
        <v>198</v>
      </c>
      <c r="Q35" s="533">
        <v>30</v>
      </c>
      <c r="R35" s="533">
        <v>25</v>
      </c>
      <c r="S35" s="533">
        <v>40</v>
      </c>
      <c r="T35" s="533">
        <v>27</v>
      </c>
      <c r="U35" s="533">
        <v>32</v>
      </c>
      <c r="V35" s="533">
        <v>25</v>
      </c>
      <c r="W35" s="533">
        <v>32</v>
      </c>
      <c r="X35" s="533">
        <v>28</v>
      </c>
      <c r="Y35" s="533">
        <v>35</v>
      </c>
      <c r="Z35" s="533">
        <v>25</v>
      </c>
      <c r="AA35" s="533">
        <v>38</v>
      </c>
      <c r="AB35" s="533">
        <v>23</v>
      </c>
      <c r="AC35" s="543">
        <f t="shared" si="1"/>
        <v>360</v>
      </c>
    </row>
    <row r="36" spans="1:29" s="426" customFormat="1" ht="19.399999999999999" customHeight="1">
      <c r="A36" s="422">
        <v>733</v>
      </c>
      <c r="B36" s="423" t="s">
        <v>2571</v>
      </c>
      <c r="C36" s="423" t="s">
        <v>2572</v>
      </c>
      <c r="D36" s="423" t="s">
        <v>2573</v>
      </c>
      <c r="E36" s="424" t="s">
        <v>2574</v>
      </c>
      <c r="F36" s="422">
        <v>196413850</v>
      </c>
      <c r="G36" s="425">
        <v>923</v>
      </c>
      <c r="H36" s="422" t="s">
        <v>2476</v>
      </c>
      <c r="I36" s="425" t="s">
        <v>2059</v>
      </c>
      <c r="J36" s="515">
        <v>36</v>
      </c>
      <c r="K36" s="515">
        <v>34</v>
      </c>
      <c r="L36" s="515">
        <v>30</v>
      </c>
      <c r="M36" s="515">
        <v>25</v>
      </c>
      <c r="N36" s="515">
        <v>34</v>
      </c>
      <c r="O36" s="515">
        <v>23</v>
      </c>
      <c r="P36" s="422">
        <f t="shared" si="0"/>
        <v>182</v>
      </c>
      <c r="Q36" s="533">
        <v>35</v>
      </c>
      <c r="R36" s="533">
        <v>25</v>
      </c>
      <c r="S36" s="533">
        <v>33</v>
      </c>
      <c r="T36" s="533">
        <v>26</v>
      </c>
      <c r="U36" s="533">
        <v>30</v>
      </c>
      <c r="V36" s="533">
        <v>24</v>
      </c>
      <c r="W36" s="533">
        <v>36</v>
      </c>
      <c r="X36" s="533">
        <v>25</v>
      </c>
      <c r="Y36" s="533">
        <v>30</v>
      </c>
      <c r="Z36" s="533">
        <v>24</v>
      </c>
      <c r="AA36" s="533">
        <v>37</v>
      </c>
      <c r="AB36" s="533">
        <v>23</v>
      </c>
      <c r="AC36" s="543">
        <f t="shared" si="1"/>
        <v>348</v>
      </c>
    </row>
    <row r="37" spans="1:29" s="426" customFormat="1" ht="19.399999999999999" customHeight="1">
      <c r="A37" s="422">
        <v>734</v>
      </c>
      <c r="B37" s="423" t="s">
        <v>2575</v>
      </c>
      <c r="C37" s="423" t="s">
        <v>2576</v>
      </c>
      <c r="D37" s="423" t="s">
        <v>2577</v>
      </c>
      <c r="E37" s="424" t="s">
        <v>2578</v>
      </c>
      <c r="F37" s="422">
        <v>198254024</v>
      </c>
      <c r="G37" s="425">
        <v>916</v>
      </c>
      <c r="H37" s="422" t="s">
        <v>2476</v>
      </c>
      <c r="I37" s="425" t="s">
        <v>2059</v>
      </c>
      <c r="J37" s="515">
        <v>39</v>
      </c>
      <c r="K37" s="515">
        <v>42</v>
      </c>
      <c r="L37" s="515">
        <v>34</v>
      </c>
      <c r="M37" s="515">
        <v>26</v>
      </c>
      <c r="N37" s="515">
        <v>31</v>
      </c>
      <c r="O37" s="515">
        <v>24</v>
      </c>
      <c r="P37" s="422">
        <f t="shared" si="0"/>
        <v>196</v>
      </c>
      <c r="Q37" s="533">
        <v>33</v>
      </c>
      <c r="R37" s="533">
        <v>31</v>
      </c>
      <c r="S37" s="533">
        <v>34</v>
      </c>
      <c r="T37" s="533">
        <v>29</v>
      </c>
      <c r="U37" s="533">
        <v>35</v>
      </c>
      <c r="V37" s="533">
        <v>26</v>
      </c>
      <c r="W37" s="533">
        <v>30</v>
      </c>
      <c r="X37" s="533">
        <v>24</v>
      </c>
      <c r="Y37" s="533">
        <v>36</v>
      </c>
      <c r="Z37" s="533">
        <v>25</v>
      </c>
      <c r="AA37" s="533">
        <v>35</v>
      </c>
      <c r="AB37" s="533">
        <v>24</v>
      </c>
      <c r="AC37" s="543">
        <f t="shared" si="1"/>
        <v>362</v>
      </c>
    </row>
    <row r="38" spans="1:29" ht="19.399999999999999" customHeight="1">
      <c r="A38" s="422">
        <v>735</v>
      </c>
      <c r="B38" s="428" t="s">
        <v>2579</v>
      </c>
      <c r="C38" s="428" t="s">
        <v>2334</v>
      </c>
      <c r="D38" s="428" t="s">
        <v>2335</v>
      </c>
      <c r="E38" s="427" t="s">
        <v>2596</v>
      </c>
      <c r="F38" s="429">
        <v>309221673</v>
      </c>
      <c r="G38" s="430">
        <v>1683</v>
      </c>
      <c r="H38" s="422" t="s">
        <v>2476</v>
      </c>
      <c r="I38" s="425" t="s">
        <v>2059</v>
      </c>
      <c r="J38" s="515">
        <v>43</v>
      </c>
      <c r="K38" s="515">
        <v>43</v>
      </c>
      <c r="L38" s="515">
        <v>32</v>
      </c>
      <c r="M38" s="515">
        <v>31</v>
      </c>
      <c r="N38" s="515">
        <v>33</v>
      </c>
      <c r="O38" s="515">
        <v>26</v>
      </c>
      <c r="P38" s="422">
        <f t="shared" si="0"/>
        <v>208</v>
      </c>
      <c r="Q38" s="533">
        <v>46</v>
      </c>
      <c r="R38" s="533">
        <v>30</v>
      </c>
      <c r="S38" s="533">
        <v>50</v>
      </c>
      <c r="T38" s="533">
        <v>31</v>
      </c>
      <c r="U38" s="533">
        <v>38</v>
      </c>
      <c r="V38" s="533">
        <v>24</v>
      </c>
      <c r="W38" s="533">
        <v>45</v>
      </c>
      <c r="X38" s="533">
        <v>24</v>
      </c>
      <c r="Y38" s="533">
        <v>35</v>
      </c>
      <c r="Z38" s="533">
        <v>25</v>
      </c>
      <c r="AA38" s="533">
        <v>44</v>
      </c>
      <c r="AB38" s="533">
        <v>23</v>
      </c>
      <c r="AC38" s="543">
        <f t="shared" si="1"/>
        <v>415</v>
      </c>
    </row>
    <row r="39" spans="1:29" s="426" customFormat="1" ht="19.399999999999999" customHeight="1">
      <c r="A39" s="422">
        <v>736</v>
      </c>
      <c r="B39" s="423" t="s">
        <v>2580</v>
      </c>
      <c r="C39" s="423" t="s">
        <v>2581</v>
      </c>
      <c r="D39" s="423" t="s">
        <v>2582</v>
      </c>
      <c r="E39" s="424" t="s">
        <v>2583</v>
      </c>
      <c r="F39" s="422">
        <v>184701898</v>
      </c>
      <c r="G39" s="425">
        <v>787</v>
      </c>
      <c r="H39" s="422" t="s">
        <v>2476</v>
      </c>
      <c r="I39" s="425" t="s">
        <v>2059</v>
      </c>
      <c r="J39" s="515">
        <v>36</v>
      </c>
      <c r="K39" s="515">
        <v>36</v>
      </c>
      <c r="L39" s="515">
        <v>36</v>
      </c>
      <c r="M39" s="515">
        <v>33</v>
      </c>
      <c r="N39" s="515">
        <v>32</v>
      </c>
      <c r="O39" s="515">
        <v>23</v>
      </c>
      <c r="P39" s="422">
        <f t="shared" si="0"/>
        <v>196</v>
      </c>
      <c r="Q39" s="533">
        <v>32</v>
      </c>
      <c r="R39" s="533">
        <v>28</v>
      </c>
      <c r="S39" s="533">
        <v>33</v>
      </c>
      <c r="T39" s="533">
        <v>28</v>
      </c>
      <c r="U39" s="533">
        <v>34</v>
      </c>
      <c r="V39" s="533">
        <v>29</v>
      </c>
      <c r="W39" s="533">
        <v>40</v>
      </c>
      <c r="X39" s="533">
        <v>24</v>
      </c>
      <c r="Y39" s="533">
        <v>33</v>
      </c>
      <c r="Z39" s="533">
        <v>24</v>
      </c>
      <c r="AA39" s="533">
        <v>35</v>
      </c>
      <c r="AB39" s="533">
        <v>23</v>
      </c>
      <c r="AC39" s="543">
        <f t="shared" si="1"/>
        <v>363</v>
      </c>
    </row>
    <row r="40" spans="1:29" s="426" customFormat="1" ht="19.399999999999999" customHeight="1">
      <c r="A40" s="422">
        <v>737</v>
      </c>
      <c r="B40" s="423" t="s">
        <v>2584</v>
      </c>
      <c r="C40" s="426" t="s">
        <v>2585</v>
      </c>
      <c r="D40" s="423" t="s">
        <v>43</v>
      </c>
      <c r="E40" s="424" t="s">
        <v>2586</v>
      </c>
      <c r="F40" s="422">
        <v>187582964</v>
      </c>
      <c r="G40" s="425">
        <v>1006</v>
      </c>
      <c r="H40" s="422" t="s">
        <v>2476</v>
      </c>
      <c r="I40" s="425" t="s">
        <v>2059</v>
      </c>
      <c r="J40" s="515">
        <v>33</v>
      </c>
      <c r="K40" s="515">
        <v>32</v>
      </c>
      <c r="L40" s="515">
        <v>36</v>
      </c>
      <c r="M40" s="515">
        <v>30</v>
      </c>
      <c r="N40" s="515">
        <v>32</v>
      </c>
      <c r="O40" s="515">
        <v>24</v>
      </c>
      <c r="P40" s="422">
        <f t="shared" si="0"/>
        <v>187</v>
      </c>
      <c r="Q40" s="533">
        <v>30</v>
      </c>
      <c r="R40" s="533">
        <v>24</v>
      </c>
      <c r="S40" s="533">
        <v>31</v>
      </c>
      <c r="T40" s="533">
        <v>24</v>
      </c>
      <c r="U40" s="533">
        <v>30</v>
      </c>
      <c r="V40" s="533">
        <v>25</v>
      </c>
      <c r="W40" s="533">
        <v>30</v>
      </c>
      <c r="X40" s="533">
        <v>24</v>
      </c>
      <c r="Y40" s="533">
        <v>32</v>
      </c>
      <c r="Z40" s="533">
        <v>25</v>
      </c>
      <c r="AA40" s="533">
        <v>34</v>
      </c>
      <c r="AB40" s="533">
        <v>24</v>
      </c>
      <c r="AC40" s="543">
        <f t="shared" si="1"/>
        <v>333</v>
      </c>
    </row>
    <row r="41" spans="1:29" s="426" customFormat="1" ht="19.399999999999999" customHeight="1">
      <c r="A41" s="422">
        <v>738</v>
      </c>
      <c r="B41" s="423" t="s">
        <v>44</v>
      </c>
      <c r="C41" s="423" t="s">
        <v>2587</v>
      </c>
      <c r="D41" s="423" t="s">
        <v>2588</v>
      </c>
      <c r="E41" s="424" t="s">
        <v>2589</v>
      </c>
      <c r="F41" s="422">
        <v>193702529</v>
      </c>
      <c r="G41" s="425">
        <v>1122</v>
      </c>
      <c r="H41" s="422" t="s">
        <v>2476</v>
      </c>
      <c r="I41" s="425" t="s">
        <v>2059</v>
      </c>
      <c r="J41" s="515">
        <v>43</v>
      </c>
      <c r="K41" s="515">
        <v>45</v>
      </c>
      <c r="L41" s="515">
        <v>48</v>
      </c>
      <c r="M41" s="515">
        <v>34</v>
      </c>
      <c r="N41" s="515">
        <v>30</v>
      </c>
      <c r="O41" s="515">
        <v>26</v>
      </c>
      <c r="P41" s="422">
        <f t="shared" si="0"/>
        <v>226</v>
      </c>
      <c r="Q41" s="544">
        <v>45</v>
      </c>
      <c r="R41" s="544">
        <v>32</v>
      </c>
      <c r="S41" s="544">
        <v>43</v>
      </c>
      <c r="T41" s="544">
        <v>30</v>
      </c>
      <c r="U41" s="544">
        <v>42</v>
      </c>
      <c r="V41" s="544">
        <v>34</v>
      </c>
      <c r="W41" s="544">
        <v>39</v>
      </c>
      <c r="X41" s="544">
        <v>25</v>
      </c>
      <c r="Y41" s="544">
        <v>40</v>
      </c>
      <c r="Z41" s="544">
        <v>24</v>
      </c>
      <c r="AA41" s="544">
        <v>49</v>
      </c>
      <c r="AB41" s="545">
        <v>24</v>
      </c>
      <c r="AC41" s="543">
        <f t="shared" si="1"/>
        <v>427</v>
      </c>
    </row>
    <row r="42" spans="1:29" ht="17.5">
      <c r="M42" s="426"/>
    </row>
  </sheetData>
  <autoFilter ref="A3:F27">
    <sortState ref="A4:F27">
      <sortCondition ref="B3:B27"/>
    </sortState>
  </autoFilter>
  <mergeCells count="4">
    <mergeCell ref="A1:J1"/>
    <mergeCell ref="A2:I2"/>
    <mergeCell ref="J2:P2"/>
    <mergeCell ref="R2:AA2"/>
  </mergeCells>
  <phoneticPr fontId="77" type="noConversion"/>
  <pageMargins left="0.25" right="0.25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>
    <tabColor rgb="FFC00000"/>
  </sheetPr>
  <dimension ref="A2:I55"/>
  <sheetViews>
    <sheetView topLeftCell="A29" workbookViewId="0">
      <selection activeCell="E61" sqref="E61"/>
    </sheetView>
  </sheetViews>
  <sheetFormatPr defaultRowHeight="14.5"/>
  <cols>
    <col min="1" max="1" width="8.81640625" style="12"/>
    <col min="2" max="2" width="26.1796875" customWidth="1"/>
    <col min="3" max="3" width="37" customWidth="1"/>
    <col min="4" max="4" width="29.1796875" customWidth="1"/>
    <col min="5" max="5" width="15.54296875" customWidth="1"/>
    <col min="6" max="6" width="13.453125" customWidth="1"/>
    <col min="7" max="7" width="8.81640625" customWidth="1"/>
    <col min="8" max="8" width="8" customWidth="1"/>
    <col min="9" max="9" width="12.54296875" customWidth="1"/>
  </cols>
  <sheetData>
    <row r="2" spans="1:9" ht="15" thickBot="1"/>
    <row r="3" spans="1:9" s="377" customFormat="1" ht="31.75" customHeight="1" thickTop="1">
      <c r="A3" s="1" t="s">
        <v>0</v>
      </c>
      <c r="B3" s="1" t="s">
        <v>1</v>
      </c>
      <c r="C3" s="1" t="s">
        <v>2</v>
      </c>
      <c r="D3" s="1" t="s">
        <v>3</v>
      </c>
      <c r="E3" s="376" t="s">
        <v>4</v>
      </c>
      <c r="F3" s="1" t="s">
        <v>5</v>
      </c>
      <c r="G3" s="4" t="s">
        <v>6</v>
      </c>
      <c r="H3" s="244" t="s">
        <v>7</v>
      </c>
      <c r="I3" s="244" t="s">
        <v>8</v>
      </c>
    </row>
    <row r="4" spans="1:9" s="426" customFormat="1" ht="18" customHeight="1">
      <c r="A4" s="437">
        <v>801</v>
      </c>
      <c r="B4" s="423" t="s">
        <v>2597</v>
      </c>
      <c r="C4" s="423" t="s">
        <v>2598</v>
      </c>
      <c r="D4" s="423" t="s">
        <v>2599</v>
      </c>
      <c r="E4" s="475" t="s">
        <v>2600</v>
      </c>
      <c r="F4" s="437">
        <v>127666876</v>
      </c>
      <c r="G4" s="476">
        <v>734</v>
      </c>
      <c r="H4" s="437" t="s">
        <v>2203</v>
      </c>
      <c r="I4" s="423" t="s">
        <v>2059</v>
      </c>
    </row>
    <row r="5" spans="1:9" s="426" customFormat="1" ht="17.5">
      <c r="A5" s="437">
        <v>802</v>
      </c>
      <c r="B5" s="423" t="s">
        <v>2601</v>
      </c>
      <c r="C5" s="423" t="s">
        <v>2602</v>
      </c>
      <c r="D5" s="423" t="s">
        <v>2603</v>
      </c>
      <c r="E5" s="424" t="s">
        <v>2604</v>
      </c>
      <c r="F5" s="422">
        <v>139949477</v>
      </c>
      <c r="G5" s="425">
        <v>738</v>
      </c>
      <c r="H5" s="422" t="s">
        <v>2203</v>
      </c>
      <c r="I5" s="422" t="s">
        <v>2059</v>
      </c>
    </row>
    <row r="6" spans="1:9" s="426" customFormat="1" ht="17.5">
      <c r="A6" s="437">
        <v>803</v>
      </c>
      <c r="B6" s="423" t="s">
        <v>2605</v>
      </c>
      <c r="C6" s="423" t="s">
        <v>2606</v>
      </c>
      <c r="D6" s="423" t="s">
        <v>2607</v>
      </c>
      <c r="E6" s="424" t="s">
        <v>2608</v>
      </c>
      <c r="F6" s="422">
        <v>187006308</v>
      </c>
      <c r="G6" s="425">
        <v>714</v>
      </c>
      <c r="H6" s="422" t="s">
        <v>2203</v>
      </c>
      <c r="I6" s="422" t="s">
        <v>2059</v>
      </c>
    </row>
    <row r="7" spans="1:9" s="426" customFormat="1" ht="17.5">
      <c r="A7" s="437">
        <v>804</v>
      </c>
      <c r="B7" s="423" t="s">
        <v>2609</v>
      </c>
      <c r="C7" s="423" t="s">
        <v>2455</v>
      </c>
      <c r="D7" s="423" t="s">
        <v>2610</v>
      </c>
      <c r="E7" s="424" t="s">
        <v>2611</v>
      </c>
      <c r="F7" s="422">
        <v>195170781</v>
      </c>
      <c r="G7" s="425">
        <v>740</v>
      </c>
      <c r="H7" s="422" t="s">
        <v>2203</v>
      </c>
      <c r="I7" s="422" t="s">
        <v>2059</v>
      </c>
    </row>
    <row r="8" spans="1:9" s="426" customFormat="1" ht="17.5">
      <c r="A8" s="437">
        <v>805</v>
      </c>
      <c r="B8" s="423" t="s">
        <v>2612</v>
      </c>
      <c r="C8" s="423" t="s">
        <v>2613</v>
      </c>
      <c r="D8" s="423" t="s">
        <v>2614</v>
      </c>
      <c r="E8" s="424" t="s">
        <v>2615</v>
      </c>
      <c r="F8" s="422">
        <v>194427487</v>
      </c>
      <c r="G8" s="425">
        <v>736</v>
      </c>
      <c r="H8" s="422" t="s">
        <v>2203</v>
      </c>
      <c r="I8" s="422" t="s">
        <v>2059</v>
      </c>
    </row>
    <row r="9" spans="1:9" s="426" customFormat="1" ht="17.5">
      <c r="A9" s="437">
        <v>806</v>
      </c>
      <c r="B9" s="423" t="s">
        <v>2616</v>
      </c>
      <c r="C9" s="423" t="s">
        <v>2617</v>
      </c>
      <c r="D9" s="423" t="s">
        <v>2618</v>
      </c>
      <c r="E9" s="424" t="s">
        <v>2619</v>
      </c>
      <c r="F9" s="422">
        <v>301996138</v>
      </c>
      <c r="G9" s="425">
        <v>721</v>
      </c>
      <c r="H9" s="422" t="s">
        <v>2203</v>
      </c>
      <c r="I9" s="422" t="s">
        <v>2059</v>
      </c>
    </row>
    <row r="10" spans="1:9" s="426" customFormat="1" ht="17.5">
      <c r="A10" s="437">
        <v>807</v>
      </c>
      <c r="B10" s="423" t="s">
        <v>2620</v>
      </c>
      <c r="C10" s="423" t="s">
        <v>2514</v>
      </c>
      <c r="D10" s="423" t="s">
        <v>2515</v>
      </c>
      <c r="E10" s="424" t="s">
        <v>2621</v>
      </c>
      <c r="F10" s="422">
        <v>109359760</v>
      </c>
      <c r="G10" s="425">
        <v>726</v>
      </c>
      <c r="H10" s="422" t="s">
        <v>2203</v>
      </c>
      <c r="I10" s="422" t="s">
        <v>2059</v>
      </c>
    </row>
    <row r="11" spans="1:9" s="426" customFormat="1" ht="17.5">
      <c r="A11" s="437">
        <v>808</v>
      </c>
      <c r="B11" s="423" t="s">
        <v>2622</v>
      </c>
      <c r="C11" s="423" t="s">
        <v>2386</v>
      </c>
      <c r="D11" s="423" t="s">
        <v>2623</v>
      </c>
      <c r="E11" s="424" t="s">
        <v>2624</v>
      </c>
      <c r="F11" s="422">
        <v>196854470</v>
      </c>
      <c r="G11" s="425">
        <v>728</v>
      </c>
      <c r="H11" s="422" t="s">
        <v>2203</v>
      </c>
      <c r="I11" s="422" t="s">
        <v>2059</v>
      </c>
    </row>
    <row r="12" spans="1:9" s="426" customFormat="1" ht="17.5">
      <c r="A12" s="437">
        <v>809</v>
      </c>
      <c r="B12" s="423" t="s">
        <v>2625</v>
      </c>
      <c r="C12" s="423" t="s">
        <v>2626</v>
      </c>
      <c r="D12" s="423" t="s">
        <v>2627</v>
      </c>
      <c r="E12" s="424" t="s">
        <v>2628</v>
      </c>
      <c r="F12" s="422">
        <v>157192817</v>
      </c>
      <c r="G12" s="425">
        <v>727</v>
      </c>
      <c r="H12" s="422" t="s">
        <v>2203</v>
      </c>
      <c r="I12" s="422" t="s">
        <v>2059</v>
      </c>
    </row>
    <row r="13" spans="1:9" s="426" customFormat="1" ht="17.5">
      <c r="A13" s="437">
        <v>810</v>
      </c>
      <c r="B13" s="423" t="s">
        <v>2629</v>
      </c>
      <c r="C13" s="423" t="s">
        <v>2630</v>
      </c>
      <c r="D13" s="423" t="s">
        <v>2631</v>
      </c>
      <c r="E13" s="424" t="s">
        <v>2632</v>
      </c>
      <c r="F13" s="422">
        <v>137570299</v>
      </c>
      <c r="G13" s="425">
        <v>1424</v>
      </c>
      <c r="H13" s="422" t="s">
        <v>2203</v>
      </c>
      <c r="I13" s="422" t="s">
        <v>2059</v>
      </c>
    </row>
    <row r="14" spans="1:9" s="426" customFormat="1" ht="17.5">
      <c r="A14" s="437">
        <v>811</v>
      </c>
      <c r="B14" s="423" t="s">
        <v>2633</v>
      </c>
      <c r="C14" s="423" t="s">
        <v>2634</v>
      </c>
      <c r="D14" s="423" t="s">
        <v>2635</v>
      </c>
      <c r="E14" s="424" t="s">
        <v>2636</v>
      </c>
      <c r="F14" s="422">
        <v>188831012</v>
      </c>
      <c r="G14" s="425">
        <v>747</v>
      </c>
      <c r="H14" s="422" t="s">
        <v>2203</v>
      </c>
      <c r="I14" s="422" t="s">
        <v>2059</v>
      </c>
    </row>
    <row r="15" spans="1:9" s="426" customFormat="1" ht="17.5">
      <c r="A15" s="437">
        <v>812</v>
      </c>
      <c r="B15" s="423" t="s">
        <v>2637</v>
      </c>
      <c r="C15" s="423" t="s">
        <v>2638</v>
      </c>
      <c r="D15" s="423" t="s">
        <v>2639</v>
      </c>
      <c r="E15" s="424" t="s">
        <v>2640</v>
      </c>
      <c r="F15" s="422">
        <v>199892226</v>
      </c>
      <c r="G15" s="425">
        <v>745</v>
      </c>
      <c r="H15" s="422" t="s">
        <v>2203</v>
      </c>
      <c r="I15" s="422" t="s">
        <v>2059</v>
      </c>
    </row>
    <row r="16" spans="1:9" s="426" customFormat="1" ht="17.5">
      <c r="A16" s="437">
        <v>813</v>
      </c>
      <c r="B16" s="426" t="s">
        <v>2641</v>
      </c>
      <c r="C16" s="423" t="s">
        <v>2642</v>
      </c>
      <c r="D16" s="423" t="s">
        <v>18</v>
      </c>
      <c r="E16" s="424" t="s">
        <v>2643</v>
      </c>
      <c r="F16" s="422">
        <v>124525517</v>
      </c>
      <c r="G16" s="425">
        <v>748</v>
      </c>
      <c r="H16" s="422" t="s">
        <v>2203</v>
      </c>
      <c r="I16" s="422" t="s">
        <v>2059</v>
      </c>
    </row>
    <row r="17" spans="1:9" s="426" customFormat="1" ht="17.5">
      <c r="A17" s="437">
        <v>814</v>
      </c>
      <c r="B17" s="423" t="s">
        <v>2644</v>
      </c>
      <c r="C17" s="423" t="s">
        <v>2645</v>
      </c>
      <c r="D17" s="423" t="s">
        <v>2646</v>
      </c>
      <c r="E17" s="424" t="s">
        <v>2647</v>
      </c>
      <c r="F17" s="422">
        <v>104490877</v>
      </c>
      <c r="G17" s="425">
        <v>746</v>
      </c>
      <c r="H17" s="422" t="s">
        <v>2203</v>
      </c>
      <c r="I17" s="422" t="s">
        <v>2059</v>
      </c>
    </row>
    <row r="18" spans="1:9" s="426" customFormat="1" ht="17.5">
      <c r="A18" s="437">
        <v>815</v>
      </c>
      <c r="B18" s="423" t="s">
        <v>2648</v>
      </c>
      <c r="C18" s="423" t="s">
        <v>490</v>
      </c>
      <c r="D18" s="423" t="s">
        <v>2649</v>
      </c>
      <c r="E18" s="424" t="s">
        <v>2650</v>
      </c>
      <c r="F18" s="422">
        <v>125389842</v>
      </c>
      <c r="G18" s="425">
        <v>1057</v>
      </c>
      <c r="H18" s="422" t="s">
        <v>2203</v>
      </c>
      <c r="I18" s="422" t="s">
        <v>2059</v>
      </c>
    </row>
    <row r="19" spans="1:9" s="426" customFormat="1" ht="17.5">
      <c r="A19" s="437">
        <v>816</v>
      </c>
      <c r="B19" s="423" t="s">
        <v>15</v>
      </c>
      <c r="C19" s="423" t="s">
        <v>22</v>
      </c>
      <c r="D19" s="423" t="s">
        <v>2651</v>
      </c>
      <c r="E19" s="424" t="s">
        <v>2652</v>
      </c>
      <c r="F19" s="422">
        <v>116626590</v>
      </c>
      <c r="G19" s="425">
        <v>1263</v>
      </c>
      <c r="H19" s="422" t="s">
        <v>2203</v>
      </c>
      <c r="I19" s="422" t="s">
        <v>2059</v>
      </c>
    </row>
    <row r="20" spans="1:9" s="426" customFormat="1" ht="17.5">
      <c r="A20" s="437">
        <v>817</v>
      </c>
      <c r="B20" s="423" t="s">
        <v>2653</v>
      </c>
      <c r="C20" s="423" t="s">
        <v>2514</v>
      </c>
      <c r="D20" s="423" t="s">
        <v>2531</v>
      </c>
      <c r="E20" s="424" t="s">
        <v>2521</v>
      </c>
      <c r="F20" s="422">
        <v>197073665</v>
      </c>
      <c r="G20" s="425">
        <v>1575</v>
      </c>
      <c r="H20" s="422" t="s">
        <v>2203</v>
      </c>
      <c r="I20" s="422" t="s">
        <v>2059</v>
      </c>
    </row>
    <row r="21" spans="1:9" s="426" customFormat="1" ht="17.5">
      <c r="A21" s="437">
        <v>818</v>
      </c>
      <c r="B21" s="423" t="s">
        <v>2654</v>
      </c>
      <c r="C21" s="423" t="s">
        <v>2655</v>
      </c>
      <c r="D21" s="423" t="s">
        <v>19</v>
      </c>
      <c r="E21" s="424" t="s">
        <v>2656</v>
      </c>
      <c r="F21" s="422">
        <v>110956618</v>
      </c>
      <c r="G21" s="425">
        <v>750</v>
      </c>
      <c r="H21" s="422" t="s">
        <v>2203</v>
      </c>
      <c r="I21" s="422" t="s">
        <v>2059</v>
      </c>
    </row>
    <row r="22" spans="1:9" s="426" customFormat="1" ht="17.5">
      <c r="A22" s="437">
        <v>819</v>
      </c>
      <c r="B22" s="423" t="s">
        <v>2657</v>
      </c>
      <c r="C22" s="423" t="s">
        <v>2395</v>
      </c>
      <c r="D22" s="423" t="s">
        <v>2658</v>
      </c>
      <c r="E22" s="424" t="s">
        <v>2659</v>
      </c>
      <c r="F22" s="422">
        <v>132572231</v>
      </c>
      <c r="G22" s="425">
        <v>708</v>
      </c>
      <c r="H22" s="422" t="s">
        <v>2203</v>
      </c>
      <c r="I22" s="422" t="s">
        <v>2059</v>
      </c>
    </row>
    <row r="23" spans="1:9" s="426" customFormat="1" ht="17.5">
      <c r="A23" s="437">
        <v>820</v>
      </c>
      <c r="B23" s="423" t="s">
        <v>2660</v>
      </c>
      <c r="C23" s="423" t="s">
        <v>2661</v>
      </c>
      <c r="D23" s="423" t="s">
        <v>2662</v>
      </c>
      <c r="E23" s="424" t="s">
        <v>2663</v>
      </c>
      <c r="F23" s="422">
        <v>108393570</v>
      </c>
      <c r="G23" s="425">
        <v>731</v>
      </c>
      <c r="H23" s="422" t="s">
        <v>2203</v>
      </c>
      <c r="I23" s="422" t="s">
        <v>2059</v>
      </c>
    </row>
    <row r="24" spans="1:9" s="426" customFormat="1" ht="17.5">
      <c r="A24" s="437">
        <v>821</v>
      </c>
      <c r="B24" s="423" t="s">
        <v>2664</v>
      </c>
      <c r="C24" s="423" t="s">
        <v>2665</v>
      </c>
      <c r="D24" s="423" t="s">
        <v>20</v>
      </c>
      <c r="E24" s="424" t="s">
        <v>2666</v>
      </c>
      <c r="F24" s="422">
        <v>194157672</v>
      </c>
      <c r="G24" s="425">
        <v>735</v>
      </c>
      <c r="H24" s="422" t="s">
        <v>2203</v>
      </c>
      <c r="I24" s="422" t="s">
        <v>2059</v>
      </c>
    </row>
    <row r="25" spans="1:9" s="426" customFormat="1" ht="17.5">
      <c r="A25" s="437">
        <v>822</v>
      </c>
      <c r="B25" s="423" t="s">
        <v>2667</v>
      </c>
      <c r="C25" s="423" t="s">
        <v>2668</v>
      </c>
      <c r="D25" s="423" t="s">
        <v>573</v>
      </c>
      <c r="E25" s="424" t="s">
        <v>2669</v>
      </c>
      <c r="F25" s="422">
        <v>199348444</v>
      </c>
      <c r="G25" s="425">
        <v>753</v>
      </c>
      <c r="H25" s="422" t="s">
        <v>2203</v>
      </c>
      <c r="I25" s="422" t="s">
        <v>2059</v>
      </c>
    </row>
    <row r="26" spans="1:9" s="426" customFormat="1" ht="17.5">
      <c r="A26" s="437">
        <v>823</v>
      </c>
      <c r="B26" s="423" t="s">
        <v>2670</v>
      </c>
      <c r="C26" s="423" t="s">
        <v>22</v>
      </c>
      <c r="D26" s="423" t="s">
        <v>2671</v>
      </c>
      <c r="E26" s="424" t="s">
        <v>2672</v>
      </c>
      <c r="F26" s="422">
        <v>116625626</v>
      </c>
      <c r="G26" s="425">
        <v>1262</v>
      </c>
      <c r="H26" s="422" t="s">
        <v>2203</v>
      </c>
      <c r="I26" s="422" t="s">
        <v>2059</v>
      </c>
    </row>
    <row r="27" spans="1:9" s="426" customFormat="1" ht="17.5">
      <c r="A27" s="437">
        <v>824</v>
      </c>
      <c r="B27" s="423" t="s">
        <v>16</v>
      </c>
      <c r="C27" s="423" t="s">
        <v>2673</v>
      </c>
      <c r="D27" s="423" t="s">
        <v>2627</v>
      </c>
      <c r="E27" s="424" t="s">
        <v>2674</v>
      </c>
      <c r="F27" s="422">
        <v>105287193</v>
      </c>
      <c r="G27" s="425">
        <v>715</v>
      </c>
      <c r="H27" s="422" t="s">
        <v>2203</v>
      </c>
      <c r="I27" s="422" t="s">
        <v>2059</v>
      </c>
    </row>
    <row r="28" spans="1:9" s="426" customFormat="1" ht="17.5">
      <c r="A28" s="437">
        <v>825</v>
      </c>
      <c r="B28" s="423" t="s">
        <v>16</v>
      </c>
      <c r="C28" s="423" t="s">
        <v>23</v>
      </c>
      <c r="D28" s="423" t="s">
        <v>2675</v>
      </c>
      <c r="E28" s="424" t="s">
        <v>2676</v>
      </c>
      <c r="F28" s="422">
        <v>307305569</v>
      </c>
      <c r="G28" s="425">
        <v>759</v>
      </c>
      <c r="H28" s="422" t="s">
        <v>2203</v>
      </c>
      <c r="I28" s="422" t="s">
        <v>2059</v>
      </c>
    </row>
    <row r="29" spans="1:9" s="426" customFormat="1" ht="17.5">
      <c r="A29" s="437">
        <v>826</v>
      </c>
      <c r="B29" s="423" t="s">
        <v>2677</v>
      </c>
      <c r="C29" s="423" t="s">
        <v>2678</v>
      </c>
      <c r="D29" s="423" t="s">
        <v>2679</v>
      </c>
      <c r="E29" s="424" t="s">
        <v>2680</v>
      </c>
      <c r="F29" s="422">
        <v>196909315</v>
      </c>
      <c r="G29" s="425">
        <v>1587</v>
      </c>
      <c r="H29" s="422" t="s">
        <v>2203</v>
      </c>
      <c r="I29" s="422" t="s">
        <v>2059</v>
      </c>
    </row>
    <row r="30" spans="1:9" s="426" customFormat="1" ht="17.5">
      <c r="A30" s="437">
        <v>827</v>
      </c>
      <c r="B30" s="423" t="s">
        <v>2681</v>
      </c>
      <c r="C30" s="423" t="s">
        <v>2682</v>
      </c>
      <c r="D30" s="423" t="s">
        <v>2683</v>
      </c>
      <c r="E30" s="424" t="s">
        <v>2684</v>
      </c>
      <c r="F30" s="422">
        <v>117648281</v>
      </c>
      <c r="G30" s="425">
        <v>704</v>
      </c>
      <c r="H30" s="422" t="s">
        <v>2203</v>
      </c>
      <c r="I30" s="422" t="s">
        <v>2059</v>
      </c>
    </row>
    <row r="31" spans="1:9" s="436" customFormat="1" ht="17.5">
      <c r="A31" s="437">
        <v>828</v>
      </c>
      <c r="B31" s="432" t="s">
        <v>2685</v>
      </c>
      <c r="C31" s="432" t="s">
        <v>2686</v>
      </c>
      <c r="D31" s="432" t="s">
        <v>2687</v>
      </c>
      <c r="E31" s="434" t="s">
        <v>2688</v>
      </c>
      <c r="F31" s="433">
        <v>108755645</v>
      </c>
      <c r="G31" s="435">
        <v>765</v>
      </c>
      <c r="H31" s="422" t="s">
        <v>2203</v>
      </c>
      <c r="I31" s="422" t="s">
        <v>2059</v>
      </c>
    </row>
    <row r="32" spans="1:9" s="426" customFormat="1" ht="17.5">
      <c r="A32" s="437">
        <v>829</v>
      </c>
      <c r="B32" s="423" t="s">
        <v>2689</v>
      </c>
      <c r="C32" s="423" t="s">
        <v>2690</v>
      </c>
      <c r="D32" s="423" t="s">
        <v>2691</v>
      </c>
      <c r="E32" s="424" t="s">
        <v>2692</v>
      </c>
      <c r="F32" s="422">
        <v>171055993</v>
      </c>
      <c r="G32" s="435">
        <v>756</v>
      </c>
      <c r="H32" s="422" t="s">
        <v>2203</v>
      </c>
      <c r="I32" s="422" t="s">
        <v>2059</v>
      </c>
    </row>
    <row r="33" spans="1:9" s="426" customFormat="1" ht="17.5">
      <c r="A33" s="437">
        <v>830</v>
      </c>
      <c r="B33" s="423" t="s">
        <v>2693</v>
      </c>
      <c r="C33" s="423" t="s">
        <v>2694</v>
      </c>
      <c r="D33" s="423" t="s">
        <v>2695</v>
      </c>
      <c r="E33" s="424" t="s">
        <v>2696</v>
      </c>
      <c r="F33" s="422">
        <v>109692110</v>
      </c>
      <c r="G33" s="435">
        <v>761</v>
      </c>
      <c r="H33" s="422" t="s">
        <v>2203</v>
      </c>
      <c r="I33" s="422" t="s">
        <v>2059</v>
      </c>
    </row>
    <row r="34" spans="1:9" s="426" customFormat="1" ht="17.5">
      <c r="A34" s="437">
        <v>831</v>
      </c>
      <c r="B34" s="423" t="s">
        <v>2697</v>
      </c>
      <c r="C34" s="423" t="s">
        <v>2698</v>
      </c>
      <c r="D34" s="423" t="s">
        <v>2699</v>
      </c>
      <c r="E34" s="424" t="s">
        <v>2700</v>
      </c>
      <c r="F34" s="422">
        <v>108114798</v>
      </c>
      <c r="G34" s="435">
        <v>1195</v>
      </c>
      <c r="H34" s="422" t="s">
        <v>2203</v>
      </c>
      <c r="I34" s="422" t="s">
        <v>2059</v>
      </c>
    </row>
    <row r="35" spans="1:9" s="426" customFormat="1" ht="17.5">
      <c r="A35" s="437">
        <v>832</v>
      </c>
      <c r="B35" s="423" t="s">
        <v>2701</v>
      </c>
      <c r="C35" s="423" t="s">
        <v>2702</v>
      </c>
      <c r="D35" s="423" t="s">
        <v>2703</v>
      </c>
      <c r="E35" s="424" t="s">
        <v>2704</v>
      </c>
      <c r="F35" s="422">
        <v>113832918</v>
      </c>
      <c r="G35" s="435">
        <v>777</v>
      </c>
      <c r="H35" s="422" t="s">
        <v>2203</v>
      </c>
      <c r="I35" s="422" t="s">
        <v>2059</v>
      </c>
    </row>
    <row r="36" spans="1:9" s="426" customFormat="1" ht="17.5">
      <c r="A36" s="437">
        <v>833</v>
      </c>
      <c r="B36" s="423" t="s">
        <v>2705</v>
      </c>
      <c r="C36" s="423" t="s">
        <v>574</v>
      </c>
      <c r="D36" s="423" t="s">
        <v>27</v>
      </c>
      <c r="E36" s="424" t="s">
        <v>2706</v>
      </c>
      <c r="F36" s="422">
        <v>134902316</v>
      </c>
      <c r="G36" s="435">
        <v>1573</v>
      </c>
      <c r="H36" s="422" t="s">
        <v>2203</v>
      </c>
      <c r="I36" s="422" t="s">
        <v>2059</v>
      </c>
    </row>
    <row r="37" spans="1:9" s="426" customFormat="1" ht="17.5">
      <c r="A37" s="437">
        <v>834</v>
      </c>
      <c r="B37" s="423" t="s">
        <v>2707</v>
      </c>
      <c r="C37" s="423" t="s">
        <v>2708</v>
      </c>
      <c r="D37" s="423" t="s">
        <v>2709</v>
      </c>
      <c r="E37" s="424" t="s">
        <v>2710</v>
      </c>
      <c r="F37" s="422">
        <v>110490092</v>
      </c>
      <c r="G37" s="435">
        <v>1454</v>
      </c>
      <c r="H37" s="422" t="s">
        <v>2203</v>
      </c>
      <c r="I37" s="422" t="s">
        <v>2059</v>
      </c>
    </row>
    <row r="38" spans="1:9" s="426" customFormat="1" ht="17.5">
      <c r="A38" s="437">
        <v>835</v>
      </c>
      <c r="B38" s="423" t="s">
        <v>2711</v>
      </c>
      <c r="C38" s="423" t="s">
        <v>2712</v>
      </c>
      <c r="D38" s="423" t="s">
        <v>2713</v>
      </c>
      <c r="E38" s="424" t="s">
        <v>2714</v>
      </c>
      <c r="F38" s="422">
        <v>104425538</v>
      </c>
      <c r="G38" s="435">
        <v>710</v>
      </c>
      <c r="H38" s="422" t="s">
        <v>2203</v>
      </c>
      <c r="I38" s="422" t="s">
        <v>2059</v>
      </c>
    </row>
    <row r="39" spans="1:9" s="426" customFormat="1" ht="17.5">
      <c r="A39" s="437">
        <v>836</v>
      </c>
      <c r="B39" s="423" t="s">
        <v>2715</v>
      </c>
      <c r="C39" s="423" t="s">
        <v>2716</v>
      </c>
      <c r="D39" s="423" t="s">
        <v>2717</v>
      </c>
      <c r="E39" s="424" t="s">
        <v>2718</v>
      </c>
      <c r="F39" s="422">
        <v>117602717</v>
      </c>
      <c r="G39" s="435">
        <v>781</v>
      </c>
      <c r="H39" s="422" t="s">
        <v>2203</v>
      </c>
      <c r="I39" s="422" t="s">
        <v>2059</v>
      </c>
    </row>
    <row r="40" spans="1:9" s="426" customFormat="1" ht="17.5">
      <c r="A40" s="437">
        <v>837</v>
      </c>
      <c r="B40" s="423" t="s">
        <v>2719</v>
      </c>
      <c r="C40" s="423" t="s">
        <v>2720</v>
      </c>
      <c r="D40" s="423" t="s">
        <v>2721</v>
      </c>
      <c r="E40" s="424" t="s">
        <v>2647</v>
      </c>
      <c r="F40" s="422">
        <v>304576878</v>
      </c>
      <c r="G40" s="435">
        <v>1205</v>
      </c>
      <c r="H40" s="422" t="s">
        <v>2203</v>
      </c>
      <c r="I40" s="422" t="s">
        <v>2059</v>
      </c>
    </row>
    <row r="41" spans="1:9" s="426" customFormat="1" ht="17.5">
      <c r="A41" s="437">
        <v>838</v>
      </c>
      <c r="B41" s="423" t="s">
        <v>2722</v>
      </c>
      <c r="C41" s="423" t="s">
        <v>26</v>
      </c>
      <c r="D41" s="423" t="s">
        <v>2723</v>
      </c>
      <c r="E41" s="424" t="s">
        <v>2724</v>
      </c>
      <c r="F41" s="422">
        <v>109063748</v>
      </c>
      <c r="G41" s="435">
        <v>795</v>
      </c>
      <c r="H41" s="422" t="s">
        <v>2203</v>
      </c>
      <c r="I41" s="422" t="s">
        <v>2059</v>
      </c>
    </row>
    <row r="42" spans="1:9" s="426" customFormat="1" ht="17.5">
      <c r="A42" s="437">
        <v>839</v>
      </c>
      <c r="B42" s="423" t="s">
        <v>2725</v>
      </c>
      <c r="C42" s="423" t="s">
        <v>2726</v>
      </c>
      <c r="D42" s="423" t="s">
        <v>50</v>
      </c>
      <c r="E42" s="424" t="s">
        <v>2727</v>
      </c>
      <c r="F42" s="422">
        <v>194741954</v>
      </c>
      <c r="G42" s="435">
        <v>793</v>
      </c>
      <c r="H42" s="422" t="s">
        <v>2203</v>
      </c>
      <c r="I42" s="422" t="s">
        <v>2059</v>
      </c>
    </row>
    <row r="43" spans="1:9" s="426" customFormat="1" ht="17.5">
      <c r="A43" s="437">
        <v>840</v>
      </c>
      <c r="B43" s="423" t="s">
        <v>2728</v>
      </c>
      <c r="C43" s="423" t="s">
        <v>2729</v>
      </c>
      <c r="D43" s="423" t="s">
        <v>2730</v>
      </c>
      <c r="E43" s="424" t="s">
        <v>2595</v>
      </c>
      <c r="F43" s="422">
        <v>178943498</v>
      </c>
      <c r="G43" s="435">
        <v>1071</v>
      </c>
      <c r="H43" s="422" t="s">
        <v>2203</v>
      </c>
      <c r="I43" s="422" t="s">
        <v>2059</v>
      </c>
    </row>
    <row r="44" spans="1:9" s="426" customFormat="1" ht="17.5">
      <c r="A44" s="437">
        <v>841</v>
      </c>
      <c r="B44" s="423" t="s">
        <v>2731</v>
      </c>
      <c r="C44" s="423" t="s">
        <v>2732</v>
      </c>
      <c r="D44" s="423" t="s">
        <v>2733</v>
      </c>
      <c r="E44" s="424" t="s">
        <v>2734</v>
      </c>
      <c r="F44" s="422">
        <v>194999750</v>
      </c>
      <c r="G44" s="435">
        <v>1197</v>
      </c>
      <c r="H44" s="422" t="s">
        <v>2203</v>
      </c>
      <c r="I44" s="422" t="s">
        <v>2059</v>
      </c>
    </row>
    <row r="45" spans="1:9" s="426" customFormat="1" ht="17.5">
      <c r="A45" s="437">
        <v>842</v>
      </c>
      <c r="B45" s="423" t="s">
        <v>25</v>
      </c>
      <c r="C45" s="423" t="s">
        <v>2735</v>
      </c>
      <c r="D45" s="423" t="s">
        <v>2736</v>
      </c>
      <c r="E45" s="424" t="s">
        <v>2688</v>
      </c>
      <c r="F45" s="422">
        <v>105320774</v>
      </c>
      <c r="G45" s="435">
        <v>782</v>
      </c>
      <c r="H45" s="422" t="s">
        <v>2203</v>
      </c>
      <c r="I45" s="422" t="s">
        <v>2059</v>
      </c>
    </row>
    <row r="46" spans="1:9" s="426" customFormat="1" ht="17.5">
      <c r="A46" s="437">
        <v>843</v>
      </c>
      <c r="B46" s="423" t="s">
        <v>2737</v>
      </c>
      <c r="C46" s="423" t="s">
        <v>2738</v>
      </c>
      <c r="D46" s="423" t="s">
        <v>2739</v>
      </c>
      <c r="E46" s="424" t="s">
        <v>2740</v>
      </c>
      <c r="F46" s="422">
        <v>122190919</v>
      </c>
      <c r="G46" s="435">
        <v>796</v>
      </c>
      <c r="H46" s="422" t="s">
        <v>2203</v>
      </c>
      <c r="I46" s="422" t="s">
        <v>2059</v>
      </c>
    </row>
    <row r="47" spans="1:9" s="426" customFormat="1" ht="17.5">
      <c r="A47" s="437">
        <v>844</v>
      </c>
      <c r="B47" s="423" t="s">
        <v>2741</v>
      </c>
      <c r="C47" s="423" t="s">
        <v>2742</v>
      </c>
      <c r="D47" s="423" t="s">
        <v>2743</v>
      </c>
      <c r="E47" s="424" t="s">
        <v>2744</v>
      </c>
      <c r="F47" s="422">
        <v>301747160</v>
      </c>
      <c r="G47" s="435">
        <v>1047</v>
      </c>
      <c r="H47" s="422" t="s">
        <v>2203</v>
      </c>
      <c r="I47" s="422" t="s">
        <v>2059</v>
      </c>
    </row>
    <row r="48" spans="1:9" s="426" customFormat="1" ht="17.5">
      <c r="A48" s="437">
        <v>845</v>
      </c>
      <c r="B48" s="423" t="s">
        <v>2745</v>
      </c>
      <c r="C48" s="423" t="s">
        <v>2746</v>
      </c>
      <c r="D48" s="423" t="s">
        <v>28</v>
      </c>
      <c r="E48" s="424" t="s">
        <v>2747</v>
      </c>
      <c r="F48" s="422">
        <v>706934311</v>
      </c>
      <c r="G48" s="435">
        <v>783</v>
      </c>
      <c r="H48" s="422" t="s">
        <v>2203</v>
      </c>
      <c r="I48" s="422" t="s">
        <v>2059</v>
      </c>
    </row>
    <row r="49" spans="1:9" s="426" customFormat="1" ht="17.5">
      <c r="A49" s="437">
        <v>846</v>
      </c>
      <c r="B49" s="423" t="s">
        <v>2748</v>
      </c>
      <c r="C49" s="423" t="s">
        <v>24</v>
      </c>
      <c r="D49" s="423" t="s">
        <v>2749</v>
      </c>
      <c r="E49" s="424" t="s">
        <v>2750</v>
      </c>
      <c r="F49" s="422">
        <v>129634016</v>
      </c>
      <c r="G49" s="435">
        <v>807</v>
      </c>
      <c r="H49" s="422" t="s">
        <v>2203</v>
      </c>
      <c r="I49" s="422" t="s">
        <v>2059</v>
      </c>
    </row>
    <row r="50" spans="1:9" s="426" customFormat="1" ht="17.5">
      <c r="A50" s="437">
        <v>847</v>
      </c>
      <c r="B50" s="423" t="s">
        <v>2751</v>
      </c>
      <c r="C50" s="423" t="s">
        <v>2752</v>
      </c>
      <c r="D50" s="423" t="s">
        <v>2753</v>
      </c>
      <c r="E50" s="424" t="s">
        <v>2480</v>
      </c>
      <c r="F50" s="422">
        <v>310416880</v>
      </c>
      <c r="G50" s="435">
        <v>1410</v>
      </c>
      <c r="H50" s="422" t="s">
        <v>2203</v>
      </c>
      <c r="I50" s="422" t="s">
        <v>2059</v>
      </c>
    </row>
    <row r="51" spans="1:9" s="426" customFormat="1" ht="17.5">
      <c r="A51" s="437">
        <v>848</v>
      </c>
      <c r="B51" s="423" t="s">
        <v>2754</v>
      </c>
      <c r="C51" s="423" t="s">
        <v>2755</v>
      </c>
      <c r="D51" s="423" t="s">
        <v>2756</v>
      </c>
      <c r="E51" s="424" t="s">
        <v>2757</v>
      </c>
      <c r="F51" s="422">
        <v>302886986</v>
      </c>
      <c r="G51" s="435">
        <v>1356</v>
      </c>
      <c r="H51" s="422" t="s">
        <v>2203</v>
      </c>
      <c r="I51" s="422" t="s">
        <v>2059</v>
      </c>
    </row>
    <row r="52" spans="1:9" s="426" customFormat="1" ht="17.5">
      <c r="A52" s="437">
        <v>849</v>
      </c>
      <c r="B52" s="423" t="s">
        <v>2758</v>
      </c>
      <c r="C52" s="423" t="s">
        <v>2759</v>
      </c>
      <c r="D52" s="423" t="s">
        <v>2760</v>
      </c>
      <c r="E52" s="424" t="s">
        <v>2586</v>
      </c>
      <c r="F52" s="422">
        <v>303427023</v>
      </c>
      <c r="G52" s="435">
        <v>814</v>
      </c>
      <c r="H52" s="422" t="s">
        <v>2203</v>
      </c>
      <c r="I52" s="422" t="s">
        <v>2059</v>
      </c>
    </row>
    <row r="53" spans="1:9" s="426" customFormat="1" ht="17.5">
      <c r="A53" s="437">
        <v>850</v>
      </c>
      <c r="B53" s="423" t="s">
        <v>2761</v>
      </c>
      <c r="C53" s="423" t="s">
        <v>575</v>
      </c>
      <c r="D53" s="423" t="s">
        <v>2762</v>
      </c>
      <c r="E53" s="424" t="s">
        <v>2763</v>
      </c>
      <c r="F53" s="422">
        <v>109747021</v>
      </c>
      <c r="G53" s="435">
        <v>713</v>
      </c>
      <c r="H53" s="422" t="s">
        <v>2203</v>
      </c>
      <c r="I53" s="422" t="s">
        <v>2059</v>
      </c>
    </row>
    <row r="54" spans="1:9" s="426" customFormat="1" ht="17.5">
      <c r="A54" s="437">
        <v>851</v>
      </c>
      <c r="B54" s="423" t="s">
        <v>2764</v>
      </c>
      <c r="C54" s="423" t="s">
        <v>2765</v>
      </c>
      <c r="D54" s="423" t="s">
        <v>2766</v>
      </c>
      <c r="E54" s="424" t="s">
        <v>2494</v>
      </c>
      <c r="F54" s="422">
        <v>198590163</v>
      </c>
      <c r="G54" s="435">
        <v>800</v>
      </c>
      <c r="H54" s="422" t="s">
        <v>2203</v>
      </c>
      <c r="I54" s="422" t="s">
        <v>2059</v>
      </c>
    </row>
    <row r="55" spans="1:9" s="426" customFormat="1" ht="17.5">
      <c r="A55" s="437">
        <v>852</v>
      </c>
      <c r="B55" s="423" t="s">
        <v>458</v>
      </c>
      <c r="C55" s="423" t="s">
        <v>2767</v>
      </c>
      <c r="D55" s="423" t="s">
        <v>2768</v>
      </c>
      <c r="E55" s="424" t="s">
        <v>2769</v>
      </c>
      <c r="F55" s="422">
        <v>177684656</v>
      </c>
      <c r="G55" s="435">
        <v>801</v>
      </c>
      <c r="H55" s="422" t="s">
        <v>2203</v>
      </c>
      <c r="I55" s="422" t="s">
        <v>2059</v>
      </c>
    </row>
  </sheetData>
  <phoneticPr fontId="77" type="noConversion"/>
  <pageMargins left="0" right="0" top="0" bottom="0" header="0" footer="0"/>
  <pageSetup scale="85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>
    <tabColor rgb="FF002060"/>
  </sheetPr>
  <dimension ref="A1:O45"/>
  <sheetViews>
    <sheetView topLeftCell="A14" workbookViewId="0">
      <selection activeCell="R18" sqref="R18"/>
    </sheetView>
  </sheetViews>
  <sheetFormatPr defaultRowHeight="14.5"/>
  <cols>
    <col min="1" max="1" width="1.26953125" customWidth="1"/>
    <col min="2" max="2" width="24.81640625" customWidth="1"/>
    <col min="3" max="3" width="6.1796875" customWidth="1"/>
    <col min="4" max="4" width="6.81640625" customWidth="1"/>
    <col min="5" max="6" width="6.1796875" customWidth="1"/>
    <col min="7" max="8" width="6.6328125" customWidth="1"/>
    <col min="9" max="9" width="12.36328125" customWidth="1"/>
    <col min="10" max="10" width="10.6328125" customWidth="1"/>
    <col min="11" max="11" width="6.7265625" customWidth="1"/>
    <col min="12" max="12" width="9.1796875" customWidth="1"/>
    <col min="13" max="13" width="9.90625" customWidth="1"/>
    <col min="14" max="14" width="10.26953125" customWidth="1"/>
    <col min="15" max="15" width="1.26953125" customWidth="1"/>
  </cols>
  <sheetData>
    <row r="1" spans="1:15" ht="30" customHeight="1" thickTop="1">
      <c r="A1" s="767"/>
      <c r="B1" s="1263" t="s">
        <v>2237</v>
      </c>
      <c r="C1" s="1263"/>
      <c r="D1" s="1263"/>
      <c r="E1" s="1263"/>
      <c r="F1" s="1263"/>
      <c r="G1" s="1263"/>
      <c r="H1" s="1263"/>
      <c r="I1" s="1263"/>
      <c r="J1" s="1263"/>
      <c r="K1" s="1263"/>
      <c r="L1" s="1263"/>
      <c r="M1" s="1263"/>
      <c r="N1" s="1263"/>
      <c r="O1" s="769"/>
    </row>
    <row r="2" spans="1:15" ht="22">
      <c r="A2" s="770"/>
      <c r="B2" s="1264" t="s">
        <v>3496</v>
      </c>
      <c r="C2" s="1264"/>
      <c r="D2" s="1264"/>
      <c r="E2" s="1264"/>
      <c r="F2" s="1264"/>
      <c r="G2" s="1264"/>
      <c r="H2" s="1264"/>
      <c r="I2" s="1264"/>
      <c r="J2" s="1264"/>
      <c r="K2" s="1264"/>
      <c r="L2" s="1264"/>
      <c r="M2" s="1264"/>
      <c r="N2" s="1264"/>
      <c r="O2" s="771"/>
    </row>
    <row r="3" spans="1:15" ht="15.5">
      <c r="A3" s="770"/>
      <c r="B3" s="1265" t="s">
        <v>493</v>
      </c>
      <c r="C3" s="1265"/>
      <c r="D3" s="1265"/>
      <c r="E3" s="1265"/>
      <c r="F3" s="1265"/>
      <c r="G3" s="1265"/>
      <c r="H3" s="1265"/>
      <c r="I3" s="1265"/>
      <c r="J3" s="1265"/>
      <c r="K3" s="1265"/>
      <c r="L3" s="1265"/>
      <c r="M3" s="1265"/>
      <c r="N3" s="1265"/>
      <c r="O3" s="771"/>
    </row>
    <row r="4" spans="1:15" ht="8.5" customHeight="1">
      <c r="A4" s="770"/>
      <c r="B4" s="871"/>
      <c r="C4" s="871"/>
      <c r="D4" s="871"/>
      <c r="E4" s="871"/>
      <c r="F4" s="871"/>
      <c r="G4" s="871"/>
      <c r="H4" s="871"/>
      <c r="I4" s="871"/>
      <c r="J4" s="871"/>
      <c r="K4" s="871"/>
      <c r="L4" s="871"/>
      <c r="M4" s="871"/>
      <c r="N4" s="871"/>
      <c r="O4" s="771"/>
    </row>
    <row r="5" spans="1:15" ht="32.5" customHeight="1">
      <c r="A5" s="770"/>
      <c r="B5" s="1267" t="s">
        <v>3560</v>
      </c>
      <c r="C5" s="1268"/>
      <c r="D5" s="1268"/>
      <c r="E5" s="1268"/>
      <c r="F5" s="1268"/>
      <c r="G5" s="1268"/>
      <c r="H5" s="1268"/>
      <c r="I5" s="1268"/>
      <c r="J5" s="1268"/>
      <c r="K5" s="1268"/>
      <c r="L5" s="1268"/>
      <c r="M5" s="1268"/>
      <c r="N5" s="1268"/>
      <c r="O5" s="771"/>
    </row>
    <row r="6" spans="1:15" ht="17">
      <c r="A6" s="770"/>
      <c r="B6" s="1266" t="s">
        <v>3497</v>
      </c>
      <c r="C6" s="1266"/>
      <c r="D6" s="1266"/>
      <c r="E6" s="1269" t="s">
        <v>3498</v>
      </c>
      <c r="F6" s="1269"/>
      <c r="G6" s="1269"/>
      <c r="H6" s="1269"/>
      <c r="I6" s="1269"/>
      <c r="J6" s="1269"/>
      <c r="K6" s="1269"/>
      <c r="L6" s="1266" t="s">
        <v>3499</v>
      </c>
      <c r="M6" s="1266"/>
      <c r="N6" s="1266"/>
      <c r="O6" s="771"/>
    </row>
    <row r="7" spans="1:15" ht="15" thickBot="1">
      <c r="A7" s="770"/>
      <c r="B7" s="871"/>
      <c r="C7" s="871"/>
      <c r="D7" s="871"/>
      <c r="E7" s="646"/>
      <c r="F7" s="871"/>
      <c r="G7" s="871"/>
      <c r="H7" s="871"/>
      <c r="I7" s="871"/>
      <c r="J7" s="871"/>
      <c r="K7" s="871"/>
      <c r="L7" s="871"/>
      <c r="M7" s="871"/>
      <c r="N7" s="871"/>
      <c r="O7" s="771"/>
    </row>
    <row r="8" spans="1:15" s="3" customFormat="1" ht="58" customHeight="1" thickTop="1" thickBot="1">
      <c r="A8" s="872"/>
      <c r="B8" s="898" t="s">
        <v>3500</v>
      </c>
      <c r="C8" s="1270" t="s">
        <v>3501</v>
      </c>
      <c r="D8" s="1270"/>
      <c r="E8" s="1270"/>
      <c r="F8" s="1270"/>
      <c r="G8" s="1270" t="s">
        <v>3524</v>
      </c>
      <c r="H8" s="1270"/>
      <c r="I8" s="1270" t="s">
        <v>3502</v>
      </c>
      <c r="J8" s="1270"/>
      <c r="K8" s="1270" t="s">
        <v>3503</v>
      </c>
      <c r="L8" s="1270"/>
      <c r="M8" s="1270" t="s">
        <v>3504</v>
      </c>
      <c r="N8" s="1271"/>
      <c r="O8" s="873"/>
    </row>
    <row r="9" spans="1:15" s="3" customFormat="1" ht="24.5" customHeight="1" thickBot="1">
      <c r="A9" s="872"/>
      <c r="B9" s="899">
        <v>9001</v>
      </c>
      <c r="C9" s="1272" t="str">
        <f>VLOOKUP(B9,KING,2,FALSE)</f>
        <v xml:space="preserve">  A25/712384/019</v>
      </c>
      <c r="D9" s="1272"/>
      <c r="E9" s="1272"/>
      <c r="F9" s="1272"/>
      <c r="G9" s="1272">
        <f>VLOOKUP(B9,KING,7,FALSE)</f>
        <v>131615511</v>
      </c>
      <c r="H9" s="1272"/>
      <c r="I9" s="1272">
        <f>VLOOKUP(B9,KING,8,FALSE)</f>
        <v>629</v>
      </c>
      <c r="J9" s="1272"/>
      <c r="K9" s="1272">
        <v>712384</v>
      </c>
      <c r="L9" s="1272"/>
      <c r="M9" s="1273" t="s">
        <v>3440</v>
      </c>
      <c r="N9" s="1274"/>
      <c r="O9" s="873"/>
    </row>
    <row r="10" spans="1:15" s="3" customFormat="1" ht="10" customHeight="1" thickTop="1">
      <c r="A10" s="872"/>
      <c r="B10" s="879"/>
      <c r="C10" s="879"/>
      <c r="D10" s="879"/>
      <c r="E10" s="879"/>
      <c r="F10" s="879"/>
      <c r="G10" s="879"/>
      <c r="H10" s="879"/>
      <c r="I10" s="879"/>
      <c r="J10" s="879"/>
      <c r="K10" s="879"/>
      <c r="L10" s="879"/>
      <c r="M10" s="883"/>
      <c r="N10" s="883"/>
      <c r="O10" s="873"/>
    </row>
    <row r="11" spans="1:15" s="748" customFormat="1" ht="23" customHeight="1">
      <c r="A11" s="895"/>
      <c r="B11" s="896" t="s">
        <v>3505</v>
      </c>
      <c r="C11" s="896"/>
      <c r="D11" s="896"/>
      <c r="E11" s="896"/>
      <c r="F11" s="896"/>
      <c r="G11" s="896"/>
      <c r="H11" s="1262" t="str">
        <f>VLOOKUP(B9,KING,3,FALSE)</f>
        <v>ADITI HALDKAR</v>
      </c>
      <c r="I11" s="1262"/>
      <c r="J11" s="1262"/>
      <c r="K11" s="1262"/>
      <c r="L11" s="1262"/>
      <c r="M11" s="1256" t="s">
        <v>3525</v>
      </c>
      <c r="N11" s="1257"/>
      <c r="O11" s="897"/>
    </row>
    <row r="12" spans="1:15" s="748" customFormat="1" ht="23" customHeight="1">
      <c r="A12" s="895"/>
      <c r="B12" s="896" t="s">
        <v>3506</v>
      </c>
      <c r="C12" s="896"/>
      <c r="D12" s="896"/>
      <c r="E12" s="896"/>
      <c r="F12" s="896"/>
      <c r="G12" s="896"/>
      <c r="H12" s="1262" t="str">
        <f>VLOOKUP(B9,KING,4,FALSE)</f>
        <v xml:space="preserve">ANIL KUMAR HALDKAR </v>
      </c>
      <c r="I12" s="1262"/>
      <c r="J12" s="1262"/>
      <c r="K12" s="1262"/>
      <c r="L12" s="1262"/>
      <c r="M12" s="1258"/>
      <c r="N12" s="1259"/>
      <c r="O12" s="897"/>
    </row>
    <row r="13" spans="1:15" s="748" customFormat="1" ht="23" customHeight="1">
      <c r="A13" s="895"/>
      <c r="B13" s="896" t="s">
        <v>3507</v>
      </c>
      <c r="C13" s="896"/>
      <c r="D13" s="896"/>
      <c r="E13" s="896"/>
      <c r="F13" s="896"/>
      <c r="G13" s="896"/>
      <c r="H13" s="1262" t="str">
        <f>VLOOKUP(B9,KING,5,FALSE)</f>
        <v>INDRAVATI HALDKAR</v>
      </c>
      <c r="I13" s="1262"/>
      <c r="J13" s="1262"/>
      <c r="K13" s="1262"/>
      <c r="L13" s="1262"/>
      <c r="M13" s="1258"/>
      <c r="N13" s="1259"/>
      <c r="O13" s="897"/>
    </row>
    <row r="14" spans="1:15" s="748" customFormat="1" ht="23" customHeight="1">
      <c r="A14" s="895"/>
      <c r="B14" s="896" t="s">
        <v>3508</v>
      </c>
      <c r="C14" s="896"/>
      <c r="D14" s="896"/>
      <c r="E14" s="896"/>
      <c r="F14" s="896"/>
      <c r="G14" s="896"/>
      <c r="H14" s="1262" t="str">
        <f>VLOOKUP(B9,KING,6,FALSE)</f>
        <v>27/10/2010</v>
      </c>
      <c r="I14" s="1262"/>
      <c r="J14" s="1262"/>
      <c r="K14" s="1262"/>
      <c r="L14" s="1262"/>
      <c r="M14" s="1260"/>
      <c r="N14" s="1261"/>
      <c r="O14" s="897"/>
    </row>
    <row r="15" spans="1:15" ht="10" customHeight="1" thickBot="1">
      <c r="A15" s="770"/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771"/>
    </row>
    <row r="16" spans="1:15" s="3" customFormat="1" ht="72" customHeight="1" thickTop="1" thickBot="1">
      <c r="A16" s="872"/>
      <c r="B16" s="1281" t="s">
        <v>3509</v>
      </c>
      <c r="C16" s="1279" t="s">
        <v>3510</v>
      </c>
      <c r="D16" s="1279"/>
      <c r="E16" s="1279" t="s">
        <v>3511</v>
      </c>
      <c r="F16" s="1279"/>
      <c r="G16" s="1279" t="s">
        <v>3512</v>
      </c>
      <c r="H16" s="1280"/>
      <c r="I16" s="1280"/>
      <c r="J16" s="1280"/>
      <c r="K16" s="1279" t="s">
        <v>3513</v>
      </c>
      <c r="L16" s="1280"/>
      <c r="M16" s="1280"/>
      <c r="N16" s="1277" t="s">
        <v>3522</v>
      </c>
      <c r="O16" s="873"/>
    </row>
    <row r="17" spans="1:15" s="642" customFormat="1" ht="44" customHeight="1" thickBot="1">
      <c r="A17" s="874"/>
      <c r="B17" s="1282"/>
      <c r="C17" s="1275" t="s">
        <v>517</v>
      </c>
      <c r="D17" s="1275" t="s">
        <v>518</v>
      </c>
      <c r="E17" s="1275" t="s">
        <v>517</v>
      </c>
      <c r="F17" s="1275" t="s">
        <v>518</v>
      </c>
      <c r="G17" s="1276" t="s">
        <v>3523</v>
      </c>
      <c r="H17" s="1275"/>
      <c r="I17" s="1276" t="s">
        <v>3514</v>
      </c>
      <c r="J17" s="1275"/>
      <c r="K17" s="1275" t="s">
        <v>517</v>
      </c>
      <c r="L17" s="1275" t="s">
        <v>518</v>
      </c>
      <c r="M17" s="1276" t="s">
        <v>3515</v>
      </c>
      <c r="N17" s="1278"/>
      <c r="O17" s="875"/>
    </row>
    <row r="18" spans="1:15" ht="78" customHeight="1" thickBot="1">
      <c r="A18" s="770"/>
      <c r="B18" s="1282"/>
      <c r="C18" s="1275"/>
      <c r="D18" s="1275"/>
      <c r="E18" s="1275"/>
      <c r="F18" s="1275"/>
      <c r="G18" s="1275" t="s">
        <v>517</v>
      </c>
      <c r="H18" s="880" t="s">
        <v>518</v>
      </c>
      <c r="I18" s="881" t="s">
        <v>3516</v>
      </c>
      <c r="J18" s="881" t="s">
        <v>3517</v>
      </c>
      <c r="K18" s="1275"/>
      <c r="L18" s="1275"/>
      <c r="M18" s="1276"/>
      <c r="N18" s="1278"/>
      <c r="O18" s="771"/>
    </row>
    <row r="19" spans="1:15" ht="15" thickBot="1">
      <c r="A19" s="770"/>
      <c r="B19" s="1282"/>
      <c r="C19" s="1275"/>
      <c r="D19" s="1275"/>
      <c r="E19" s="1275"/>
      <c r="F19" s="1275"/>
      <c r="G19" s="1275"/>
      <c r="H19" s="880" t="s">
        <v>3518</v>
      </c>
      <c r="I19" s="880" t="s">
        <v>3519</v>
      </c>
      <c r="J19" s="880" t="s">
        <v>3520</v>
      </c>
      <c r="K19" s="1275"/>
      <c r="L19" s="880" t="s">
        <v>3521</v>
      </c>
      <c r="M19" s="1276"/>
      <c r="N19" s="1278"/>
      <c r="O19" s="771"/>
    </row>
    <row r="20" spans="1:15" ht="22" customHeight="1" thickBot="1">
      <c r="A20" s="770"/>
      <c r="B20" s="882" t="s">
        <v>3526</v>
      </c>
      <c r="C20" s="900">
        <v>25</v>
      </c>
      <c r="D20" s="900">
        <v>8</v>
      </c>
      <c r="E20" s="900">
        <v>75</v>
      </c>
      <c r="F20" s="900">
        <v>25</v>
      </c>
      <c r="G20" s="900" t="s">
        <v>1676</v>
      </c>
      <c r="H20" s="900"/>
      <c r="I20" s="900"/>
      <c r="J20" s="900"/>
      <c r="K20" s="900" t="str">
        <f>G20</f>
        <v xml:space="preserve"> </v>
      </c>
      <c r="L20" s="900">
        <f>H20+I20+J20</f>
        <v>0</v>
      </c>
      <c r="M20" s="900"/>
      <c r="N20" s="901"/>
      <c r="O20" s="771"/>
    </row>
    <row r="21" spans="1:15" ht="22" customHeight="1" thickBot="1">
      <c r="A21" s="770"/>
      <c r="B21" s="882" t="s">
        <v>3527</v>
      </c>
      <c r="C21" s="900">
        <v>25</v>
      </c>
      <c r="D21" s="900">
        <v>8</v>
      </c>
      <c r="E21" s="900">
        <v>75</v>
      </c>
      <c r="F21" s="900">
        <v>25</v>
      </c>
      <c r="G21" s="900" t="s">
        <v>1676</v>
      </c>
      <c r="H21" s="900"/>
      <c r="I21" s="900"/>
      <c r="J21" s="900"/>
      <c r="K21" s="900" t="str">
        <f t="shared" ref="K21:K25" si="0">G21</f>
        <v xml:space="preserve"> </v>
      </c>
      <c r="L21" s="900">
        <f t="shared" ref="L21:L25" si="1">H21+I21+J21</f>
        <v>0</v>
      </c>
      <c r="M21" s="900"/>
      <c r="N21" s="901"/>
      <c r="O21" s="771"/>
    </row>
    <row r="22" spans="1:15" ht="22" customHeight="1" thickBot="1">
      <c r="A22" s="770"/>
      <c r="B22" s="882" t="s">
        <v>3528</v>
      </c>
      <c r="C22" s="900">
        <v>25</v>
      </c>
      <c r="D22" s="900">
        <v>8</v>
      </c>
      <c r="E22" s="900">
        <v>75</v>
      </c>
      <c r="F22" s="900">
        <v>25</v>
      </c>
      <c r="G22" s="900"/>
      <c r="H22" s="900"/>
      <c r="I22" s="900"/>
      <c r="J22" s="900"/>
      <c r="K22" s="900">
        <f t="shared" si="0"/>
        <v>0</v>
      </c>
      <c r="L22" s="900">
        <f t="shared" si="1"/>
        <v>0</v>
      </c>
      <c r="M22" s="900"/>
      <c r="N22" s="901"/>
      <c r="O22" s="771"/>
    </row>
    <row r="23" spans="1:15" ht="22" customHeight="1" thickBot="1">
      <c r="A23" s="770"/>
      <c r="B23" s="882" t="s">
        <v>3529</v>
      </c>
      <c r="C23" s="900">
        <v>25</v>
      </c>
      <c r="D23" s="900">
        <v>8</v>
      </c>
      <c r="E23" s="900">
        <v>75</v>
      </c>
      <c r="F23" s="900">
        <v>25</v>
      </c>
      <c r="G23" s="900"/>
      <c r="H23" s="900"/>
      <c r="I23" s="900"/>
      <c r="J23" s="900"/>
      <c r="K23" s="900">
        <f t="shared" si="0"/>
        <v>0</v>
      </c>
      <c r="L23" s="900">
        <f>H23+I23+J23</f>
        <v>0</v>
      </c>
      <c r="M23" s="900"/>
      <c r="N23" s="901"/>
      <c r="O23" s="771"/>
    </row>
    <row r="24" spans="1:15" ht="22" customHeight="1" thickBot="1">
      <c r="A24" s="770"/>
      <c r="B24" s="882" t="s">
        <v>3530</v>
      </c>
      <c r="C24" s="900">
        <v>25</v>
      </c>
      <c r="D24" s="900">
        <v>8</v>
      </c>
      <c r="E24" s="900">
        <v>75</v>
      </c>
      <c r="F24" s="900">
        <v>25</v>
      </c>
      <c r="G24" s="900" t="s">
        <v>1676</v>
      </c>
      <c r="H24" s="900"/>
      <c r="I24" s="900"/>
      <c r="J24" s="900"/>
      <c r="K24" s="900" t="str">
        <f t="shared" si="0"/>
        <v xml:space="preserve"> </v>
      </c>
      <c r="L24" s="900">
        <f t="shared" si="1"/>
        <v>0</v>
      </c>
      <c r="M24" s="900"/>
      <c r="N24" s="901"/>
      <c r="O24" s="771"/>
    </row>
    <row r="25" spans="1:15" ht="22" customHeight="1" thickBot="1">
      <c r="A25" s="770"/>
      <c r="B25" s="882" t="s">
        <v>3531</v>
      </c>
      <c r="C25" s="900">
        <v>25</v>
      </c>
      <c r="D25" s="900">
        <v>8</v>
      </c>
      <c r="E25" s="900">
        <v>75</v>
      </c>
      <c r="F25" s="900">
        <v>25</v>
      </c>
      <c r="G25" s="900"/>
      <c r="H25" s="900"/>
      <c r="I25" s="900"/>
      <c r="J25" s="900"/>
      <c r="K25" s="900">
        <f t="shared" si="0"/>
        <v>0</v>
      </c>
      <c r="L25" s="900">
        <f t="shared" si="1"/>
        <v>0</v>
      </c>
      <c r="M25" s="900"/>
      <c r="N25" s="901"/>
      <c r="O25" s="771"/>
    </row>
    <row r="26" spans="1:15" s="907" customFormat="1" ht="22" customHeight="1" thickBot="1">
      <c r="A26" s="902"/>
      <c r="B26" s="903" t="s">
        <v>513</v>
      </c>
      <c r="C26" s="904">
        <v>150</v>
      </c>
      <c r="D26" s="904">
        <v>48</v>
      </c>
      <c r="E26" s="1229"/>
      <c r="F26" s="1230"/>
      <c r="G26" s="1230"/>
      <c r="H26" s="1230"/>
      <c r="I26" s="1230"/>
      <c r="J26" s="1230"/>
      <c r="K26" s="1230"/>
      <c r="L26" s="1231"/>
      <c r="M26" s="904"/>
      <c r="N26" s="905"/>
      <c r="O26" s="906"/>
    </row>
    <row r="27" spans="1:15" ht="15" thickTop="1">
      <c r="A27" s="770"/>
      <c r="B27" s="646"/>
      <c r="C27" s="646"/>
      <c r="D27" s="646"/>
      <c r="E27" s="646"/>
      <c r="F27" s="646"/>
      <c r="G27" s="646"/>
      <c r="H27" s="646"/>
      <c r="I27" s="646"/>
      <c r="J27" s="646"/>
      <c r="K27" s="646"/>
      <c r="L27" s="646"/>
      <c r="M27" s="646"/>
      <c r="N27" s="646"/>
      <c r="O27" s="771"/>
    </row>
    <row r="28" spans="1:15" ht="15" thickBot="1">
      <c r="A28" s="770"/>
      <c r="B28" s="646"/>
      <c r="C28" s="646"/>
      <c r="D28" s="646"/>
      <c r="E28" s="884"/>
      <c r="F28" s="884"/>
      <c r="G28" s="884"/>
      <c r="H28" s="884"/>
      <c r="I28" s="646"/>
      <c r="J28" s="646"/>
      <c r="K28" s="646"/>
      <c r="L28" s="646"/>
      <c r="M28" s="646"/>
      <c r="N28" s="646"/>
      <c r="O28" s="771"/>
    </row>
    <row r="29" spans="1:15" s="3" customFormat="1" ht="22" customHeight="1" thickTop="1">
      <c r="A29" s="872"/>
      <c r="B29" s="886" t="s">
        <v>3532</v>
      </c>
      <c r="C29" s="1254" t="s">
        <v>3533</v>
      </c>
      <c r="D29" s="1254"/>
      <c r="E29" s="1254" t="s">
        <v>3534</v>
      </c>
      <c r="F29" s="1254"/>
      <c r="G29" s="1254" t="s">
        <v>3535</v>
      </c>
      <c r="H29" s="1254"/>
      <c r="I29" s="887" t="s">
        <v>3536</v>
      </c>
      <c r="J29" s="887" t="s">
        <v>3537</v>
      </c>
      <c r="K29" s="887" t="s">
        <v>3543</v>
      </c>
      <c r="L29" s="1243" t="s">
        <v>3544</v>
      </c>
      <c r="M29" s="1244"/>
      <c r="N29" s="1245"/>
      <c r="O29" s="873"/>
    </row>
    <row r="30" spans="1:15" s="3" customFormat="1" ht="23" customHeight="1" thickBot="1">
      <c r="A30" s="872"/>
      <c r="B30" s="888" t="s">
        <v>3538</v>
      </c>
      <c r="C30" s="1255" t="s">
        <v>3539</v>
      </c>
      <c r="D30" s="1255"/>
      <c r="E30" s="1255" t="s">
        <v>3540</v>
      </c>
      <c r="F30" s="1255"/>
      <c r="G30" s="1255" t="s">
        <v>508</v>
      </c>
      <c r="H30" s="1255"/>
      <c r="I30" s="889" t="s">
        <v>3541</v>
      </c>
      <c r="J30" s="889" t="s">
        <v>3542</v>
      </c>
      <c r="K30" s="889" t="s">
        <v>527</v>
      </c>
      <c r="L30" s="1246"/>
      <c r="M30" s="1247"/>
      <c r="N30" s="1248"/>
      <c r="O30" s="873"/>
    </row>
    <row r="31" spans="1:15" ht="20.5" customHeight="1">
      <c r="A31" s="770"/>
      <c r="B31" s="1241"/>
      <c r="C31" s="1252"/>
      <c r="D31" s="1252"/>
      <c r="E31" s="1252"/>
      <c r="F31" s="1252"/>
      <c r="G31" s="1252"/>
      <c r="H31" s="1252"/>
      <c r="I31" s="1252"/>
      <c r="J31" s="1252"/>
      <c r="K31" s="1252"/>
      <c r="L31" s="1246"/>
      <c r="M31" s="1247"/>
      <c r="N31" s="1248"/>
      <c r="O31" s="771"/>
    </row>
    <row r="32" spans="1:15" ht="20.5" customHeight="1" thickBot="1">
      <c r="A32" s="770"/>
      <c r="B32" s="1242"/>
      <c r="C32" s="1253"/>
      <c r="D32" s="1253"/>
      <c r="E32" s="1253"/>
      <c r="F32" s="1253"/>
      <c r="G32" s="1253"/>
      <c r="H32" s="1253"/>
      <c r="I32" s="1253"/>
      <c r="J32" s="1253"/>
      <c r="K32" s="1253"/>
      <c r="L32" s="1249"/>
      <c r="M32" s="1250"/>
      <c r="N32" s="1251"/>
      <c r="O32" s="771"/>
    </row>
    <row r="33" spans="1:15" ht="15" thickTop="1">
      <c r="A33" s="770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885"/>
      <c r="M33" s="885"/>
      <c r="N33" s="885"/>
      <c r="O33" s="771"/>
    </row>
    <row r="34" spans="1:15">
      <c r="A34" s="770"/>
      <c r="B34" s="646"/>
      <c r="C34" s="646"/>
      <c r="D34" s="646"/>
      <c r="E34" s="646"/>
      <c r="F34" s="646"/>
      <c r="G34" s="646"/>
      <c r="H34" s="646"/>
      <c r="I34" s="646"/>
      <c r="J34" s="646"/>
      <c r="K34" s="646"/>
      <c r="L34" s="885"/>
      <c r="M34" s="885"/>
      <c r="N34" s="885"/>
      <c r="O34" s="771"/>
    </row>
    <row r="35" spans="1:15">
      <c r="A35" s="770"/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771"/>
    </row>
    <row r="36" spans="1:15">
      <c r="A36" s="770"/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771"/>
    </row>
    <row r="37" spans="1:15" ht="15" thickBot="1">
      <c r="A37" s="770"/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771"/>
    </row>
    <row r="38" spans="1:15">
      <c r="A38" s="770"/>
      <c r="B38" s="1234" t="s">
        <v>3545</v>
      </c>
      <c r="C38" s="1234"/>
      <c r="D38" s="646"/>
      <c r="E38" s="646"/>
      <c r="F38" s="646"/>
      <c r="G38" s="1234" t="s">
        <v>3546</v>
      </c>
      <c r="H38" s="1234"/>
      <c r="I38" s="1234"/>
      <c r="J38" s="1234"/>
      <c r="K38" s="646"/>
      <c r="L38" s="1234" t="s">
        <v>3547</v>
      </c>
      <c r="M38" s="1234"/>
      <c r="N38" s="1234"/>
      <c r="O38" s="771"/>
    </row>
    <row r="39" spans="1:15">
      <c r="A39" s="770"/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1235" t="s">
        <v>3548</v>
      </c>
      <c r="M39" s="1235"/>
      <c r="N39" s="1235"/>
      <c r="O39" s="771"/>
    </row>
    <row r="40" spans="1:15" ht="10.5" customHeight="1" thickBot="1">
      <c r="A40" s="770"/>
      <c r="B40" s="646"/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771"/>
    </row>
    <row r="41" spans="1:15" ht="15.5" thickTop="1" thickBot="1">
      <c r="A41" s="770"/>
      <c r="B41" s="892" t="s">
        <v>3549</v>
      </c>
      <c r="C41" s="1236" t="s">
        <v>3550</v>
      </c>
      <c r="D41" s="1236"/>
      <c r="E41" s="1236"/>
      <c r="F41" s="1236"/>
      <c r="G41" s="1236"/>
      <c r="H41" s="1237" t="s">
        <v>3551</v>
      </c>
      <c r="I41" s="1237"/>
      <c r="J41" s="1237"/>
      <c r="K41" s="1236" t="s">
        <v>3552</v>
      </c>
      <c r="L41" s="1236"/>
      <c r="M41" s="1236"/>
      <c r="N41" s="1238"/>
      <c r="O41" s="771"/>
    </row>
    <row r="42" spans="1:15" s="3" customFormat="1" ht="47" thickBot="1">
      <c r="A42" s="872"/>
      <c r="B42" s="893" t="s">
        <v>3553</v>
      </c>
      <c r="C42" s="1239" t="s">
        <v>3555</v>
      </c>
      <c r="D42" s="1239"/>
      <c r="E42" s="1239" t="s">
        <v>3557</v>
      </c>
      <c r="F42" s="1239"/>
      <c r="G42" s="894" t="s">
        <v>3556</v>
      </c>
      <c r="H42" s="1239" t="s">
        <v>3558</v>
      </c>
      <c r="I42" s="1239"/>
      <c r="J42" s="1239"/>
      <c r="K42" s="1239" t="s">
        <v>3559</v>
      </c>
      <c r="L42" s="1239"/>
      <c r="M42" s="1239"/>
      <c r="N42" s="1240"/>
      <c r="O42" s="873"/>
    </row>
    <row r="43" spans="1:15" ht="15" thickBot="1">
      <c r="A43" s="770"/>
      <c r="B43" s="890" t="s">
        <v>3554</v>
      </c>
      <c r="C43" s="1232" t="s">
        <v>550</v>
      </c>
      <c r="D43" s="1232"/>
      <c r="E43" s="1232" t="s">
        <v>551</v>
      </c>
      <c r="F43" s="1232"/>
      <c r="G43" s="891" t="s">
        <v>553</v>
      </c>
      <c r="H43" s="1232" t="s">
        <v>555</v>
      </c>
      <c r="I43" s="1232"/>
      <c r="J43" s="1232"/>
      <c r="K43" s="1232" t="s">
        <v>556</v>
      </c>
      <c r="L43" s="1232"/>
      <c r="M43" s="1232"/>
      <c r="N43" s="1233"/>
      <c r="O43" s="771"/>
    </row>
    <row r="44" spans="1:15" ht="15.5" thickTop="1" thickBot="1">
      <c r="A44" s="876"/>
      <c r="B44" s="877"/>
      <c r="C44" s="877"/>
      <c r="D44" s="877"/>
      <c r="E44" s="877"/>
      <c r="F44" s="877"/>
      <c r="G44" s="877"/>
      <c r="H44" s="877"/>
      <c r="I44" s="877"/>
      <c r="J44" s="877"/>
      <c r="K44" s="877"/>
      <c r="L44" s="877"/>
      <c r="M44" s="877"/>
      <c r="N44" s="877"/>
      <c r="O44" s="878"/>
    </row>
    <row r="45" spans="1:15" ht="15" thickTop="1"/>
  </sheetData>
  <dataConsolidate/>
  <mergeCells count="69">
    <mergeCell ref="B16:B19"/>
    <mergeCell ref="G17:H17"/>
    <mergeCell ref="I17:J17"/>
    <mergeCell ref="G18:G19"/>
    <mergeCell ref="F17:F19"/>
    <mergeCell ref="E17:E19"/>
    <mergeCell ref="D17:D19"/>
    <mergeCell ref="C16:D16"/>
    <mergeCell ref="E16:F16"/>
    <mergeCell ref="G16:J16"/>
    <mergeCell ref="C17:C19"/>
    <mergeCell ref="K17:K19"/>
    <mergeCell ref="L17:L18"/>
    <mergeCell ref="M17:M19"/>
    <mergeCell ref="N16:N19"/>
    <mergeCell ref="K16:M16"/>
    <mergeCell ref="M8:N8"/>
    <mergeCell ref="G9:H9"/>
    <mergeCell ref="C9:F9"/>
    <mergeCell ref="I9:J9"/>
    <mergeCell ref="K9:L9"/>
    <mergeCell ref="M9:N9"/>
    <mergeCell ref="G8:H8"/>
    <mergeCell ref="I8:J8"/>
    <mergeCell ref="K8:L8"/>
    <mergeCell ref="C8:F8"/>
    <mergeCell ref="B1:N1"/>
    <mergeCell ref="B2:N2"/>
    <mergeCell ref="B3:N3"/>
    <mergeCell ref="B6:D6"/>
    <mergeCell ref="L6:N6"/>
    <mergeCell ref="B5:N5"/>
    <mergeCell ref="E6:K6"/>
    <mergeCell ref="M11:N14"/>
    <mergeCell ref="H11:L11"/>
    <mergeCell ref="H12:L12"/>
    <mergeCell ref="H13:L13"/>
    <mergeCell ref="H14:L14"/>
    <mergeCell ref="B31:B32"/>
    <mergeCell ref="L29:N31"/>
    <mergeCell ref="L32:N32"/>
    <mergeCell ref="K31:K32"/>
    <mergeCell ref="C29:D29"/>
    <mergeCell ref="C30:D30"/>
    <mergeCell ref="E29:F29"/>
    <mergeCell ref="G29:H29"/>
    <mergeCell ref="G30:H30"/>
    <mergeCell ref="E30:F30"/>
    <mergeCell ref="J31:J32"/>
    <mergeCell ref="I31:I32"/>
    <mergeCell ref="G31:H32"/>
    <mergeCell ref="E31:F32"/>
    <mergeCell ref="C31:D32"/>
    <mergeCell ref="E26:L26"/>
    <mergeCell ref="C43:D43"/>
    <mergeCell ref="E43:F43"/>
    <mergeCell ref="H43:J43"/>
    <mergeCell ref="K43:N43"/>
    <mergeCell ref="B38:C38"/>
    <mergeCell ref="G38:J38"/>
    <mergeCell ref="L38:N38"/>
    <mergeCell ref="L39:N39"/>
    <mergeCell ref="C41:G41"/>
    <mergeCell ref="H41:J41"/>
    <mergeCell ref="K41:N41"/>
    <mergeCell ref="C42:D42"/>
    <mergeCell ref="E42:F42"/>
    <mergeCell ref="H42:J42"/>
    <mergeCell ref="K42:N42"/>
  </mergeCells>
  <pageMargins left="0" right="0" top="0" bottom="0" header="0" footer="0"/>
  <pageSetup paperSize="9" scale="8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9">
    <tabColor rgb="FFFFFF00"/>
  </sheetPr>
  <dimension ref="A1:CP47"/>
  <sheetViews>
    <sheetView topLeftCell="BW1" workbookViewId="0">
      <selection activeCell="CM43" sqref="CM43"/>
    </sheetView>
  </sheetViews>
  <sheetFormatPr defaultRowHeight="14.5"/>
  <cols>
    <col min="1" max="1" width="6.81640625" style="3" customWidth="1"/>
    <col min="2" max="5" width="32.7265625" style="3" customWidth="1"/>
    <col min="6" max="7" width="21.81640625" style="3" customWidth="1"/>
    <col min="8" max="8" width="10.54296875" customWidth="1"/>
    <col min="9" max="9" width="25.81640625" customWidth="1"/>
    <col min="10" max="10" width="5.81640625" style="12" customWidth="1"/>
    <col min="11" max="11" width="10.7265625" customWidth="1"/>
    <col min="12" max="12" width="13.453125" customWidth="1"/>
    <col min="13" max="14" width="7.81640625" style="3" customWidth="1"/>
    <col min="15" max="15" width="7.81640625" style="371" customWidth="1"/>
    <col min="16" max="16" width="7.81640625" style="911" customWidth="1"/>
    <col min="17" max="18" width="7.81640625" style="3" customWidth="1"/>
    <col min="19" max="19" width="7.81640625" style="371" customWidth="1"/>
    <col min="20" max="20" width="7.81640625" style="911" customWidth="1"/>
    <col min="21" max="22" width="7.81640625" style="3" customWidth="1"/>
    <col min="23" max="23" width="7.81640625" style="371" customWidth="1"/>
    <col min="24" max="24" width="7.81640625" style="911" customWidth="1"/>
    <col min="25" max="26" width="7.81640625" style="3" customWidth="1"/>
    <col min="27" max="27" width="7.81640625" style="371" customWidth="1"/>
    <col min="28" max="28" width="7.81640625" style="911" customWidth="1"/>
    <col min="29" max="30" width="7.81640625" style="3" customWidth="1"/>
    <col min="31" max="31" width="7.81640625" style="371" customWidth="1"/>
    <col min="32" max="32" width="7.81640625" style="911" customWidth="1"/>
    <col min="33" max="34" width="7.81640625" style="3" customWidth="1"/>
    <col min="35" max="35" width="9.90625" style="371" customWidth="1"/>
    <col min="36" max="36" width="9.90625" style="911" customWidth="1"/>
    <col min="37" max="37" width="4.1796875" style="512" customWidth="1"/>
    <col min="38" max="38" width="8.81640625" style="3"/>
    <col min="39" max="39" width="6.81640625" style="3" customWidth="1"/>
    <col min="40" max="40" width="6.81640625" style="538" customWidth="1"/>
    <col min="41" max="41" width="6.81640625" style="911" customWidth="1"/>
    <col min="42" max="42" width="8.81640625" style="3"/>
    <col min="43" max="43" width="6.81640625" style="3" customWidth="1"/>
    <col min="44" max="44" width="6.81640625" style="538" customWidth="1"/>
    <col min="45" max="45" width="6.81640625" style="911" customWidth="1"/>
    <col min="46" max="46" width="8.81640625" style="3"/>
    <col min="47" max="47" width="6.81640625" style="3" customWidth="1"/>
    <col min="48" max="48" width="6.81640625" style="538" customWidth="1"/>
    <col min="49" max="49" width="6.81640625" style="911" customWidth="1"/>
    <col min="50" max="50" width="8.81640625" style="3"/>
    <col min="51" max="51" width="6.81640625" style="3" customWidth="1"/>
    <col min="52" max="52" width="6.81640625" style="538" customWidth="1"/>
    <col min="53" max="53" width="6.81640625" style="911" customWidth="1"/>
    <col min="54" max="54" width="8.81640625" style="3"/>
    <col min="55" max="55" width="6.81640625" style="3" customWidth="1"/>
    <col min="56" max="56" width="6.81640625" style="538" customWidth="1"/>
    <col min="57" max="57" width="6.81640625" style="911" customWidth="1"/>
    <col min="58" max="59" width="8.81640625" style="3"/>
    <col min="60" max="60" width="8.7265625" style="538"/>
    <col min="61" max="61" width="8.7265625" style="911"/>
    <col min="62" max="62" width="9.1796875" style="21"/>
    <col min="63" max="65" width="9.1796875" style="3"/>
    <col min="66" max="66" width="8.7265625" style="911"/>
    <col min="67" max="68" width="9.1796875" style="3"/>
    <col min="69" max="69" width="8.7265625" style="3"/>
    <col min="70" max="70" width="8.7265625" style="911"/>
    <col min="71" max="72" width="9.1796875" style="3"/>
    <col min="73" max="73" width="9.1796875" style="3" bestFit="1" customWidth="1"/>
    <col min="74" max="74" width="8.7265625" style="911"/>
    <col min="75" max="76" width="9.1796875" style="3"/>
    <col min="77" max="77" width="8.7265625" style="3"/>
    <col min="78" max="78" width="8.7265625" style="911"/>
    <col min="79" max="80" width="9.1796875" style="3"/>
    <col min="81" max="81" width="8.7265625" style="3"/>
    <col min="82" max="82" width="8.7265625" style="911"/>
    <col min="83" max="84" width="9.1796875" style="3"/>
    <col min="85" max="85" width="8.7265625" style="3"/>
    <col min="86" max="86" width="8.7265625" style="911"/>
    <col min="87" max="87" width="8.7265625" style="939"/>
  </cols>
  <sheetData>
    <row r="1" spans="1:93" ht="18.5">
      <c r="A1" s="1283" t="s">
        <v>3023</v>
      </c>
      <c r="B1" s="1283"/>
      <c r="C1" s="1283"/>
      <c r="D1" s="1283"/>
      <c r="E1" s="1283"/>
      <c r="F1" s="1283"/>
      <c r="G1" s="1283"/>
      <c r="H1" s="1283"/>
      <c r="I1" s="1283"/>
      <c r="J1" s="1283"/>
    </row>
    <row r="2" spans="1:93" ht="18.5">
      <c r="A2" s="1283" t="s">
        <v>3025</v>
      </c>
      <c r="B2" s="1283"/>
      <c r="C2" s="1283"/>
      <c r="D2" s="1283"/>
      <c r="E2" s="1283"/>
      <c r="F2" s="1283"/>
      <c r="G2" s="1283"/>
      <c r="H2" s="1283"/>
      <c r="I2" s="1283"/>
      <c r="J2" s="1283"/>
      <c r="M2" s="1284" t="s">
        <v>3444</v>
      </c>
      <c r="N2" s="1284"/>
      <c r="O2" s="1284"/>
      <c r="P2" s="1284"/>
      <c r="Q2" s="1284"/>
      <c r="R2" s="1284"/>
      <c r="S2" s="1284"/>
      <c r="T2" s="1284"/>
      <c r="U2" s="1284"/>
      <c r="V2" s="1284"/>
      <c r="W2" s="1284"/>
      <c r="X2" s="1284"/>
      <c r="Y2" s="1284"/>
      <c r="Z2" s="1284"/>
      <c r="AA2" s="1284"/>
      <c r="AB2" s="1284"/>
      <c r="AC2" s="1284"/>
      <c r="AD2" s="1284"/>
      <c r="AE2" s="1284"/>
      <c r="AF2" s="1284"/>
      <c r="AG2" s="1284"/>
      <c r="AH2" s="1284"/>
      <c r="AI2" s="910"/>
      <c r="AJ2" s="915"/>
      <c r="AL2" s="1284" t="s">
        <v>3442</v>
      </c>
      <c r="AM2" s="1284"/>
      <c r="AN2" s="1284"/>
      <c r="AO2" s="1284"/>
      <c r="AP2" s="1284"/>
      <c r="AQ2" s="1284"/>
      <c r="AR2" s="1284"/>
      <c r="AS2" s="1284"/>
      <c r="AT2" s="1284"/>
      <c r="AU2" s="1284"/>
      <c r="AV2" s="1284"/>
      <c r="AW2" s="1284"/>
      <c r="AX2" s="1284"/>
      <c r="AY2" s="1284"/>
      <c r="AZ2" s="1284"/>
      <c r="BA2" s="1284"/>
      <c r="BB2" s="1284"/>
      <c r="BC2" s="1284"/>
      <c r="BD2" s="1284"/>
      <c r="BE2" s="1284"/>
      <c r="BF2" s="1284"/>
      <c r="BG2" s="1284"/>
      <c r="BH2" s="932"/>
      <c r="BI2" s="915"/>
      <c r="BJ2" s="802"/>
    </row>
    <row r="3" spans="1:93" ht="19" thickBot="1">
      <c r="A3" s="869">
        <v>1</v>
      </c>
      <c r="B3" s="869">
        <v>2</v>
      </c>
      <c r="C3" s="869">
        <v>3</v>
      </c>
      <c r="D3" s="869">
        <v>4</v>
      </c>
      <c r="E3" s="869">
        <v>5</v>
      </c>
      <c r="F3" s="869">
        <v>6</v>
      </c>
      <c r="G3" s="869">
        <v>7</v>
      </c>
      <c r="H3" s="869">
        <v>8</v>
      </c>
      <c r="I3" s="869">
        <v>9</v>
      </c>
      <c r="J3" s="869">
        <v>10</v>
      </c>
      <c r="K3" s="869">
        <v>11</v>
      </c>
      <c r="L3" s="869">
        <v>12</v>
      </c>
      <c r="M3" s="869">
        <v>13</v>
      </c>
      <c r="N3" s="869">
        <v>14</v>
      </c>
      <c r="O3" s="908"/>
      <c r="P3" s="912"/>
      <c r="Q3" s="869">
        <v>15</v>
      </c>
      <c r="R3" s="869">
        <v>16</v>
      </c>
      <c r="S3" s="908"/>
      <c r="T3" s="912"/>
      <c r="U3" s="869">
        <v>17</v>
      </c>
      <c r="V3" s="869">
        <v>18</v>
      </c>
      <c r="W3" s="908"/>
      <c r="X3" s="912"/>
      <c r="Y3" s="869">
        <v>19</v>
      </c>
      <c r="Z3" s="869">
        <v>20</v>
      </c>
      <c r="AA3" s="908"/>
      <c r="AB3" s="912"/>
      <c r="AC3" s="869">
        <v>21</v>
      </c>
      <c r="AD3" s="869">
        <v>22</v>
      </c>
      <c r="AE3" s="908"/>
      <c r="AF3" s="912"/>
      <c r="AG3" s="869">
        <v>23</v>
      </c>
      <c r="AH3" s="869">
        <v>24</v>
      </c>
      <c r="AI3" s="908"/>
      <c r="AJ3" s="912"/>
      <c r="AK3" s="869">
        <v>25</v>
      </c>
      <c r="AL3" s="869">
        <v>26</v>
      </c>
      <c r="AM3" s="869">
        <v>27</v>
      </c>
      <c r="AN3" s="933"/>
      <c r="AO3" s="912"/>
      <c r="AP3" s="869">
        <v>28</v>
      </c>
      <c r="AQ3" s="869">
        <v>29</v>
      </c>
      <c r="AR3" s="933"/>
      <c r="AS3" s="912"/>
      <c r="AT3" s="869">
        <v>30</v>
      </c>
      <c r="AU3" s="869">
        <v>31</v>
      </c>
      <c r="AV3" s="933"/>
      <c r="AW3" s="912"/>
      <c r="AX3" s="869">
        <v>32</v>
      </c>
      <c r="AY3" s="869">
        <v>33</v>
      </c>
      <c r="AZ3" s="933"/>
      <c r="BA3" s="912"/>
      <c r="BB3" s="869">
        <v>34</v>
      </c>
      <c r="BC3" s="869">
        <v>35</v>
      </c>
      <c r="BD3" s="933"/>
      <c r="BE3" s="912"/>
      <c r="BF3" s="869">
        <v>36</v>
      </c>
      <c r="BG3" s="869">
        <v>37</v>
      </c>
      <c r="BH3" s="933"/>
      <c r="BI3" s="912"/>
      <c r="BJ3" s="869">
        <v>38</v>
      </c>
      <c r="BK3" s="869">
        <v>39</v>
      </c>
      <c r="BL3" s="869">
        <v>40</v>
      </c>
      <c r="BM3" s="869">
        <v>41</v>
      </c>
      <c r="BN3" s="912"/>
      <c r="BO3" s="869">
        <v>42</v>
      </c>
      <c r="BP3" s="869">
        <v>43</v>
      </c>
      <c r="BQ3" s="870"/>
      <c r="BR3" s="912"/>
      <c r="BS3" s="869">
        <v>44</v>
      </c>
      <c r="BT3" s="869">
        <v>45</v>
      </c>
      <c r="BU3" s="870"/>
      <c r="BV3" s="912"/>
      <c r="BW3" s="869">
        <v>46</v>
      </c>
      <c r="BX3" s="869">
        <v>47</v>
      </c>
      <c r="BY3" s="870"/>
      <c r="BZ3" s="912"/>
      <c r="CA3" s="869">
        <v>48</v>
      </c>
      <c r="CB3" s="869">
        <v>49</v>
      </c>
      <c r="CC3" s="870"/>
      <c r="CD3" s="912"/>
      <c r="CE3" s="869">
        <v>50</v>
      </c>
      <c r="CF3" s="869">
        <v>51</v>
      </c>
      <c r="CG3" s="870"/>
      <c r="CH3" s="912"/>
      <c r="CI3" s="933">
        <v>52</v>
      </c>
      <c r="CJ3" s="869">
        <v>53</v>
      </c>
      <c r="CK3" s="869">
        <v>54</v>
      </c>
      <c r="CL3" s="869">
        <v>55</v>
      </c>
      <c r="CM3" s="869">
        <v>56</v>
      </c>
      <c r="CN3" s="869">
        <v>57</v>
      </c>
      <c r="CO3" s="869">
        <v>58</v>
      </c>
    </row>
    <row r="4" spans="1:93" s="377" customFormat="1" ht="31.75" customHeight="1" thickTop="1">
      <c r="A4" s="1" t="s">
        <v>0</v>
      </c>
      <c r="B4" s="1" t="s">
        <v>2770</v>
      </c>
      <c r="C4" s="1" t="s">
        <v>1</v>
      </c>
      <c r="D4" s="1" t="s">
        <v>2</v>
      </c>
      <c r="E4" s="1" t="s">
        <v>3</v>
      </c>
      <c r="F4" s="376" t="s">
        <v>4</v>
      </c>
      <c r="G4" s="1" t="s">
        <v>5</v>
      </c>
      <c r="H4" s="4" t="s">
        <v>6</v>
      </c>
      <c r="I4" s="438" t="s">
        <v>499</v>
      </c>
      <c r="J4" s="244" t="s">
        <v>7</v>
      </c>
      <c r="K4" s="244" t="s">
        <v>8</v>
      </c>
      <c r="L4" s="485" t="s">
        <v>3561</v>
      </c>
      <c r="M4" s="918" t="s">
        <v>9</v>
      </c>
      <c r="N4" s="919" t="s">
        <v>3438</v>
      </c>
      <c r="O4" s="920" t="s">
        <v>3448</v>
      </c>
      <c r="P4" s="921">
        <v>0.05</v>
      </c>
      <c r="Q4" s="919" t="s">
        <v>10</v>
      </c>
      <c r="R4" s="919" t="s">
        <v>3438</v>
      </c>
      <c r="S4" s="920" t="s">
        <v>3448</v>
      </c>
      <c r="T4" s="921">
        <v>0.05</v>
      </c>
      <c r="U4" s="919" t="s">
        <v>77</v>
      </c>
      <c r="V4" s="919" t="s">
        <v>3438</v>
      </c>
      <c r="W4" s="920" t="s">
        <v>3448</v>
      </c>
      <c r="X4" s="921">
        <v>0.05</v>
      </c>
      <c r="Y4" s="919" t="s">
        <v>3251</v>
      </c>
      <c r="Z4" s="919" t="s">
        <v>3438</v>
      </c>
      <c r="AA4" s="920" t="s">
        <v>3448</v>
      </c>
      <c r="AB4" s="921">
        <v>0.05</v>
      </c>
      <c r="AC4" s="919" t="s">
        <v>12</v>
      </c>
      <c r="AD4" s="919" t="s">
        <v>3438</v>
      </c>
      <c r="AE4" s="920" t="s">
        <v>3448</v>
      </c>
      <c r="AF4" s="921">
        <v>0.05</v>
      </c>
      <c r="AG4" s="919" t="s">
        <v>3258</v>
      </c>
      <c r="AH4" s="919" t="s">
        <v>3438</v>
      </c>
      <c r="AI4" s="920" t="s">
        <v>3448</v>
      </c>
      <c r="AJ4" s="922">
        <v>0.05</v>
      </c>
      <c r="AK4" s="513"/>
      <c r="AL4" s="495" t="s">
        <v>9</v>
      </c>
      <c r="AM4" s="495" t="s">
        <v>3438</v>
      </c>
      <c r="AN4" s="934" t="s">
        <v>3448</v>
      </c>
      <c r="AO4" s="921">
        <v>0.05</v>
      </c>
      <c r="AP4" s="495" t="s">
        <v>10</v>
      </c>
      <c r="AQ4" s="495" t="s">
        <v>3438</v>
      </c>
      <c r="AR4" s="934" t="s">
        <v>3448</v>
      </c>
      <c r="AS4" s="921">
        <v>0.05</v>
      </c>
      <c r="AT4" s="495" t="s">
        <v>77</v>
      </c>
      <c r="AU4" s="495" t="s">
        <v>3438</v>
      </c>
      <c r="AV4" s="934" t="s">
        <v>3448</v>
      </c>
      <c r="AW4" s="921">
        <v>0.05</v>
      </c>
      <c r="AX4" s="495" t="s">
        <v>3251</v>
      </c>
      <c r="AY4" s="495" t="s">
        <v>3438</v>
      </c>
      <c r="AZ4" s="934" t="s">
        <v>3448</v>
      </c>
      <c r="BA4" s="921">
        <v>0.05</v>
      </c>
      <c r="BB4" s="495" t="s">
        <v>12</v>
      </c>
      <c r="BC4" s="495" t="s">
        <v>3438</v>
      </c>
      <c r="BD4" s="934" t="s">
        <v>3448</v>
      </c>
      <c r="BE4" s="921">
        <v>0.05</v>
      </c>
      <c r="BF4" s="495" t="s">
        <v>3258</v>
      </c>
      <c r="BG4" s="495" t="s">
        <v>3438</v>
      </c>
      <c r="BH4" s="934" t="s">
        <v>3448</v>
      </c>
      <c r="BI4" s="921">
        <v>0.05</v>
      </c>
      <c r="BJ4" s="803"/>
      <c r="BK4" s="495" t="s">
        <v>9</v>
      </c>
      <c r="BL4" s="495" t="s">
        <v>3438</v>
      </c>
      <c r="BM4" s="495" t="s">
        <v>3562</v>
      </c>
      <c r="BN4" s="937" t="s">
        <v>3563</v>
      </c>
      <c r="BO4" s="495" t="s">
        <v>10</v>
      </c>
      <c r="BP4" s="495" t="s">
        <v>3438</v>
      </c>
      <c r="BQ4" s="495" t="s">
        <v>3562</v>
      </c>
      <c r="BR4" s="937" t="s">
        <v>3563</v>
      </c>
      <c r="BS4" s="495" t="s">
        <v>77</v>
      </c>
      <c r="BT4" s="495" t="s">
        <v>3438</v>
      </c>
      <c r="BU4" s="495" t="s">
        <v>3562</v>
      </c>
      <c r="BV4" s="937" t="s">
        <v>3563</v>
      </c>
      <c r="BW4" s="495" t="s">
        <v>3251</v>
      </c>
      <c r="BX4" s="495" t="s">
        <v>3438</v>
      </c>
      <c r="BY4" s="495" t="s">
        <v>3562</v>
      </c>
      <c r="BZ4" s="937" t="s">
        <v>3563</v>
      </c>
      <c r="CA4" s="495" t="s">
        <v>12</v>
      </c>
      <c r="CB4" s="495" t="s">
        <v>3438</v>
      </c>
      <c r="CC4" s="495" t="s">
        <v>3562</v>
      </c>
      <c r="CD4" s="937" t="s">
        <v>3563</v>
      </c>
      <c r="CE4" s="495" t="s">
        <v>3258</v>
      </c>
      <c r="CF4" s="495" t="s">
        <v>3438</v>
      </c>
      <c r="CG4" s="495" t="s">
        <v>3562</v>
      </c>
      <c r="CH4" s="937" t="s">
        <v>3563</v>
      </c>
      <c r="CI4" s="940" t="s">
        <v>513</v>
      </c>
    </row>
    <row r="5" spans="1:93" s="790" customFormat="1" ht="22.4" customHeight="1">
      <c r="A5" s="784">
        <v>9001</v>
      </c>
      <c r="B5" s="785" t="s">
        <v>3365</v>
      </c>
      <c r="C5" s="785" t="s">
        <v>2771</v>
      </c>
      <c r="D5" s="785" t="s">
        <v>3366</v>
      </c>
      <c r="E5" s="785" t="s">
        <v>2804</v>
      </c>
      <c r="F5" s="785" t="s">
        <v>2816</v>
      </c>
      <c r="G5" s="784">
        <v>131615511</v>
      </c>
      <c r="H5" s="784">
        <v>629</v>
      </c>
      <c r="I5" s="786" t="s">
        <v>2897</v>
      </c>
      <c r="J5" s="787" t="s">
        <v>2204</v>
      </c>
      <c r="K5" s="786" t="s">
        <v>2059</v>
      </c>
      <c r="L5" s="916"/>
      <c r="M5" s="923">
        <v>43</v>
      </c>
      <c r="N5" s="788">
        <v>21</v>
      </c>
      <c r="O5" s="800">
        <f>M5+N5</f>
        <v>64</v>
      </c>
      <c r="P5" s="913">
        <f>O5*5/100</f>
        <v>3.2</v>
      </c>
      <c r="Q5" s="788">
        <v>41</v>
      </c>
      <c r="R5" s="788">
        <v>20</v>
      </c>
      <c r="S5" s="800">
        <f>Q5+R5</f>
        <v>61</v>
      </c>
      <c r="T5" s="913">
        <f>S5*5/100</f>
        <v>3.05</v>
      </c>
      <c r="U5" s="788">
        <v>47</v>
      </c>
      <c r="V5" s="788">
        <v>22</v>
      </c>
      <c r="W5" s="800">
        <f>U5+V5</f>
        <v>69</v>
      </c>
      <c r="X5" s="913">
        <f>W5*5/100</f>
        <v>3.45</v>
      </c>
      <c r="Y5" s="788">
        <v>40</v>
      </c>
      <c r="Z5" s="788">
        <v>22</v>
      </c>
      <c r="AA5" s="800">
        <f>Y5+Z5</f>
        <v>62</v>
      </c>
      <c r="AB5" s="913">
        <f>AA5*5/100</f>
        <v>3.1</v>
      </c>
      <c r="AC5" s="788">
        <v>43</v>
      </c>
      <c r="AD5" s="788">
        <v>21</v>
      </c>
      <c r="AE5" s="800">
        <f>AC5+AD5</f>
        <v>64</v>
      </c>
      <c r="AF5" s="913">
        <f>AE5*5/100</f>
        <v>3.2</v>
      </c>
      <c r="AG5" s="788">
        <v>42</v>
      </c>
      <c r="AH5" s="788">
        <v>22</v>
      </c>
      <c r="AI5" s="800">
        <f>AG5+AH5</f>
        <v>64</v>
      </c>
      <c r="AJ5" s="924">
        <f>AI5*5/100</f>
        <v>3.2</v>
      </c>
      <c r="AK5" s="789"/>
      <c r="AL5" s="788">
        <v>45</v>
      </c>
      <c r="AM5" s="788">
        <v>20</v>
      </c>
      <c r="AN5" s="935">
        <f>AL5+AM5</f>
        <v>65</v>
      </c>
      <c r="AO5" s="913">
        <f>AN5*5/100</f>
        <v>3.25</v>
      </c>
      <c r="AP5" s="788">
        <v>42</v>
      </c>
      <c r="AQ5" s="788">
        <v>21</v>
      </c>
      <c r="AR5" s="935">
        <f>AP5+AQ5</f>
        <v>63</v>
      </c>
      <c r="AS5" s="913">
        <f>AR5*5/100</f>
        <v>3.15</v>
      </c>
      <c r="AT5" s="788">
        <v>48</v>
      </c>
      <c r="AU5" s="788">
        <v>23</v>
      </c>
      <c r="AV5" s="935">
        <f>AT5+AU5</f>
        <v>71</v>
      </c>
      <c r="AW5" s="913">
        <f>AV5*5/100</f>
        <v>3.55</v>
      </c>
      <c r="AX5" s="788">
        <v>40</v>
      </c>
      <c r="AY5" s="788">
        <v>23</v>
      </c>
      <c r="AZ5" s="935">
        <f>AX5+AY5</f>
        <v>63</v>
      </c>
      <c r="BA5" s="913">
        <f>AZ5*5/100</f>
        <v>3.15</v>
      </c>
      <c r="BB5" s="788">
        <v>44</v>
      </c>
      <c r="BC5" s="788">
        <v>23</v>
      </c>
      <c r="BD5" s="935">
        <f>BB5+BC5</f>
        <v>67</v>
      </c>
      <c r="BE5" s="913">
        <f>BD5*5/100</f>
        <v>3.35</v>
      </c>
      <c r="BF5" s="788">
        <v>46</v>
      </c>
      <c r="BG5" s="788">
        <v>23</v>
      </c>
      <c r="BH5" s="935">
        <f>BF5+BG5</f>
        <v>69</v>
      </c>
      <c r="BI5" s="913">
        <f>BH5*5/100</f>
        <v>3.45</v>
      </c>
      <c r="BJ5" s="590"/>
      <c r="BK5" s="788">
        <v>37</v>
      </c>
      <c r="BL5" s="788">
        <v>22</v>
      </c>
      <c r="BM5" s="788">
        <f>BL5*0.6</f>
        <v>13.2</v>
      </c>
      <c r="BN5" s="913">
        <v>13</v>
      </c>
      <c r="BO5" s="788">
        <v>38</v>
      </c>
      <c r="BP5" s="788">
        <v>23</v>
      </c>
      <c r="BQ5" s="788">
        <f>BP5*0.6</f>
        <v>13.799999999999999</v>
      </c>
      <c r="BR5" s="913">
        <v>14</v>
      </c>
      <c r="BS5" s="788">
        <v>37</v>
      </c>
      <c r="BT5" s="788">
        <v>23</v>
      </c>
      <c r="BU5" s="788">
        <f>BT5*0.6</f>
        <v>13.799999999999999</v>
      </c>
      <c r="BV5" s="913">
        <v>14</v>
      </c>
      <c r="BW5" s="788">
        <v>38</v>
      </c>
      <c r="BX5" s="788">
        <v>23</v>
      </c>
      <c r="BY5" s="788">
        <f>BX5*0.6</f>
        <v>13.799999999999999</v>
      </c>
      <c r="BZ5" s="913">
        <v>14</v>
      </c>
      <c r="CA5" s="788">
        <v>30</v>
      </c>
      <c r="CB5" s="788">
        <v>21</v>
      </c>
      <c r="CC5" s="788">
        <f>CB5*0.6</f>
        <v>12.6</v>
      </c>
      <c r="CD5" s="913">
        <v>13</v>
      </c>
      <c r="CE5" s="788">
        <v>36</v>
      </c>
      <c r="CF5" s="788">
        <v>23</v>
      </c>
      <c r="CG5" s="788">
        <f>CF5*0.6</f>
        <v>13.799999999999999</v>
      </c>
      <c r="CH5" s="913">
        <v>14</v>
      </c>
      <c r="CI5" s="935">
        <f>SUM(BK5:CF5)</f>
        <v>486.20000000000005</v>
      </c>
    </row>
    <row r="6" spans="1:93" s="795" customFormat="1" ht="22.4" customHeight="1">
      <c r="A6" s="791">
        <v>9002</v>
      </c>
      <c r="B6" s="792" t="s">
        <v>3367</v>
      </c>
      <c r="C6" s="792" t="s">
        <v>2772</v>
      </c>
      <c r="D6" s="792" t="s">
        <v>2793</v>
      </c>
      <c r="E6" s="792" t="s">
        <v>2805</v>
      </c>
      <c r="F6" s="792" t="s">
        <v>2817</v>
      </c>
      <c r="G6" s="791">
        <v>200089561</v>
      </c>
      <c r="H6" s="791">
        <v>1629</v>
      </c>
      <c r="I6" s="793" t="s">
        <v>2897</v>
      </c>
      <c r="J6" s="794" t="s">
        <v>2204</v>
      </c>
      <c r="K6" s="793" t="s">
        <v>2059</v>
      </c>
      <c r="L6" s="917"/>
      <c r="M6" s="925">
        <v>31</v>
      </c>
      <c r="N6" s="590">
        <v>20</v>
      </c>
      <c r="O6" s="800">
        <f t="shared" ref="O6:O46" si="0">M6+N6</f>
        <v>51</v>
      </c>
      <c r="P6" s="913">
        <f t="shared" ref="P6:P46" si="1">O6*5/100</f>
        <v>2.5499999999999998</v>
      </c>
      <c r="Q6" s="590">
        <v>33</v>
      </c>
      <c r="R6" s="590">
        <v>20</v>
      </c>
      <c r="S6" s="800">
        <f t="shared" ref="S6:S46" si="2">Q6+R6</f>
        <v>53</v>
      </c>
      <c r="T6" s="913">
        <f t="shared" ref="T6:T46" si="3">S6*5/100</f>
        <v>2.65</v>
      </c>
      <c r="U6" s="590">
        <v>30</v>
      </c>
      <c r="V6" s="590">
        <v>20</v>
      </c>
      <c r="W6" s="800">
        <f t="shared" ref="W6:W46" si="4">U6+V6</f>
        <v>50</v>
      </c>
      <c r="X6" s="913">
        <f t="shared" ref="X6:X46" si="5">W6*5/100</f>
        <v>2.5</v>
      </c>
      <c r="Y6" s="590">
        <v>34</v>
      </c>
      <c r="Z6" s="590">
        <v>20</v>
      </c>
      <c r="AA6" s="800">
        <f t="shared" ref="AA6:AA46" si="6">Y6+Z6</f>
        <v>54</v>
      </c>
      <c r="AB6" s="913">
        <f t="shared" ref="AB6:AB46" si="7">AA6*5/100</f>
        <v>2.7</v>
      </c>
      <c r="AC6" s="590">
        <v>31</v>
      </c>
      <c r="AD6" s="590">
        <v>20</v>
      </c>
      <c r="AE6" s="800">
        <f t="shared" ref="AE6:AE46" si="8">AC6+AD6</f>
        <v>51</v>
      </c>
      <c r="AF6" s="913">
        <f t="shared" ref="AF6:AF46" si="9">AE6*5/100</f>
        <v>2.5499999999999998</v>
      </c>
      <c r="AG6" s="590">
        <v>36</v>
      </c>
      <c r="AH6" s="590">
        <v>21</v>
      </c>
      <c r="AI6" s="800">
        <f t="shared" ref="AI6:AI46" si="10">AG6+AH6</f>
        <v>57</v>
      </c>
      <c r="AJ6" s="924">
        <f t="shared" ref="AJ6:AJ46" si="11">AI6*5/100</f>
        <v>2.85</v>
      </c>
      <c r="AK6" s="789"/>
      <c r="AL6" s="590">
        <v>34</v>
      </c>
      <c r="AM6" s="590">
        <v>20</v>
      </c>
      <c r="AN6" s="935">
        <f t="shared" ref="AN6:AN46" si="12">AL6+AM6</f>
        <v>54</v>
      </c>
      <c r="AO6" s="913">
        <f t="shared" ref="AO6:AO46" si="13">AN6*5/100</f>
        <v>2.7</v>
      </c>
      <c r="AP6" s="590">
        <v>34</v>
      </c>
      <c r="AQ6" s="590">
        <v>20</v>
      </c>
      <c r="AR6" s="935">
        <f t="shared" ref="AR6:AR46" si="14">AP6+AQ6</f>
        <v>54</v>
      </c>
      <c r="AS6" s="913">
        <f t="shared" ref="AS6:AS46" si="15">AR6*5/100</f>
        <v>2.7</v>
      </c>
      <c r="AT6" s="590">
        <v>36</v>
      </c>
      <c r="AU6" s="590">
        <v>23</v>
      </c>
      <c r="AV6" s="935">
        <f t="shared" ref="AV6:AV46" si="16">AT6+AU6</f>
        <v>59</v>
      </c>
      <c r="AW6" s="913">
        <f t="shared" ref="AW6:AW46" si="17">AV6*5/100</f>
        <v>2.95</v>
      </c>
      <c r="AX6" s="590">
        <v>35</v>
      </c>
      <c r="AY6" s="590">
        <v>21</v>
      </c>
      <c r="AZ6" s="935">
        <f t="shared" ref="AZ6:AZ46" si="18">AX6+AY6</f>
        <v>56</v>
      </c>
      <c r="BA6" s="913">
        <f t="shared" ref="BA6:BA46" si="19">AZ6*5/100</f>
        <v>2.8</v>
      </c>
      <c r="BB6" s="590">
        <v>31</v>
      </c>
      <c r="BC6" s="590">
        <v>24</v>
      </c>
      <c r="BD6" s="935">
        <f t="shared" ref="BD6:BD46" si="20">BB6+BC6</f>
        <v>55</v>
      </c>
      <c r="BE6" s="913">
        <f t="shared" ref="BE6:BE46" si="21">BD6*5/100</f>
        <v>2.75</v>
      </c>
      <c r="BF6" s="590">
        <v>40</v>
      </c>
      <c r="BG6" s="590">
        <v>20</v>
      </c>
      <c r="BH6" s="935">
        <f t="shared" ref="BH6:BH46" si="22">BF6+BG6</f>
        <v>60</v>
      </c>
      <c r="BI6" s="913">
        <f t="shared" ref="BI6:BI46" si="23">BH6*5/100</f>
        <v>3</v>
      </c>
      <c r="BJ6" s="590"/>
      <c r="BK6" s="590">
        <v>34</v>
      </c>
      <c r="BL6" s="590">
        <v>21</v>
      </c>
      <c r="BM6" s="788">
        <f t="shared" ref="BM6:BM46" si="24">BL6*0.6</f>
        <v>12.6</v>
      </c>
      <c r="BN6" s="913">
        <v>13</v>
      </c>
      <c r="BO6" s="590">
        <v>35</v>
      </c>
      <c r="BP6" s="590">
        <v>21</v>
      </c>
      <c r="BQ6" s="788">
        <f t="shared" ref="BQ6:BQ46" si="25">BP6*0.6</f>
        <v>12.6</v>
      </c>
      <c r="BR6" s="938">
        <v>13</v>
      </c>
      <c r="BS6" s="590">
        <v>32</v>
      </c>
      <c r="BT6" s="590">
        <v>18</v>
      </c>
      <c r="BU6" s="788">
        <f t="shared" ref="BU6:BU46" si="26">BT6*0.6</f>
        <v>10.799999999999999</v>
      </c>
      <c r="BV6" s="938">
        <v>11</v>
      </c>
      <c r="BW6" s="590">
        <v>35</v>
      </c>
      <c r="BX6" s="590">
        <v>22</v>
      </c>
      <c r="BY6" s="788">
        <f t="shared" ref="BY6:BY46" si="27">BX6*0.6</f>
        <v>13.2</v>
      </c>
      <c r="BZ6" s="938">
        <v>13</v>
      </c>
      <c r="CA6" s="590">
        <v>30</v>
      </c>
      <c r="CB6" s="590">
        <v>20</v>
      </c>
      <c r="CC6" s="788">
        <f t="shared" ref="CC6:CC46" si="28">CB6*0.6</f>
        <v>12</v>
      </c>
      <c r="CD6" s="938">
        <v>12</v>
      </c>
      <c r="CE6" s="590">
        <v>34</v>
      </c>
      <c r="CF6" s="590">
        <v>22</v>
      </c>
      <c r="CG6" s="788">
        <f t="shared" ref="CG6:CG46" si="29">CF6*0.6</f>
        <v>13.2</v>
      </c>
      <c r="CH6" s="938">
        <v>13</v>
      </c>
      <c r="CI6" s="935">
        <f t="shared" ref="CI6:CI46" si="30">SUM(BK6:CF6)</f>
        <v>447.2</v>
      </c>
    </row>
    <row r="7" spans="1:93" s="790" customFormat="1" ht="22.4" customHeight="1">
      <c r="A7" s="784">
        <v>9003</v>
      </c>
      <c r="B7" s="785" t="s">
        <v>3368</v>
      </c>
      <c r="C7" s="785" t="s">
        <v>2773</v>
      </c>
      <c r="D7" s="785" t="s">
        <v>2794</v>
      </c>
      <c r="E7" s="785" t="s">
        <v>3369</v>
      </c>
      <c r="F7" s="785" t="s">
        <v>2818</v>
      </c>
      <c r="G7" s="784">
        <v>104652031</v>
      </c>
      <c r="H7" s="784">
        <v>706</v>
      </c>
      <c r="I7" s="786" t="s">
        <v>2901</v>
      </c>
      <c r="J7" s="787" t="s">
        <v>2204</v>
      </c>
      <c r="K7" s="786" t="s">
        <v>2059</v>
      </c>
      <c r="L7" s="916"/>
      <c r="M7" s="923">
        <v>57</v>
      </c>
      <c r="N7" s="788">
        <v>24</v>
      </c>
      <c r="O7" s="800">
        <f t="shared" si="0"/>
        <v>81</v>
      </c>
      <c r="P7" s="913">
        <f t="shared" si="1"/>
        <v>4.05</v>
      </c>
      <c r="Q7" s="788">
        <v>55</v>
      </c>
      <c r="R7" s="788">
        <v>24</v>
      </c>
      <c r="S7" s="800">
        <f t="shared" si="2"/>
        <v>79</v>
      </c>
      <c r="T7" s="913">
        <f t="shared" si="3"/>
        <v>3.95</v>
      </c>
      <c r="U7" s="788">
        <v>60</v>
      </c>
      <c r="V7" s="788">
        <v>25</v>
      </c>
      <c r="W7" s="800">
        <f t="shared" si="4"/>
        <v>85</v>
      </c>
      <c r="X7" s="913">
        <f t="shared" si="5"/>
        <v>4.25</v>
      </c>
      <c r="Y7" s="788">
        <v>58</v>
      </c>
      <c r="Z7" s="788">
        <v>23</v>
      </c>
      <c r="AA7" s="800">
        <f t="shared" si="6"/>
        <v>81</v>
      </c>
      <c r="AB7" s="913">
        <f t="shared" si="7"/>
        <v>4.05</v>
      </c>
      <c r="AC7" s="788">
        <v>52</v>
      </c>
      <c r="AD7" s="788">
        <v>22</v>
      </c>
      <c r="AE7" s="800">
        <f t="shared" si="8"/>
        <v>74</v>
      </c>
      <c r="AF7" s="913">
        <f t="shared" si="9"/>
        <v>3.7</v>
      </c>
      <c r="AG7" s="788">
        <v>56</v>
      </c>
      <c r="AH7" s="788">
        <v>24</v>
      </c>
      <c r="AI7" s="800">
        <f t="shared" si="10"/>
        <v>80</v>
      </c>
      <c r="AJ7" s="924">
        <f t="shared" si="11"/>
        <v>4</v>
      </c>
      <c r="AK7" s="789"/>
      <c r="AL7" s="788">
        <v>59</v>
      </c>
      <c r="AM7" s="788">
        <v>24</v>
      </c>
      <c r="AN7" s="935">
        <f t="shared" si="12"/>
        <v>83</v>
      </c>
      <c r="AO7" s="913">
        <f t="shared" si="13"/>
        <v>4.1500000000000004</v>
      </c>
      <c r="AP7" s="788">
        <v>56</v>
      </c>
      <c r="AQ7" s="788">
        <v>24</v>
      </c>
      <c r="AR7" s="935">
        <f t="shared" si="14"/>
        <v>80</v>
      </c>
      <c r="AS7" s="913">
        <f t="shared" si="15"/>
        <v>4</v>
      </c>
      <c r="AT7" s="788">
        <v>62</v>
      </c>
      <c r="AU7" s="788">
        <v>25</v>
      </c>
      <c r="AV7" s="935">
        <f t="shared" si="16"/>
        <v>87</v>
      </c>
      <c r="AW7" s="913">
        <f t="shared" si="17"/>
        <v>4.3499999999999996</v>
      </c>
      <c r="AX7" s="788">
        <v>58</v>
      </c>
      <c r="AY7" s="788">
        <v>24</v>
      </c>
      <c r="AZ7" s="935">
        <f t="shared" si="18"/>
        <v>82</v>
      </c>
      <c r="BA7" s="913">
        <f t="shared" si="19"/>
        <v>4.0999999999999996</v>
      </c>
      <c r="BB7" s="788">
        <v>54</v>
      </c>
      <c r="BC7" s="788">
        <v>22</v>
      </c>
      <c r="BD7" s="935">
        <f t="shared" si="20"/>
        <v>76</v>
      </c>
      <c r="BE7" s="913">
        <f t="shared" si="21"/>
        <v>3.8</v>
      </c>
      <c r="BF7" s="788">
        <v>57</v>
      </c>
      <c r="BG7" s="788">
        <v>24</v>
      </c>
      <c r="BH7" s="935">
        <f t="shared" si="22"/>
        <v>81</v>
      </c>
      <c r="BI7" s="913">
        <f t="shared" si="23"/>
        <v>4.05</v>
      </c>
      <c r="BJ7" s="590"/>
      <c r="BK7" s="788">
        <v>65</v>
      </c>
      <c r="BL7" s="788">
        <v>24</v>
      </c>
      <c r="BM7" s="788">
        <f t="shared" si="24"/>
        <v>14.399999999999999</v>
      </c>
      <c r="BN7" s="913">
        <v>14</v>
      </c>
      <c r="BO7" s="788">
        <v>66</v>
      </c>
      <c r="BP7" s="788">
        <v>25</v>
      </c>
      <c r="BQ7" s="788">
        <f t="shared" si="25"/>
        <v>15</v>
      </c>
      <c r="BR7" s="913">
        <v>15</v>
      </c>
      <c r="BS7" s="788">
        <v>68</v>
      </c>
      <c r="BT7" s="788">
        <v>24</v>
      </c>
      <c r="BU7" s="788">
        <f t="shared" si="26"/>
        <v>14.399999999999999</v>
      </c>
      <c r="BV7" s="913">
        <v>14</v>
      </c>
      <c r="BW7" s="788">
        <v>63</v>
      </c>
      <c r="BX7" s="788">
        <v>24</v>
      </c>
      <c r="BY7" s="788">
        <f t="shared" si="27"/>
        <v>14.399999999999999</v>
      </c>
      <c r="BZ7" s="913">
        <v>14</v>
      </c>
      <c r="CA7" s="788">
        <v>60</v>
      </c>
      <c r="CB7" s="788">
        <v>24</v>
      </c>
      <c r="CC7" s="788">
        <f t="shared" si="28"/>
        <v>14.399999999999999</v>
      </c>
      <c r="CD7" s="913">
        <v>14</v>
      </c>
      <c r="CE7" s="788">
        <v>58</v>
      </c>
      <c r="CF7" s="788">
        <v>24</v>
      </c>
      <c r="CG7" s="788">
        <f t="shared" si="29"/>
        <v>14.399999999999999</v>
      </c>
      <c r="CH7" s="913">
        <v>14</v>
      </c>
      <c r="CI7" s="935">
        <f t="shared" si="30"/>
        <v>668.59999999999991</v>
      </c>
    </row>
    <row r="8" spans="1:93" s="795" customFormat="1" ht="22.4" customHeight="1">
      <c r="A8" s="791">
        <v>9004</v>
      </c>
      <c r="B8" s="792" t="s">
        <v>3370</v>
      </c>
      <c r="C8" s="792" t="s">
        <v>2774</v>
      </c>
      <c r="D8" s="792" t="s">
        <v>2630</v>
      </c>
      <c r="E8" s="792" t="s">
        <v>2409</v>
      </c>
      <c r="F8" s="796">
        <v>40462</v>
      </c>
      <c r="G8" s="791">
        <v>137568738</v>
      </c>
      <c r="H8" s="791">
        <v>1423</v>
      </c>
      <c r="I8" s="793" t="s">
        <v>2897</v>
      </c>
      <c r="J8" s="794" t="s">
        <v>2204</v>
      </c>
      <c r="K8" s="793" t="s">
        <v>2059</v>
      </c>
      <c r="L8" s="917"/>
      <c r="M8" s="925">
        <v>40</v>
      </c>
      <c r="N8" s="590">
        <v>22</v>
      </c>
      <c r="O8" s="800">
        <f t="shared" si="0"/>
        <v>62</v>
      </c>
      <c r="P8" s="913">
        <f t="shared" si="1"/>
        <v>3.1</v>
      </c>
      <c r="Q8" s="590">
        <v>39</v>
      </c>
      <c r="R8" s="590">
        <v>23</v>
      </c>
      <c r="S8" s="800">
        <f t="shared" si="2"/>
        <v>62</v>
      </c>
      <c r="T8" s="913">
        <f t="shared" si="3"/>
        <v>3.1</v>
      </c>
      <c r="U8" s="590">
        <v>45</v>
      </c>
      <c r="V8" s="590">
        <v>20</v>
      </c>
      <c r="W8" s="800">
        <f t="shared" si="4"/>
        <v>65</v>
      </c>
      <c r="X8" s="913">
        <f t="shared" si="5"/>
        <v>3.25</v>
      </c>
      <c r="Y8" s="590">
        <v>51</v>
      </c>
      <c r="Z8" s="590">
        <v>23</v>
      </c>
      <c r="AA8" s="800">
        <f t="shared" si="6"/>
        <v>74</v>
      </c>
      <c r="AB8" s="913">
        <f t="shared" si="7"/>
        <v>3.7</v>
      </c>
      <c r="AC8" s="590">
        <v>50</v>
      </c>
      <c r="AD8" s="590">
        <v>22</v>
      </c>
      <c r="AE8" s="800">
        <f t="shared" si="8"/>
        <v>72</v>
      </c>
      <c r="AF8" s="913">
        <f t="shared" si="9"/>
        <v>3.6</v>
      </c>
      <c r="AG8" s="590">
        <v>54</v>
      </c>
      <c r="AH8" s="590">
        <v>23</v>
      </c>
      <c r="AI8" s="800">
        <f t="shared" si="10"/>
        <v>77</v>
      </c>
      <c r="AJ8" s="924">
        <f t="shared" si="11"/>
        <v>3.85</v>
      </c>
      <c r="AK8" s="789"/>
      <c r="AL8" s="590">
        <v>54</v>
      </c>
      <c r="AM8" s="590">
        <v>23</v>
      </c>
      <c r="AN8" s="935">
        <f t="shared" si="12"/>
        <v>77</v>
      </c>
      <c r="AO8" s="913">
        <f t="shared" si="13"/>
        <v>3.85</v>
      </c>
      <c r="AP8" s="590">
        <v>44</v>
      </c>
      <c r="AQ8" s="590">
        <v>23</v>
      </c>
      <c r="AR8" s="935">
        <f t="shared" si="14"/>
        <v>67</v>
      </c>
      <c r="AS8" s="913">
        <f t="shared" si="15"/>
        <v>3.35</v>
      </c>
      <c r="AT8" s="590">
        <v>56</v>
      </c>
      <c r="AU8" s="590">
        <v>24</v>
      </c>
      <c r="AV8" s="935">
        <f t="shared" si="16"/>
        <v>80</v>
      </c>
      <c r="AW8" s="913">
        <f t="shared" si="17"/>
        <v>4</v>
      </c>
      <c r="AX8" s="590">
        <v>56</v>
      </c>
      <c r="AY8" s="590">
        <v>23</v>
      </c>
      <c r="AZ8" s="935">
        <f t="shared" si="18"/>
        <v>79</v>
      </c>
      <c r="BA8" s="913">
        <f t="shared" si="19"/>
        <v>3.95</v>
      </c>
      <c r="BB8" s="590">
        <v>53</v>
      </c>
      <c r="BC8" s="590">
        <v>23</v>
      </c>
      <c r="BD8" s="935">
        <f t="shared" si="20"/>
        <v>76</v>
      </c>
      <c r="BE8" s="913">
        <f t="shared" si="21"/>
        <v>3.8</v>
      </c>
      <c r="BF8" s="590">
        <v>54</v>
      </c>
      <c r="BG8" s="590">
        <v>22</v>
      </c>
      <c r="BH8" s="935">
        <f t="shared" si="22"/>
        <v>76</v>
      </c>
      <c r="BI8" s="913">
        <f t="shared" si="23"/>
        <v>3.8</v>
      </c>
      <c r="BJ8" s="590"/>
      <c r="BK8" s="590">
        <v>54</v>
      </c>
      <c r="BL8" s="590">
        <v>23</v>
      </c>
      <c r="BM8" s="788">
        <f t="shared" si="24"/>
        <v>13.799999999999999</v>
      </c>
      <c r="BN8" s="913">
        <v>14</v>
      </c>
      <c r="BO8" s="590">
        <v>42</v>
      </c>
      <c r="BP8" s="590">
        <v>23</v>
      </c>
      <c r="BQ8" s="788">
        <f t="shared" si="25"/>
        <v>13.799999999999999</v>
      </c>
      <c r="BR8" s="938">
        <v>14</v>
      </c>
      <c r="BS8" s="590">
        <v>55</v>
      </c>
      <c r="BT8" s="590">
        <v>23</v>
      </c>
      <c r="BU8" s="788">
        <f t="shared" si="26"/>
        <v>13.799999999999999</v>
      </c>
      <c r="BV8" s="938">
        <v>14</v>
      </c>
      <c r="BW8" s="590">
        <v>45</v>
      </c>
      <c r="BX8" s="590">
        <v>22</v>
      </c>
      <c r="BY8" s="788">
        <f t="shared" si="27"/>
        <v>13.2</v>
      </c>
      <c r="BZ8" s="938">
        <v>13</v>
      </c>
      <c r="CA8" s="590">
        <v>48</v>
      </c>
      <c r="CB8" s="590">
        <v>24</v>
      </c>
      <c r="CC8" s="788">
        <f t="shared" si="28"/>
        <v>14.399999999999999</v>
      </c>
      <c r="CD8" s="938">
        <v>14</v>
      </c>
      <c r="CE8" s="590">
        <v>44</v>
      </c>
      <c r="CF8" s="590">
        <v>23</v>
      </c>
      <c r="CG8" s="788">
        <f t="shared" si="29"/>
        <v>13.799999999999999</v>
      </c>
      <c r="CH8" s="938">
        <v>14</v>
      </c>
      <c r="CI8" s="935">
        <f t="shared" si="30"/>
        <v>564</v>
      </c>
    </row>
    <row r="9" spans="1:93" s="790" customFormat="1" ht="22.4" customHeight="1">
      <c r="A9" s="784">
        <v>9005</v>
      </c>
      <c r="B9" s="785" t="s">
        <v>3371</v>
      </c>
      <c r="C9" s="785" t="s">
        <v>3372</v>
      </c>
      <c r="D9" s="785" t="s">
        <v>946</v>
      </c>
      <c r="E9" s="785" t="s">
        <v>3302</v>
      </c>
      <c r="F9" s="797">
        <v>40462</v>
      </c>
      <c r="G9" s="784">
        <v>198056156</v>
      </c>
      <c r="H9" s="784">
        <v>1486</v>
      </c>
      <c r="I9" s="786" t="s">
        <v>2899</v>
      </c>
      <c r="J9" s="787" t="s">
        <v>2204</v>
      </c>
      <c r="K9" s="786" t="s">
        <v>2059</v>
      </c>
      <c r="L9" s="916"/>
      <c r="M9" s="923">
        <v>38</v>
      </c>
      <c r="N9" s="788">
        <v>22</v>
      </c>
      <c r="O9" s="800">
        <f t="shared" si="0"/>
        <v>60</v>
      </c>
      <c r="P9" s="913">
        <f t="shared" si="1"/>
        <v>3</v>
      </c>
      <c r="Q9" s="788">
        <v>38</v>
      </c>
      <c r="R9" s="788">
        <v>23</v>
      </c>
      <c r="S9" s="800">
        <f t="shared" si="2"/>
        <v>61</v>
      </c>
      <c r="T9" s="913">
        <f t="shared" si="3"/>
        <v>3.05</v>
      </c>
      <c r="U9" s="788">
        <v>41</v>
      </c>
      <c r="V9" s="788">
        <v>21</v>
      </c>
      <c r="W9" s="800">
        <f t="shared" si="4"/>
        <v>62</v>
      </c>
      <c r="X9" s="913">
        <f t="shared" si="5"/>
        <v>3.1</v>
      </c>
      <c r="Y9" s="788">
        <v>39</v>
      </c>
      <c r="Z9" s="788">
        <v>23</v>
      </c>
      <c r="AA9" s="800">
        <f t="shared" si="6"/>
        <v>62</v>
      </c>
      <c r="AB9" s="913">
        <f t="shared" si="7"/>
        <v>3.1</v>
      </c>
      <c r="AC9" s="788">
        <v>40</v>
      </c>
      <c r="AD9" s="788">
        <v>20</v>
      </c>
      <c r="AE9" s="800">
        <f t="shared" si="8"/>
        <v>60</v>
      </c>
      <c r="AF9" s="913">
        <f t="shared" si="9"/>
        <v>3</v>
      </c>
      <c r="AG9" s="788">
        <v>40</v>
      </c>
      <c r="AH9" s="788">
        <v>22</v>
      </c>
      <c r="AI9" s="800">
        <f t="shared" si="10"/>
        <v>62</v>
      </c>
      <c r="AJ9" s="924">
        <f t="shared" si="11"/>
        <v>3.1</v>
      </c>
      <c r="AK9" s="789"/>
      <c r="AL9" s="788">
        <v>39</v>
      </c>
      <c r="AM9" s="788">
        <v>22</v>
      </c>
      <c r="AN9" s="935">
        <f t="shared" si="12"/>
        <v>61</v>
      </c>
      <c r="AO9" s="913">
        <f t="shared" si="13"/>
        <v>3.05</v>
      </c>
      <c r="AP9" s="788">
        <v>38</v>
      </c>
      <c r="AQ9" s="788">
        <v>22</v>
      </c>
      <c r="AR9" s="935">
        <f t="shared" si="14"/>
        <v>60</v>
      </c>
      <c r="AS9" s="913">
        <f t="shared" si="15"/>
        <v>3</v>
      </c>
      <c r="AT9" s="788">
        <v>40</v>
      </c>
      <c r="AU9" s="788">
        <v>21</v>
      </c>
      <c r="AV9" s="935">
        <f t="shared" si="16"/>
        <v>61</v>
      </c>
      <c r="AW9" s="913">
        <f t="shared" si="17"/>
        <v>3.05</v>
      </c>
      <c r="AX9" s="788">
        <v>38</v>
      </c>
      <c r="AY9" s="788">
        <v>22</v>
      </c>
      <c r="AZ9" s="935">
        <f t="shared" si="18"/>
        <v>60</v>
      </c>
      <c r="BA9" s="913">
        <f t="shared" si="19"/>
        <v>3</v>
      </c>
      <c r="BB9" s="788">
        <v>43</v>
      </c>
      <c r="BC9" s="788">
        <v>22</v>
      </c>
      <c r="BD9" s="935">
        <f t="shared" si="20"/>
        <v>65</v>
      </c>
      <c r="BE9" s="913">
        <f t="shared" si="21"/>
        <v>3.25</v>
      </c>
      <c r="BF9" s="788">
        <v>40</v>
      </c>
      <c r="BG9" s="788">
        <v>22</v>
      </c>
      <c r="BH9" s="935">
        <f t="shared" si="22"/>
        <v>62</v>
      </c>
      <c r="BI9" s="913">
        <f t="shared" si="23"/>
        <v>3.1</v>
      </c>
      <c r="BJ9" s="590"/>
      <c r="BK9" s="788">
        <v>36</v>
      </c>
      <c r="BL9" s="788">
        <v>23</v>
      </c>
      <c r="BM9" s="788">
        <f t="shared" si="24"/>
        <v>13.799999999999999</v>
      </c>
      <c r="BN9" s="913">
        <v>14</v>
      </c>
      <c r="BO9" s="788">
        <v>40</v>
      </c>
      <c r="BP9" s="788">
        <v>22</v>
      </c>
      <c r="BQ9" s="788">
        <f t="shared" si="25"/>
        <v>13.2</v>
      </c>
      <c r="BR9" s="913">
        <v>13</v>
      </c>
      <c r="BS9" s="788">
        <v>39</v>
      </c>
      <c r="BT9" s="788">
        <v>21</v>
      </c>
      <c r="BU9" s="788">
        <f t="shared" si="26"/>
        <v>12.6</v>
      </c>
      <c r="BV9" s="913">
        <v>13</v>
      </c>
      <c r="BW9" s="788">
        <v>40</v>
      </c>
      <c r="BX9" s="788">
        <v>20</v>
      </c>
      <c r="BY9" s="788">
        <f t="shared" si="27"/>
        <v>12</v>
      </c>
      <c r="BZ9" s="913">
        <v>12</v>
      </c>
      <c r="CA9" s="788">
        <v>30</v>
      </c>
      <c r="CB9" s="788">
        <v>20</v>
      </c>
      <c r="CC9" s="788">
        <f t="shared" si="28"/>
        <v>12</v>
      </c>
      <c r="CD9" s="913">
        <v>12</v>
      </c>
      <c r="CE9" s="788">
        <v>37</v>
      </c>
      <c r="CF9" s="788">
        <v>22</v>
      </c>
      <c r="CG9" s="788">
        <f t="shared" si="29"/>
        <v>13.2</v>
      </c>
      <c r="CH9" s="913">
        <v>13</v>
      </c>
      <c r="CI9" s="935">
        <f t="shared" si="30"/>
        <v>477.6</v>
      </c>
    </row>
    <row r="10" spans="1:93" s="795" customFormat="1" ht="22.4" customHeight="1">
      <c r="A10" s="791">
        <v>9006</v>
      </c>
      <c r="B10" s="792" t="s">
        <v>3373</v>
      </c>
      <c r="C10" s="792" t="s">
        <v>242</v>
      </c>
      <c r="D10" s="792" t="s">
        <v>30</v>
      </c>
      <c r="E10" s="792" t="s">
        <v>3374</v>
      </c>
      <c r="F10" s="792" t="s">
        <v>2819</v>
      </c>
      <c r="G10" s="791">
        <v>194161938</v>
      </c>
      <c r="H10" s="791">
        <v>1538</v>
      </c>
      <c r="I10" s="793" t="s">
        <v>2897</v>
      </c>
      <c r="J10" s="794" t="s">
        <v>2204</v>
      </c>
      <c r="K10" s="793" t="s">
        <v>2059</v>
      </c>
      <c r="L10" s="917"/>
      <c r="M10" s="925">
        <v>48</v>
      </c>
      <c r="N10" s="590">
        <v>22</v>
      </c>
      <c r="O10" s="800">
        <f t="shared" si="0"/>
        <v>70</v>
      </c>
      <c r="P10" s="913">
        <f t="shared" si="1"/>
        <v>3.5</v>
      </c>
      <c r="Q10" s="590">
        <v>44</v>
      </c>
      <c r="R10" s="590">
        <v>23</v>
      </c>
      <c r="S10" s="800">
        <f t="shared" si="2"/>
        <v>67</v>
      </c>
      <c r="T10" s="913">
        <f t="shared" si="3"/>
        <v>3.35</v>
      </c>
      <c r="U10" s="590">
        <v>50</v>
      </c>
      <c r="V10" s="590">
        <v>24</v>
      </c>
      <c r="W10" s="800">
        <f t="shared" si="4"/>
        <v>74</v>
      </c>
      <c r="X10" s="913">
        <f t="shared" si="5"/>
        <v>3.7</v>
      </c>
      <c r="Y10" s="590">
        <v>45</v>
      </c>
      <c r="Z10" s="590">
        <v>24</v>
      </c>
      <c r="AA10" s="800">
        <f t="shared" si="6"/>
        <v>69</v>
      </c>
      <c r="AB10" s="913">
        <f t="shared" si="7"/>
        <v>3.45</v>
      </c>
      <c r="AC10" s="590">
        <v>47</v>
      </c>
      <c r="AD10" s="590">
        <v>20</v>
      </c>
      <c r="AE10" s="800">
        <f t="shared" si="8"/>
        <v>67</v>
      </c>
      <c r="AF10" s="913">
        <f t="shared" si="9"/>
        <v>3.35</v>
      </c>
      <c r="AG10" s="590">
        <v>50</v>
      </c>
      <c r="AH10" s="590">
        <v>24</v>
      </c>
      <c r="AI10" s="800">
        <f t="shared" si="10"/>
        <v>74</v>
      </c>
      <c r="AJ10" s="924">
        <f t="shared" si="11"/>
        <v>3.7</v>
      </c>
      <c r="AK10" s="789"/>
      <c r="AL10" s="590">
        <v>49</v>
      </c>
      <c r="AM10" s="590">
        <v>23</v>
      </c>
      <c r="AN10" s="935">
        <f t="shared" si="12"/>
        <v>72</v>
      </c>
      <c r="AO10" s="913">
        <f t="shared" si="13"/>
        <v>3.6</v>
      </c>
      <c r="AP10" s="590">
        <v>45</v>
      </c>
      <c r="AQ10" s="590">
        <v>23</v>
      </c>
      <c r="AR10" s="935">
        <f t="shared" si="14"/>
        <v>68</v>
      </c>
      <c r="AS10" s="913">
        <f t="shared" si="15"/>
        <v>3.4</v>
      </c>
      <c r="AT10" s="590">
        <v>52</v>
      </c>
      <c r="AU10" s="590">
        <v>24</v>
      </c>
      <c r="AV10" s="935">
        <f t="shared" si="16"/>
        <v>76</v>
      </c>
      <c r="AW10" s="913">
        <f t="shared" si="17"/>
        <v>3.8</v>
      </c>
      <c r="AX10" s="590">
        <v>47</v>
      </c>
      <c r="AY10" s="590">
        <v>25</v>
      </c>
      <c r="AZ10" s="935">
        <f t="shared" si="18"/>
        <v>72</v>
      </c>
      <c r="BA10" s="913">
        <f t="shared" si="19"/>
        <v>3.6</v>
      </c>
      <c r="BB10" s="590">
        <v>48</v>
      </c>
      <c r="BC10" s="590">
        <v>21</v>
      </c>
      <c r="BD10" s="935">
        <f t="shared" si="20"/>
        <v>69</v>
      </c>
      <c r="BE10" s="913">
        <f t="shared" si="21"/>
        <v>3.45</v>
      </c>
      <c r="BF10" s="590">
        <v>45</v>
      </c>
      <c r="BG10" s="590">
        <v>24</v>
      </c>
      <c r="BH10" s="935">
        <f t="shared" si="22"/>
        <v>69</v>
      </c>
      <c r="BI10" s="913">
        <f t="shared" si="23"/>
        <v>3.45</v>
      </c>
      <c r="BJ10" s="590"/>
      <c r="BK10" s="590">
        <v>54</v>
      </c>
      <c r="BL10" s="590">
        <v>23</v>
      </c>
      <c r="BM10" s="788">
        <f t="shared" si="24"/>
        <v>13.799999999999999</v>
      </c>
      <c r="BN10" s="913">
        <v>14</v>
      </c>
      <c r="BO10" s="590">
        <v>47</v>
      </c>
      <c r="BP10" s="590">
        <v>23</v>
      </c>
      <c r="BQ10" s="788">
        <f t="shared" si="25"/>
        <v>13.799999999999999</v>
      </c>
      <c r="BR10" s="938">
        <v>14</v>
      </c>
      <c r="BS10" s="590">
        <v>54</v>
      </c>
      <c r="BT10" s="590">
        <v>23</v>
      </c>
      <c r="BU10" s="788">
        <f t="shared" si="26"/>
        <v>13.799999999999999</v>
      </c>
      <c r="BV10" s="938">
        <v>14</v>
      </c>
      <c r="BW10" s="590">
        <v>49</v>
      </c>
      <c r="BX10" s="590">
        <v>22</v>
      </c>
      <c r="BY10" s="788">
        <f t="shared" si="27"/>
        <v>13.2</v>
      </c>
      <c r="BZ10" s="938">
        <v>13</v>
      </c>
      <c r="CA10" s="590">
        <v>39</v>
      </c>
      <c r="CB10" s="590">
        <v>23</v>
      </c>
      <c r="CC10" s="788">
        <f t="shared" si="28"/>
        <v>13.799999999999999</v>
      </c>
      <c r="CD10" s="938">
        <v>14</v>
      </c>
      <c r="CE10" s="590">
        <v>42</v>
      </c>
      <c r="CF10" s="590">
        <v>23</v>
      </c>
      <c r="CG10" s="788">
        <f t="shared" si="29"/>
        <v>13.799999999999999</v>
      </c>
      <c r="CH10" s="938">
        <v>14</v>
      </c>
      <c r="CI10" s="935">
        <f t="shared" si="30"/>
        <v>559.40000000000009</v>
      </c>
    </row>
    <row r="11" spans="1:93" s="790" customFormat="1" ht="22.4" customHeight="1">
      <c r="A11" s="784">
        <v>9007</v>
      </c>
      <c r="B11" s="785" t="s">
        <v>3375</v>
      </c>
      <c r="C11" s="785" t="s">
        <v>2775</v>
      </c>
      <c r="D11" s="785" t="s">
        <v>1573</v>
      </c>
      <c r="E11" s="785" t="s">
        <v>2807</v>
      </c>
      <c r="F11" s="785" t="s">
        <v>2820</v>
      </c>
      <c r="G11" s="784">
        <v>189354068</v>
      </c>
      <c r="H11" s="784">
        <v>1781</v>
      </c>
      <c r="I11" s="786" t="s">
        <v>2905</v>
      </c>
      <c r="J11" s="787" t="s">
        <v>2204</v>
      </c>
      <c r="K11" s="786" t="s">
        <v>2059</v>
      </c>
      <c r="L11" s="916"/>
      <c r="M11" s="923">
        <v>67</v>
      </c>
      <c r="N11" s="788">
        <v>24</v>
      </c>
      <c r="O11" s="800">
        <f t="shared" si="0"/>
        <v>91</v>
      </c>
      <c r="P11" s="913">
        <f t="shared" si="1"/>
        <v>4.55</v>
      </c>
      <c r="Q11" s="788">
        <v>69</v>
      </c>
      <c r="R11" s="788">
        <v>25</v>
      </c>
      <c r="S11" s="800">
        <f t="shared" si="2"/>
        <v>94</v>
      </c>
      <c r="T11" s="913">
        <f t="shared" si="3"/>
        <v>4.7</v>
      </c>
      <c r="U11" s="788">
        <v>71</v>
      </c>
      <c r="V11" s="788">
        <v>25</v>
      </c>
      <c r="W11" s="800">
        <f t="shared" si="4"/>
        <v>96</v>
      </c>
      <c r="X11" s="913">
        <f t="shared" si="5"/>
        <v>4.8</v>
      </c>
      <c r="Y11" s="788">
        <v>67</v>
      </c>
      <c r="Z11" s="788">
        <v>24</v>
      </c>
      <c r="AA11" s="800">
        <f t="shared" si="6"/>
        <v>91</v>
      </c>
      <c r="AB11" s="913">
        <f t="shared" si="7"/>
        <v>4.55</v>
      </c>
      <c r="AC11" s="788">
        <v>68</v>
      </c>
      <c r="AD11" s="788">
        <v>25</v>
      </c>
      <c r="AE11" s="800">
        <f t="shared" si="8"/>
        <v>93</v>
      </c>
      <c r="AF11" s="913">
        <f t="shared" si="9"/>
        <v>4.6500000000000004</v>
      </c>
      <c r="AG11" s="788">
        <v>73</v>
      </c>
      <c r="AH11" s="788">
        <v>24</v>
      </c>
      <c r="AI11" s="800">
        <f t="shared" si="10"/>
        <v>97</v>
      </c>
      <c r="AJ11" s="924">
        <f t="shared" si="11"/>
        <v>4.8499999999999996</v>
      </c>
      <c r="AK11" s="789"/>
      <c r="AL11" s="788">
        <v>68</v>
      </c>
      <c r="AM11" s="788">
        <v>25</v>
      </c>
      <c r="AN11" s="935">
        <f t="shared" si="12"/>
        <v>93</v>
      </c>
      <c r="AO11" s="913">
        <f t="shared" si="13"/>
        <v>4.6500000000000004</v>
      </c>
      <c r="AP11" s="788">
        <v>70</v>
      </c>
      <c r="AQ11" s="788">
        <v>25</v>
      </c>
      <c r="AR11" s="935">
        <f t="shared" si="14"/>
        <v>95</v>
      </c>
      <c r="AS11" s="913">
        <f t="shared" si="15"/>
        <v>4.75</v>
      </c>
      <c r="AT11" s="788">
        <v>72</v>
      </c>
      <c r="AU11" s="788">
        <v>25</v>
      </c>
      <c r="AV11" s="935">
        <f t="shared" si="16"/>
        <v>97</v>
      </c>
      <c r="AW11" s="913">
        <f t="shared" si="17"/>
        <v>4.8499999999999996</v>
      </c>
      <c r="AX11" s="788">
        <v>69</v>
      </c>
      <c r="AY11" s="788">
        <v>25</v>
      </c>
      <c r="AZ11" s="935">
        <f t="shared" si="18"/>
        <v>94</v>
      </c>
      <c r="BA11" s="913">
        <f t="shared" si="19"/>
        <v>4.7</v>
      </c>
      <c r="BB11" s="788">
        <v>68</v>
      </c>
      <c r="BC11" s="788">
        <v>25</v>
      </c>
      <c r="BD11" s="935">
        <f t="shared" si="20"/>
        <v>93</v>
      </c>
      <c r="BE11" s="913">
        <f t="shared" si="21"/>
        <v>4.6500000000000004</v>
      </c>
      <c r="BF11" s="788">
        <v>73</v>
      </c>
      <c r="BG11" s="788">
        <v>25</v>
      </c>
      <c r="BH11" s="935">
        <f t="shared" si="22"/>
        <v>98</v>
      </c>
      <c r="BI11" s="913">
        <f t="shared" si="23"/>
        <v>4.9000000000000004</v>
      </c>
      <c r="BJ11" s="590"/>
      <c r="BK11" s="788">
        <v>73</v>
      </c>
      <c r="BL11" s="788">
        <v>24</v>
      </c>
      <c r="BM11" s="788">
        <f t="shared" si="24"/>
        <v>14.399999999999999</v>
      </c>
      <c r="BN11" s="913">
        <v>14</v>
      </c>
      <c r="BO11" s="788">
        <v>71</v>
      </c>
      <c r="BP11" s="788">
        <v>25</v>
      </c>
      <c r="BQ11" s="788">
        <f t="shared" si="25"/>
        <v>15</v>
      </c>
      <c r="BR11" s="913">
        <v>15</v>
      </c>
      <c r="BS11" s="788">
        <v>73</v>
      </c>
      <c r="BT11" s="788">
        <v>25</v>
      </c>
      <c r="BU11" s="788">
        <f t="shared" si="26"/>
        <v>15</v>
      </c>
      <c r="BV11" s="913">
        <v>15</v>
      </c>
      <c r="BW11" s="788">
        <v>73</v>
      </c>
      <c r="BX11" s="788">
        <v>25</v>
      </c>
      <c r="BY11" s="788">
        <f t="shared" si="27"/>
        <v>15</v>
      </c>
      <c r="BZ11" s="913">
        <v>15</v>
      </c>
      <c r="CA11" s="788">
        <v>73</v>
      </c>
      <c r="CB11" s="788">
        <v>24</v>
      </c>
      <c r="CC11" s="788">
        <f t="shared" si="28"/>
        <v>14.399999999999999</v>
      </c>
      <c r="CD11" s="913">
        <v>14</v>
      </c>
      <c r="CE11" s="788">
        <v>73</v>
      </c>
      <c r="CF11" s="788">
        <v>24</v>
      </c>
      <c r="CG11" s="788">
        <f t="shared" si="29"/>
        <v>14.399999999999999</v>
      </c>
      <c r="CH11" s="913">
        <v>14</v>
      </c>
      <c r="CI11" s="935">
        <f t="shared" si="30"/>
        <v>729.8</v>
      </c>
    </row>
    <row r="12" spans="1:93" s="795" customFormat="1" ht="22.4" customHeight="1">
      <c r="A12" s="791">
        <v>9008</v>
      </c>
      <c r="B12" s="792" t="s">
        <v>3376</v>
      </c>
      <c r="C12" s="792" t="s">
        <v>2776</v>
      </c>
      <c r="D12" s="792" t="s">
        <v>2795</v>
      </c>
      <c r="E12" s="792" t="s">
        <v>3377</v>
      </c>
      <c r="F12" s="796">
        <v>40309</v>
      </c>
      <c r="G12" s="791">
        <v>137345713</v>
      </c>
      <c r="H12" s="791">
        <v>1760</v>
      </c>
      <c r="I12" s="793" t="s">
        <v>2897</v>
      </c>
      <c r="J12" s="794" t="s">
        <v>2204</v>
      </c>
      <c r="K12" s="793" t="s">
        <v>2059</v>
      </c>
      <c r="L12" s="917"/>
      <c r="M12" s="925">
        <v>40</v>
      </c>
      <c r="N12" s="590">
        <v>22</v>
      </c>
      <c r="O12" s="800">
        <f t="shared" si="0"/>
        <v>62</v>
      </c>
      <c r="P12" s="913">
        <f t="shared" si="1"/>
        <v>3.1</v>
      </c>
      <c r="Q12" s="590">
        <v>40</v>
      </c>
      <c r="R12" s="590">
        <v>21</v>
      </c>
      <c r="S12" s="800">
        <f t="shared" si="2"/>
        <v>61</v>
      </c>
      <c r="T12" s="913">
        <f t="shared" si="3"/>
        <v>3.05</v>
      </c>
      <c r="U12" s="590">
        <v>45</v>
      </c>
      <c r="V12" s="590">
        <v>22</v>
      </c>
      <c r="W12" s="800">
        <f t="shared" si="4"/>
        <v>67</v>
      </c>
      <c r="X12" s="913">
        <f t="shared" si="5"/>
        <v>3.35</v>
      </c>
      <c r="Y12" s="590">
        <v>43</v>
      </c>
      <c r="Z12" s="590">
        <v>22</v>
      </c>
      <c r="AA12" s="800">
        <f t="shared" si="6"/>
        <v>65</v>
      </c>
      <c r="AB12" s="913">
        <f t="shared" si="7"/>
        <v>3.25</v>
      </c>
      <c r="AC12" s="590">
        <v>44</v>
      </c>
      <c r="AD12" s="590">
        <v>21</v>
      </c>
      <c r="AE12" s="800">
        <f t="shared" si="8"/>
        <v>65</v>
      </c>
      <c r="AF12" s="913">
        <f t="shared" si="9"/>
        <v>3.25</v>
      </c>
      <c r="AG12" s="590">
        <v>41</v>
      </c>
      <c r="AH12" s="590">
        <v>23</v>
      </c>
      <c r="AI12" s="800">
        <f t="shared" si="10"/>
        <v>64</v>
      </c>
      <c r="AJ12" s="924">
        <f t="shared" si="11"/>
        <v>3.2</v>
      </c>
      <c r="AK12" s="789"/>
      <c r="AL12" s="590">
        <v>44</v>
      </c>
      <c r="AM12" s="590">
        <v>23</v>
      </c>
      <c r="AN12" s="935">
        <f t="shared" si="12"/>
        <v>67</v>
      </c>
      <c r="AO12" s="913">
        <f t="shared" si="13"/>
        <v>3.35</v>
      </c>
      <c r="AP12" s="590">
        <v>46</v>
      </c>
      <c r="AQ12" s="590">
        <v>24</v>
      </c>
      <c r="AR12" s="935">
        <f t="shared" si="14"/>
        <v>70</v>
      </c>
      <c r="AS12" s="913">
        <f t="shared" si="15"/>
        <v>3.5</v>
      </c>
      <c r="AT12" s="590">
        <v>48</v>
      </c>
      <c r="AU12" s="590">
        <v>22</v>
      </c>
      <c r="AV12" s="935">
        <f t="shared" si="16"/>
        <v>70</v>
      </c>
      <c r="AW12" s="913">
        <f t="shared" si="17"/>
        <v>3.5</v>
      </c>
      <c r="AX12" s="590">
        <v>45</v>
      </c>
      <c r="AY12" s="590">
        <v>22</v>
      </c>
      <c r="AZ12" s="935">
        <f t="shared" si="18"/>
        <v>67</v>
      </c>
      <c r="BA12" s="913">
        <f t="shared" si="19"/>
        <v>3.35</v>
      </c>
      <c r="BB12" s="590">
        <v>46</v>
      </c>
      <c r="BC12" s="590">
        <v>23</v>
      </c>
      <c r="BD12" s="935">
        <f t="shared" si="20"/>
        <v>69</v>
      </c>
      <c r="BE12" s="913">
        <f t="shared" si="21"/>
        <v>3.45</v>
      </c>
      <c r="BF12" s="590">
        <v>43</v>
      </c>
      <c r="BG12" s="590">
        <v>21</v>
      </c>
      <c r="BH12" s="935">
        <f t="shared" si="22"/>
        <v>64</v>
      </c>
      <c r="BI12" s="913">
        <f t="shared" si="23"/>
        <v>3.2</v>
      </c>
      <c r="BJ12" s="590"/>
      <c r="BK12" s="590">
        <v>35</v>
      </c>
      <c r="BL12" s="590">
        <v>23</v>
      </c>
      <c r="BM12" s="788">
        <f t="shared" si="24"/>
        <v>13.799999999999999</v>
      </c>
      <c r="BN12" s="913">
        <v>14</v>
      </c>
      <c r="BO12" s="590">
        <v>45</v>
      </c>
      <c r="BP12" s="590">
        <v>24</v>
      </c>
      <c r="BQ12" s="788">
        <f t="shared" si="25"/>
        <v>14.399999999999999</v>
      </c>
      <c r="BR12" s="938">
        <v>14</v>
      </c>
      <c r="BS12" s="590">
        <v>43</v>
      </c>
      <c r="BT12" s="590">
        <v>24</v>
      </c>
      <c r="BU12" s="788">
        <f t="shared" si="26"/>
        <v>14.399999999999999</v>
      </c>
      <c r="BV12" s="938">
        <v>14</v>
      </c>
      <c r="BW12" s="590">
        <v>38</v>
      </c>
      <c r="BX12" s="590">
        <v>23</v>
      </c>
      <c r="BY12" s="788">
        <f t="shared" si="27"/>
        <v>13.799999999999999</v>
      </c>
      <c r="BZ12" s="938">
        <v>14</v>
      </c>
      <c r="CA12" s="590">
        <v>30</v>
      </c>
      <c r="CB12" s="590">
        <v>22</v>
      </c>
      <c r="CC12" s="788">
        <f t="shared" si="28"/>
        <v>13.2</v>
      </c>
      <c r="CD12" s="938">
        <v>13</v>
      </c>
      <c r="CE12" s="590">
        <v>39</v>
      </c>
      <c r="CF12" s="590">
        <v>23</v>
      </c>
      <c r="CG12" s="788">
        <f t="shared" si="29"/>
        <v>13.799999999999999</v>
      </c>
      <c r="CH12" s="938">
        <v>14</v>
      </c>
      <c r="CI12" s="935">
        <f t="shared" si="30"/>
        <v>507.6</v>
      </c>
    </row>
    <row r="13" spans="1:93" s="790" customFormat="1" ht="22.4" customHeight="1">
      <c r="A13" s="784">
        <v>9009</v>
      </c>
      <c r="B13" s="785" t="s">
        <v>3378</v>
      </c>
      <c r="C13" s="785" t="s">
        <v>2777</v>
      </c>
      <c r="D13" s="785" t="s">
        <v>3379</v>
      </c>
      <c r="E13" s="785" t="s">
        <v>3380</v>
      </c>
      <c r="F13" s="797">
        <v>40697</v>
      </c>
      <c r="G13" s="784">
        <v>105904626</v>
      </c>
      <c r="H13" s="784">
        <v>575</v>
      </c>
      <c r="I13" s="786" t="s">
        <v>2908</v>
      </c>
      <c r="J13" s="787" t="s">
        <v>2204</v>
      </c>
      <c r="K13" s="786" t="s">
        <v>2059</v>
      </c>
      <c r="L13" s="916"/>
      <c r="M13" s="923">
        <v>48</v>
      </c>
      <c r="N13" s="788">
        <v>24</v>
      </c>
      <c r="O13" s="800">
        <f t="shared" si="0"/>
        <v>72</v>
      </c>
      <c r="P13" s="913">
        <f t="shared" si="1"/>
        <v>3.6</v>
      </c>
      <c r="Q13" s="788">
        <v>44</v>
      </c>
      <c r="R13" s="788">
        <v>23</v>
      </c>
      <c r="S13" s="800">
        <f t="shared" si="2"/>
        <v>67</v>
      </c>
      <c r="T13" s="913">
        <f t="shared" si="3"/>
        <v>3.35</v>
      </c>
      <c r="U13" s="788">
        <v>50</v>
      </c>
      <c r="V13" s="788">
        <v>22</v>
      </c>
      <c r="W13" s="800">
        <f t="shared" si="4"/>
        <v>72</v>
      </c>
      <c r="X13" s="913">
        <f t="shared" si="5"/>
        <v>3.6</v>
      </c>
      <c r="Y13" s="788">
        <v>42</v>
      </c>
      <c r="Z13" s="788">
        <v>23</v>
      </c>
      <c r="AA13" s="800">
        <f t="shared" si="6"/>
        <v>65</v>
      </c>
      <c r="AB13" s="913">
        <f t="shared" si="7"/>
        <v>3.25</v>
      </c>
      <c r="AC13" s="788">
        <v>49</v>
      </c>
      <c r="AD13" s="788">
        <v>23</v>
      </c>
      <c r="AE13" s="800">
        <f t="shared" si="8"/>
        <v>72</v>
      </c>
      <c r="AF13" s="913">
        <f t="shared" si="9"/>
        <v>3.6</v>
      </c>
      <c r="AG13" s="788">
        <v>43</v>
      </c>
      <c r="AH13" s="788">
        <v>21</v>
      </c>
      <c r="AI13" s="800">
        <f t="shared" si="10"/>
        <v>64</v>
      </c>
      <c r="AJ13" s="924">
        <f t="shared" si="11"/>
        <v>3.2</v>
      </c>
      <c r="AK13" s="789"/>
      <c r="AL13" s="788">
        <v>49</v>
      </c>
      <c r="AM13" s="788">
        <v>23</v>
      </c>
      <c r="AN13" s="935">
        <f t="shared" si="12"/>
        <v>72</v>
      </c>
      <c r="AO13" s="913">
        <f t="shared" si="13"/>
        <v>3.6</v>
      </c>
      <c r="AP13" s="788">
        <v>45</v>
      </c>
      <c r="AQ13" s="788">
        <v>23</v>
      </c>
      <c r="AR13" s="935">
        <f t="shared" si="14"/>
        <v>68</v>
      </c>
      <c r="AS13" s="913">
        <f t="shared" si="15"/>
        <v>3.4</v>
      </c>
      <c r="AT13" s="788">
        <v>51</v>
      </c>
      <c r="AU13" s="788">
        <v>23</v>
      </c>
      <c r="AV13" s="935">
        <f t="shared" si="16"/>
        <v>74</v>
      </c>
      <c r="AW13" s="913">
        <f t="shared" si="17"/>
        <v>3.7</v>
      </c>
      <c r="AX13" s="788">
        <v>42</v>
      </c>
      <c r="AY13" s="788">
        <v>22</v>
      </c>
      <c r="AZ13" s="935">
        <f t="shared" si="18"/>
        <v>64</v>
      </c>
      <c r="BA13" s="913">
        <f t="shared" si="19"/>
        <v>3.2</v>
      </c>
      <c r="BB13" s="788">
        <v>48</v>
      </c>
      <c r="BC13" s="788">
        <v>22</v>
      </c>
      <c r="BD13" s="935">
        <f t="shared" si="20"/>
        <v>70</v>
      </c>
      <c r="BE13" s="913">
        <f t="shared" si="21"/>
        <v>3.5</v>
      </c>
      <c r="BF13" s="788">
        <v>45</v>
      </c>
      <c r="BG13" s="788">
        <v>22</v>
      </c>
      <c r="BH13" s="935">
        <f t="shared" si="22"/>
        <v>67</v>
      </c>
      <c r="BI13" s="913">
        <f t="shared" si="23"/>
        <v>3.35</v>
      </c>
      <c r="BJ13" s="590"/>
      <c r="BK13" s="788">
        <v>42</v>
      </c>
      <c r="BL13" s="788">
        <v>23</v>
      </c>
      <c r="BM13" s="788">
        <f t="shared" si="24"/>
        <v>13.799999999999999</v>
      </c>
      <c r="BN13" s="913">
        <v>14</v>
      </c>
      <c r="BO13" s="788">
        <v>48</v>
      </c>
      <c r="BP13" s="788">
        <v>24</v>
      </c>
      <c r="BQ13" s="788">
        <f t="shared" si="25"/>
        <v>14.399999999999999</v>
      </c>
      <c r="BR13" s="913">
        <v>14</v>
      </c>
      <c r="BS13" s="788">
        <v>47</v>
      </c>
      <c r="BT13" s="788">
        <v>23</v>
      </c>
      <c r="BU13" s="788">
        <f t="shared" si="26"/>
        <v>13.799999999999999</v>
      </c>
      <c r="BV13" s="913">
        <v>14</v>
      </c>
      <c r="BW13" s="788">
        <v>40</v>
      </c>
      <c r="BX13" s="788">
        <v>22</v>
      </c>
      <c r="BY13" s="788">
        <f t="shared" si="27"/>
        <v>13.2</v>
      </c>
      <c r="BZ13" s="913">
        <v>13</v>
      </c>
      <c r="CA13" s="788">
        <v>35</v>
      </c>
      <c r="CB13" s="788">
        <v>22</v>
      </c>
      <c r="CC13" s="788">
        <f t="shared" si="28"/>
        <v>13.2</v>
      </c>
      <c r="CD13" s="913">
        <v>13</v>
      </c>
      <c r="CE13" s="788">
        <v>41</v>
      </c>
      <c r="CF13" s="788">
        <v>23</v>
      </c>
      <c r="CG13" s="788">
        <f t="shared" si="29"/>
        <v>13.799999999999999</v>
      </c>
      <c r="CH13" s="913">
        <v>14</v>
      </c>
      <c r="CI13" s="935">
        <f t="shared" si="30"/>
        <v>526.40000000000009</v>
      </c>
    </row>
    <row r="14" spans="1:93" s="795" customFormat="1" ht="22.4" customHeight="1">
      <c r="A14" s="791">
        <v>9010</v>
      </c>
      <c r="B14" s="792" t="s">
        <v>3381</v>
      </c>
      <c r="C14" s="792" t="s">
        <v>2778</v>
      </c>
      <c r="D14" s="792" t="s">
        <v>2796</v>
      </c>
      <c r="E14" s="792" t="s">
        <v>2808</v>
      </c>
      <c r="F14" s="796">
        <v>40796</v>
      </c>
      <c r="G14" s="791">
        <v>105755151</v>
      </c>
      <c r="H14" s="791">
        <v>1741</v>
      </c>
      <c r="I14" s="793" t="s">
        <v>2902</v>
      </c>
      <c r="J14" s="794" t="s">
        <v>2204</v>
      </c>
      <c r="K14" s="793" t="s">
        <v>2059</v>
      </c>
      <c r="L14" s="917"/>
      <c r="M14" s="925">
        <v>39</v>
      </c>
      <c r="N14" s="590">
        <v>21</v>
      </c>
      <c r="O14" s="800">
        <f t="shared" si="0"/>
        <v>60</v>
      </c>
      <c r="P14" s="913">
        <f t="shared" si="1"/>
        <v>3</v>
      </c>
      <c r="Q14" s="590">
        <v>36</v>
      </c>
      <c r="R14" s="590">
        <v>23</v>
      </c>
      <c r="S14" s="800">
        <f t="shared" si="2"/>
        <v>59</v>
      </c>
      <c r="T14" s="913">
        <f t="shared" si="3"/>
        <v>2.95</v>
      </c>
      <c r="U14" s="590">
        <v>40</v>
      </c>
      <c r="V14" s="590">
        <v>22</v>
      </c>
      <c r="W14" s="800">
        <f t="shared" si="4"/>
        <v>62</v>
      </c>
      <c r="X14" s="913">
        <f t="shared" si="5"/>
        <v>3.1</v>
      </c>
      <c r="Y14" s="590">
        <v>37</v>
      </c>
      <c r="Z14" s="590">
        <v>20</v>
      </c>
      <c r="AA14" s="800">
        <f t="shared" si="6"/>
        <v>57</v>
      </c>
      <c r="AB14" s="913">
        <f t="shared" si="7"/>
        <v>2.85</v>
      </c>
      <c r="AC14" s="590">
        <v>42</v>
      </c>
      <c r="AD14" s="590">
        <v>21</v>
      </c>
      <c r="AE14" s="800">
        <f t="shared" si="8"/>
        <v>63</v>
      </c>
      <c r="AF14" s="913">
        <f t="shared" si="9"/>
        <v>3.15</v>
      </c>
      <c r="AG14" s="590">
        <v>44</v>
      </c>
      <c r="AH14" s="590">
        <v>20</v>
      </c>
      <c r="AI14" s="800">
        <f t="shared" si="10"/>
        <v>64</v>
      </c>
      <c r="AJ14" s="924">
        <f t="shared" si="11"/>
        <v>3.2</v>
      </c>
      <c r="AK14" s="789"/>
      <c r="AL14" s="590">
        <v>39</v>
      </c>
      <c r="AM14" s="590">
        <v>23</v>
      </c>
      <c r="AN14" s="935">
        <f t="shared" si="12"/>
        <v>62</v>
      </c>
      <c r="AO14" s="913">
        <f t="shared" si="13"/>
        <v>3.1</v>
      </c>
      <c r="AP14" s="590">
        <v>37</v>
      </c>
      <c r="AQ14" s="590">
        <v>23</v>
      </c>
      <c r="AR14" s="935">
        <f t="shared" si="14"/>
        <v>60</v>
      </c>
      <c r="AS14" s="913">
        <f t="shared" si="15"/>
        <v>3</v>
      </c>
      <c r="AT14" s="590">
        <v>38</v>
      </c>
      <c r="AU14" s="590">
        <v>23</v>
      </c>
      <c r="AV14" s="935">
        <f t="shared" si="16"/>
        <v>61</v>
      </c>
      <c r="AW14" s="913">
        <f t="shared" si="17"/>
        <v>3.05</v>
      </c>
      <c r="AX14" s="590">
        <v>39</v>
      </c>
      <c r="AY14" s="590">
        <v>21</v>
      </c>
      <c r="AZ14" s="935">
        <f t="shared" si="18"/>
        <v>60</v>
      </c>
      <c r="BA14" s="913">
        <f t="shared" si="19"/>
        <v>3</v>
      </c>
      <c r="BB14" s="590">
        <v>44</v>
      </c>
      <c r="BC14" s="590">
        <v>21</v>
      </c>
      <c r="BD14" s="935">
        <f t="shared" si="20"/>
        <v>65</v>
      </c>
      <c r="BE14" s="913">
        <f t="shared" si="21"/>
        <v>3.25</v>
      </c>
      <c r="BF14" s="590">
        <v>46</v>
      </c>
      <c r="BG14" s="590">
        <v>20</v>
      </c>
      <c r="BH14" s="935">
        <f t="shared" si="22"/>
        <v>66</v>
      </c>
      <c r="BI14" s="913">
        <f t="shared" si="23"/>
        <v>3.3</v>
      </c>
      <c r="BJ14" s="590"/>
      <c r="BK14" s="590">
        <v>35</v>
      </c>
      <c r="BL14" s="590">
        <v>20</v>
      </c>
      <c r="BM14" s="788">
        <f t="shared" si="24"/>
        <v>12</v>
      </c>
      <c r="BN14" s="913">
        <v>12</v>
      </c>
      <c r="BO14" s="590">
        <v>30</v>
      </c>
      <c r="BP14" s="590">
        <v>20</v>
      </c>
      <c r="BQ14" s="788">
        <f t="shared" si="25"/>
        <v>12</v>
      </c>
      <c r="BR14" s="938">
        <v>12</v>
      </c>
      <c r="BS14" s="590">
        <v>31</v>
      </c>
      <c r="BT14" s="590">
        <v>20</v>
      </c>
      <c r="BU14" s="788">
        <f t="shared" si="26"/>
        <v>12</v>
      </c>
      <c r="BV14" s="938">
        <v>12</v>
      </c>
      <c r="BW14" s="590">
        <v>31</v>
      </c>
      <c r="BX14" s="590">
        <v>20</v>
      </c>
      <c r="BY14" s="788">
        <f t="shared" si="27"/>
        <v>12</v>
      </c>
      <c r="BZ14" s="938">
        <v>12</v>
      </c>
      <c r="CA14" s="590">
        <v>32</v>
      </c>
      <c r="CB14" s="590">
        <v>20</v>
      </c>
      <c r="CC14" s="788">
        <f t="shared" si="28"/>
        <v>12</v>
      </c>
      <c r="CD14" s="938">
        <v>12</v>
      </c>
      <c r="CE14" s="590">
        <v>32</v>
      </c>
      <c r="CF14" s="590">
        <v>20</v>
      </c>
      <c r="CG14" s="788">
        <f t="shared" si="29"/>
        <v>12</v>
      </c>
      <c r="CH14" s="938">
        <v>12</v>
      </c>
      <c r="CI14" s="935">
        <f t="shared" si="30"/>
        <v>431</v>
      </c>
    </row>
    <row r="15" spans="1:93" s="790" customFormat="1" ht="22.4" customHeight="1">
      <c r="A15" s="784">
        <v>9011</v>
      </c>
      <c r="B15" s="785" t="s">
        <v>3382</v>
      </c>
      <c r="C15" s="785" t="s">
        <v>2779</v>
      </c>
      <c r="D15" s="785" t="s">
        <v>3383</v>
      </c>
      <c r="E15" s="785" t="s">
        <v>3384</v>
      </c>
      <c r="F15" s="785" t="s">
        <v>3385</v>
      </c>
      <c r="G15" s="784">
        <v>109827595</v>
      </c>
      <c r="H15" s="784">
        <v>574</v>
      </c>
      <c r="I15" s="786" t="s">
        <v>2907</v>
      </c>
      <c r="J15" s="787" t="s">
        <v>2204</v>
      </c>
      <c r="K15" s="786" t="s">
        <v>2059</v>
      </c>
      <c r="L15" s="916"/>
      <c r="M15" s="923">
        <v>42</v>
      </c>
      <c r="N15" s="788">
        <v>23</v>
      </c>
      <c r="O15" s="800">
        <f t="shared" si="0"/>
        <v>65</v>
      </c>
      <c r="P15" s="913">
        <f t="shared" si="1"/>
        <v>3.25</v>
      </c>
      <c r="Q15" s="788">
        <v>39</v>
      </c>
      <c r="R15" s="788">
        <v>23</v>
      </c>
      <c r="S15" s="800">
        <f t="shared" si="2"/>
        <v>62</v>
      </c>
      <c r="T15" s="913">
        <f t="shared" si="3"/>
        <v>3.1</v>
      </c>
      <c r="U15" s="788">
        <v>43</v>
      </c>
      <c r="V15" s="788">
        <v>21</v>
      </c>
      <c r="W15" s="800">
        <f t="shared" si="4"/>
        <v>64</v>
      </c>
      <c r="X15" s="913">
        <f t="shared" si="5"/>
        <v>3.2</v>
      </c>
      <c r="Y15" s="788">
        <v>38</v>
      </c>
      <c r="Z15" s="788">
        <v>23</v>
      </c>
      <c r="AA15" s="800">
        <f t="shared" si="6"/>
        <v>61</v>
      </c>
      <c r="AB15" s="913">
        <f t="shared" si="7"/>
        <v>3.05</v>
      </c>
      <c r="AC15" s="788">
        <v>42</v>
      </c>
      <c r="AD15" s="788">
        <v>20</v>
      </c>
      <c r="AE15" s="800">
        <f t="shared" si="8"/>
        <v>62</v>
      </c>
      <c r="AF15" s="913">
        <f t="shared" si="9"/>
        <v>3.1</v>
      </c>
      <c r="AG15" s="788">
        <v>44</v>
      </c>
      <c r="AH15" s="788">
        <v>20</v>
      </c>
      <c r="AI15" s="800">
        <f t="shared" si="10"/>
        <v>64</v>
      </c>
      <c r="AJ15" s="924">
        <f t="shared" si="11"/>
        <v>3.2</v>
      </c>
      <c r="AK15" s="789"/>
      <c r="AL15" s="788">
        <v>40</v>
      </c>
      <c r="AM15" s="788">
        <v>23</v>
      </c>
      <c r="AN15" s="935">
        <f t="shared" si="12"/>
        <v>63</v>
      </c>
      <c r="AO15" s="913">
        <f t="shared" si="13"/>
        <v>3.15</v>
      </c>
      <c r="AP15" s="788">
        <v>38</v>
      </c>
      <c r="AQ15" s="788">
        <v>23</v>
      </c>
      <c r="AR15" s="935">
        <f t="shared" si="14"/>
        <v>61</v>
      </c>
      <c r="AS15" s="913">
        <f t="shared" si="15"/>
        <v>3.05</v>
      </c>
      <c r="AT15" s="788">
        <v>46</v>
      </c>
      <c r="AU15" s="788">
        <v>21</v>
      </c>
      <c r="AV15" s="935">
        <f t="shared" si="16"/>
        <v>67</v>
      </c>
      <c r="AW15" s="913">
        <f t="shared" si="17"/>
        <v>3.35</v>
      </c>
      <c r="AX15" s="788">
        <v>38</v>
      </c>
      <c r="AY15" s="788">
        <v>22</v>
      </c>
      <c r="AZ15" s="935">
        <f t="shared" si="18"/>
        <v>60</v>
      </c>
      <c r="BA15" s="913">
        <f t="shared" si="19"/>
        <v>3</v>
      </c>
      <c r="BB15" s="788">
        <v>40</v>
      </c>
      <c r="BC15" s="788">
        <v>20</v>
      </c>
      <c r="BD15" s="935">
        <f t="shared" si="20"/>
        <v>60</v>
      </c>
      <c r="BE15" s="913">
        <f t="shared" si="21"/>
        <v>3</v>
      </c>
      <c r="BF15" s="788">
        <v>42</v>
      </c>
      <c r="BG15" s="788">
        <v>21</v>
      </c>
      <c r="BH15" s="935">
        <f t="shared" si="22"/>
        <v>63</v>
      </c>
      <c r="BI15" s="913">
        <f t="shared" si="23"/>
        <v>3.15</v>
      </c>
      <c r="BJ15" s="590"/>
      <c r="BK15" s="788">
        <v>37</v>
      </c>
      <c r="BL15" s="788">
        <v>22</v>
      </c>
      <c r="BM15" s="788">
        <f t="shared" si="24"/>
        <v>13.2</v>
      </c>
      <c r="BN15" s="913">
        <v>13</v>
      </c>
      <c r="BO15" s="788">
        <v>39</v>
      </c>
      <c r="BP15" s="788">
        <v>23</v>
      </c>
      <c r="BQ15" s="788">
        <f t="shared" si="25"/>
        <v>13.799999999999999</v>
      </c>
      <c r="BR15" s="913">
        <v>14</v>
      </c>
      <c r="BS15" s="788">
        <v>41</v>
      </c>
      <c r="BT15" s="788">
        <v>22</v>
      </c>
      <c r="BU15" s="788">
        <f t="shared" si="26"/>
        <v>13.2</v>
      </c>
      <c r="BV15" s="913">
        <v>13</v>
      </c>
      <c r="BW15" s="788">
        <v>40</v>
      </c>
      <c r="BX15" s="788">
        <v>22</v>
      </c>
      <c r="BY15" s="788">
        <f t="shared" si="27"/>
        <v>13.2</v>
      </c>
      <c r="BZ15" s="913">
        <v>13</v>
      </c>
      <c r="CA15" s="788">
        <v>30</v>
      </c>
      <c r="CB15" s="788">
        <v>20</v>
      </c>
      <c r="CC15" s="788">
        <f t="shared" si="28"/>
        <v>12</v>
      </c>
      <c r="CD15" s="913">
        <v>12</v>
      </c>
      <c r="CE15" s="788">
        <v>39</v>
      </c>
      <c r="CF15" s="788">
        <v>22</v>
      </c>
      <c r="CG15" s="788">
        <f t="shared" si="29"/>
        <v>13.2</v>
      </c>
      <c r="CH15" s="913">
        <v>13</v>
      </c>
      <c r="CI15" s="935">
        <f t="shared" si="30"/>
        <v>487.4</v>
      </c>
    </row>
    <row r="16" spans="1:93" s="795" customFormat="1" ht="22.4" customHeight="1">
      <c r="A16" s="791">
        <v>9012</v>
      </c>
      <c r="B16" s="792" t="s">
        <v>3386</v>
      </c>
      <c r="C16" s="792" t="s">
        <v>2780</v>
      </c>
      <c r="D16" s="792" t="s">
        <v>2797</v>
      </c>
      <c r="E16" s="792" t="s">
        <v>2809</v>
      </c>
      <c r="F16" s="796">
        <v>40734</v>
      </c>
      <c r="G16" s="791">
        <v>132152414</v>
      </c>
      <c r="H16" s="791">
        <v>619</v>
      </c>
      <c r="I16" s="793" t="s">
        <v>2901</v>
      </c>
      <c r="J16" s="794" t="s">
        <v>2204</v>
      </c>
      <c r="K16" s="793" t="s">
        <v>2059</v>
      </c>
      <c r="L16" s="917"/>
      <c r="M16" s="925">
        <v>64</v>
      </c>
      <c r="N16" s="590">
        <v>23</v>
      </c>
      <c r="O16" s="800">
        <f t="shared" si="0"/>
        <v>87</v>
      </c>
      <c r="P16" s="913">
        <f t="shared" si="1"/>
        <v>4.3499999999999996</v>
      </c>
      <c r="Q16" s="590">
        <v>62</v>
      </c>
      <c r="R16" s="590">
        <v>23</v>
      </c>
      <c r="S16" s="800">
        <f t="shared" si="2"/>
        <v>85</v>
      </c>
      <c r="T16" s="913">
        <f t="shared" si="3"/>
        <v>4.25</v>
      </c>
      <c r="U16" s="590">
        <v>67</v>
      </c>
      <c r="V16" s="590">
        <v>24</v>
      </c>
      <c r="W16" s="800">
        <f t="shared" si="4"/>
        <v>91</v>
      </c>
      <c r="X16" s="913">
        <f t="shared" si="5"/>
        <v>4.55</v>
      </c>
      <c r="Y16" s="590">
        <v>54</v>
      </c>
      <c r="Z16" s="590">
        <v>24</v>
      </c>
      <c r="AA16" s="800">
        <f t="shared" si="6"/>
        <v>78</v>
      </c>
      <c r="AB16" s="913">
        <f t="shared" si="7"/>
        <v>3.9</v>
      </c>
      <c r="AC16" s="590">
        <v>51</v>
      </c>
      <c r="AD16" s="590">
        <v>24</v>
      </c>
      <c r="AE16" s="800">
        <f t="shared" si="8"/>
        <v>75</v>
      </c>
      <c r="AF16" s="913">
        <f t="shared" si="9"/>
        <v>3.75</v>
      </c>
      <c r="AG16" s="590">
        <v>70</v>
      </c>
      <c r="AH16" s="590">
        <v>24</v>
      </c>
      <c r="AI16" s="800">
        <f t="shared" si="10"/>
        <v>94</v>
      </c>
      <c r="AJ16" s="924">
        <f t="shared" si="11"/>
        <v>4.7</v>
      </c>
      <c r="AK16" s="789"/>
      <c r="AL16" s="590">
        <v>63</v>
      </c>
      <c r="AM16" s="590">
        <v>22</v>
      </c>
      <c r="AN16" s="935">
        <f t="shared" si="12"/>
        <v>85</v>
      </c>
      <c r="AO16" s="913">
        <f t="shared" si="13"/>
        <v>4.25</v>
      </c>
      <c r="AP16" s="590">
        <v>60</v>
      </c>
      <c r="AQ16" s="590">
        <v>22</v>
      </c>
      <c r="AR16" s="935">
        <f t="shared" si="14"/>
        <v>82</v>
      </c>
      <c r="AS16" s="913">
        <f t="shared" si="15"/>
        <v>4.0999999999999996</v>
      </c>
      <c r="AT16" s="590">
        <v>65</v>
      </c>
      <c r="AU16" s="590">
        <v>23</v>
      </c>
      <c r="AV16" s="935">
        <f t="shared" si="16"/>
        <v>88</v>
      </c>
      <c r="AW16" s="913">
        <f t="shared" si="17"/>
        <v>4.4000000000000004</v>
      </c>
      <c r="AX16" s="590">
        <v>55</v>
      </c>
      <c r="AY16" s="590">
        <v>25</v>
      </c>
      <c r="AZ16" s="935">
        <f t="shared" si="18"/>
        <v>80</v>
      </c>
      <c r="BA16" s="913">
        <f t="shared" si="19"/>
        <v>4</v>
      </c>
      <c r="BB16" s="590">
        <v>53</v>
      </c>
      <c r="BC16" s="590">
        <v>24</v>
      </c>
      <c r="BD16" s="935">
        <f t="shared" si="20"/>
        <v>77</v>
      </c>
      <c r="BE16" s="913">
        <f t="shared" si="21"/>
        <v>3.85</v>
      </c>
      <c r="BF16" s="590">
        <v>68</v>
      </c>
      <c r="BG16" s="590">
        <v>24</v>
      </c>
      <c r="BH16" s="935">
        <f t="shared" si="22"/>
        <v>92</v>
      </c>
      <c r="BI16" s="913">
        <f t="shared" si="23"/>
        <v>4.5999999999999996</v>
      </c>
      <c r="BJ16" s="590"/>
      <c r="BK16" s="590">
        <v>63</v>
      </c>
      <c r="BL16" s="590">
        <v>24</v>
      </c>
      <c r="BM16" s="788">
        <f t="shared" si="24"/>
        <v>14.399999999999999</v>
      </c>
      <c r="BN16" s="913">
        <v>14</v>
      </c>
      <c r="BO16" s="590">
        <v>70</v>
      </c>
      <c r="BP16" s="590">
        <v>24</v>
      </c>
      <c r="BQ16" s="788">
        <f t="shared" si="25"/>
        <v>14.399999999999999</v>
      </c>
      <c r="BR16" s="938">
        <v>14</v>
      </c>
      <c r="BS16" s="590">
        <v>69</v>
      </c>
      <c r="BT16" s="590">
        <v>25</v>
      </c>
      <c r="BU16" s="788">
        <f t="shared" si="26"/>
        <v>15</v>
      </c>
      <c r="BV16" s="938">
        <v>15</v>
      </c>
      <c r="BW16" s="590">
        <v>59</v>
      </c>
      <c r="BX16" s="590">
        <v>25</v>
      </c>
      <c r="BY16" s="788">
        <f t="shared" si="27"/>
        <v>15</v>
      </c>
      <c r="BZ16" s="938">
        <v>15</v>
      </c>
      <c r="CA16" s="590">
        <v>65</v>
      </c>
      <c r="CB16" s="590">
        <v>24</v>
      </c>
      <c r="CC16" s="788">
        <f t="shared" si="28"/>
        <v>14.399999999999999</v>
      </c>
      <c r="CD16" s="938">
        <v>14</v>
      </c>
      <c r="CE16" s="590">
        <v>65</v>
      </c>
      <c r="CF16" s="590">
        <v>23</v>
      </c>
      <c r="CG16" s="788">
        <f t="shared" si="29"/>
        <v>13.799999999999999</v>
      </c>
      <c r="CH16" s="938">
        <v>14</v>
      </c>
      <c r="CI16" s="935">
        <f t="shared" si="30"/>
        <v>681.19999999999993</v>
      </c>
    </row>
    <row r="17" spans="1:94" s="790" customFormat="1" ht="22.4" customHeight="1">
      <c r="A17" s="784">
        <v>9013</v>
      </c>
      <c r="B17" s="785" t="s">
        <v>3387</v>
      </c>
      <c r="C17" s="785" t="s">
        <v>2781</v>
      </c>
      <c r="D17" s="785" t="s">
        <v>3388</v>
      </c>
      <c r="E17" s="785" t="s">
        <v>3389</v>
      </c>
      <c r="F17" s="797">
        <v>40763</v>
      </c>
      <c r="G17" s="784">
        <v>189483557</v>
      </c>
      <c r="H17" s="784">
        <v>621</v>
      </c>
      <c r="I17" s="786" t="s">
        <v>2898</v>
      </c>
      <c r="J17" s="787" t="s">
        <v>2204</v>
      </c>
      <c r="K17" s="786" t="s">
        <v>2059</v>
      </c>
      <c r="L17" s="916"/>
      <c r="M17" s="923">
        <v>46</v>
      </c>
      <c r="N17" s="788">
        <v>23</v>
      </c>
      <c r="O17" s="800">
        <f t="shared" si="0"/>
        <v>69</v>
      </c>
      <c r="P17" s="913">
        <f t="shared" si="1"/>
        <v>3.45</v>
      </c>
      <c r="Q17" s="788">
        <v>41</v>
      </c>
      <c r="R17" s="788">
        <v>24</v>
      </c>
      <c r="S17" s="800">
        <f t="shared" si="2"/>
        <v>65</v>
      </c>
      <c r="T17" s="913">
        <f t="shared" si="3"/>
        <v>3.25</v>
      </c>
      <c r="U17" s="788">
        <v>54</v>
      </c>
      <c r="V17" s="788">
        <v>23</v>
      </c>
      <c r="W17" s="800">
        <f t="shared" si="4"/>
        <v>77</v>
      </c>
      <c r="X17" s="913">
        <f t="shared" si="5"/>
        <v>3.85</v>
      </c>
      <c r="Y17" s="788">
        <v>45</v>
      </c>
      <c r="Z17" s="788">
        <v>24</v>
      </c>
      <c r="AA17" s="800">
        <f t="shared" si="6"/>
        <v>69</v>
      </c>
      <c r="AB17" s="913">
        <f t="shared" si="7"/>
        <v>3.45</v>
      </c>
      <c r="AC17" s="788">
        <v>43</v>
      </c>
      <c r="AD17" s="788">
        <v>24</v>
      </c>
      <c r="AE17" s="800">
        <f t="shared" si="8"/>
        <v>67</v>
      </c>
      <c r="AF17" s="913">
        <f t="shared" si="9"/>
        <v>3.35</v>
      </c>
      <c r="AG17" s="788">
        <v>46</v>
      </c>
      <c r="AH17" s="788">
        <v>24</v>
      </c>
      <c r="AI17" s="800">
        <f t="shared" si="10"/>
        <v>70</v>
      </c>
      <c r="AJ17" s="924">
        <f t="shared" si="11"/>
        <v>3.5</v>
      </c>
      <c r="AK17" s="789"/>
      <c r="AL17" s="788">
        <v>44</v>
      </c>
      <c r="AM17" s="788">
        <v>24</v>
      </c>
      <c r="AN17" s="935">
        <f t="shared" si="12"/>
        <v>68</v>
      </c>
      <c r="AO17" s="913">
        <f t="shared" si="13"/>
        <v>3.4</v>
      </c>
      <c r="AP17" s="788">
        <v>39</v>
      </c>
      <c r="AQ17" s="788">
        <v>24</v>
      </c>
      <c r="AR17" s="935">
        <f t="shared" si="14"/>
        <v>63</v>
      </c>
      <c r="AS17" s="913">
        <f t="shared" si="15"/>
        <v>3.15</v>
      </c>
      <c r="AT17" s="788">
        <v>55</v>
      </c>
      <c r="AU17" s="788">
        <v>24</v>
      </c>
      <c r="AV17" s="935">
        <f t="shared" si="16"/>
        <v>79</v>
      </c>
      <c r="AW17" s="913">
        <f t="shared" si="17"/>
        <v>3.95</v>
      </c>
      <c r="AX17" s="788">
        <v>40</v>
      </c>
      <c r="AY17" s="788">
        <v>24</v>
      </c>
      <c r="AZ17" s="935">
        <f t="shared" si="18"/>
        <v>64</v>
      </c>
      <c r="BA17" s="913">
        <f t="shared" si="19"/>
        <v>3.2</v>
      </c>
      <c r="BB17" s="788">
        <v>44</v>
      </c>
      <c r="BC17" s="788">
        <v>23</v>
      </c>
      <c r="BD17" s="935">
        <f t="shared" si="20"/>
        <v>67</v>
      </c>
      <c r="BE17" s="913">
        <f t="shared" si="21"/>
        <v>3.35</v>
      </c>
      <c r="BF17" s="788">
        <v>45</v>
      </c>
      <c r="BG17" s="788">
        <v>23</v>
      </c>
      <c r="BH17" s="935">
        <f t="shared" si="22"/>
        <v>68</v>
      </c>
      <c r="BI17" s="913">
        <f t="shared" si="23"/>
        <v>3.4</v>
      </c>
      <c r="BJ17" s="590"/>
      <c r="BK17" s="788">
        <v>53</v>
      </c>
      <c r="BL17" s="788">
        <v>23</v>
      </c>
      <c r="BM17" s="788">
        <f t="shared" si="24"/>
        <v>13.799999999999999</v>
      </c>
      <c r="BN17" s="913">
        <v>14</v>
      </c>
      <c r="BO17" s="788">
        <v>49</v>
      </c>
      <c r="BP17" s="788">
        <v>24</v>
      </c>
      <c r="BQ17" s="788">
        <f t="shared" si="25"/>
        <v>14.399999999999999</v>
      </c>
      <c r="BR17" s="913">
        <v>14</v>
      </c>
      <c r="BS17" s="788">
        <v>56</v>
      </c>
      <c r="BT17" s="788">
        <v>24</v>
      </c>
      <c r="BU17" s="788">
        <f t="shared" si="26"/>
        <v>14.399999999999999</v>
      </c>
      <c r="BV17" s="913">
        <v>14</v>
      </c>
      <c r="BW17" s="788">
        <v>45</v>
      </c>
      <c r="BX17" s="788">
        <v>24</v>
      </c>
      <c r="BY17" s="788">
        <f t="shared" si="27"/>
        <v>14.399999999999999</v>
      </c>
      <c r="BZ17" s="913">
        <v>14</v>
      </c>
      <c r="CA17" s="788">
        <v>45</v>
      </c>
      <c r="CB17" s="788">
        <v>24</v>
      </c>
      <c r="CC17" s="788">
        <f t="shared" si="28"/>
        <v>14.399999999999999</v>
      </c>
      <c r="CD17" s="913">
        <v>14</v>
      </c>
      <c r="CE17" s="788">
        <v>46</v>
      </c>
      <c r="CF17" s="788">
        <v>23</v>
      </c>
      <c r="CG17" s="788">
        <f t="shared" si="29"/>
        <v>13.799999999999999</v>
      </c>
      <c r="CH17" s="913">
        <v>14</v>
      </c>
      <c r="CI17" s="935">
        <f t="shared" si="30"/>
        <v>577.4</v>
      </c>
      <c r="CP17" s="790" t="s">
        <v>1676</v>
      </c>
    </row>
    <row r="18" spans="1:94" s="795" customFormat="1" ht="22.4" customHeight="1">
      <c r="A18" s="791">
        <v>9014</v>
      </c>
      <c r="B18" s="792" t="s">
        <v>3390</v>
      </c>
      <c r="C18" s="792" t="s">
        <v>2782</v>
      </c>
      <c r="D18" s="792" t="s">
        <v>3391</v>
      </c>
      <c r="E18" s="792" t="s">
        <v>2810</v>
      </c>
      <c r="F18" s="792" t="s">
        <v>2821</v>
      </c>
      <c r="G18" s="791">
        <v>198590162</v>
      </c>
      <c r="H18" s="791">
        <v>623</v>
      </c>
      <c r="I18" s="793" t="s">
        <v>2907</v>
      </c>
      <c r="J18" s="794" t="s">
        <v>2204</v>
      </c>
      <c r="K18" s="793" t="s">
        <v>2059</v>
      </c>
      <c r="L18" s="917"/>
      <c r="M18" s="925">
        <v>63</v>
      </c>
      <c r="N18" s="590">
        <v>23</v>
      </c>
      <c r="O18" s="800">
        <f t="shared" si="0"/>
        <v>86</v>
      </c>
      <c r="P18" s="913">
        <f t="shared" si="1"/>
        <v>4.3</v>
      </c>
      <c r="Q18" s="590">
        <v>49</v>
      </c>
      <c r="R18" s="590">
        <v>25</v>
      </c>
      <c r="S18" s="800">
        <f t="shared" si="2"/>
        <v>74</v>
      </c>
      <c r="T18" s="913">
        <f t="shared" si="3"/>
        <v>3.7</v>
      </c>
      <c r="U18" s="590">
        <v>60</v>
      </c>
      <c r="V18" s="590">
        <v>24</v>
      </c>
      <c r="W18" s="800">
        <f t="shared" si="4"/>
        <v>84</v>
      </c>
      <c r="X18" s="913">
        <f t="shared" si="5"/>
        <v>4.2</v>
      </c>
      <c r="Y18" s="590">
        <v>49</v>
      </c>
      <c r="Z18" s="590">
        <v>24</v>
      </c>
      <c r="AA18" s="800">
        <f t="shared" si="6"/>
        <v>73</v>
      </c>
      <c r="AB18" s="913">
        <f t="shared" si="7"/>
        <v>3.65</v>
      </c>
      <c r="AC18" s="590">
        <v>46</v>
      </c>
      <c r="AD18" s="590">
        <v>24</v>
      </c>
      <c r="AE18" s="800">
        <f t="shared" si="8"/>
        <v>70</v>
      </c>
      <c r="AF18" s="913">
        <f t="shared" si="9"/>
        <v>3.5</v>
      </c>
      <c r="AG18" s="590">
        <v>59</v>
      </c>
      <c r="AH18" s="590">
        <v>25</v>
      </c>
      <c r="AI18" s="800">
        <f t="shared" si="10"/>
        <v>84</v>
      </c>
      <c r="AJ18" s="924">
        <f t="shared" si="11"/>
        <v>4.2</v>
      </c>
      <c r="AK18" s="789"/>
      <c r="AL18" s="590">
        <v>57</v>
      </c>
      <c r="AM18" s="590">
        <v>24</v>
      </c>
      <c r="AN18" s="935">
        <f t="shared" si="12"/>
        <v>81</v>
      </c>
      <c r="AO18" s="913">
        <f t="shared" si="13"/>
        <v>4.05</v>
      </c>
      <c r="AP18" s="590">
        <v>45</v>
      </c>
      <c r="AQ18" s="590">
        <v>25</v>
      </c>
      <c r="AR18" s="935">
        <f t="shared" si="14"/>
        <v>70</v>
      </c>
      <c r="AS18" s="913">
        <f t="shared" si="15"/>
        <v>3.5</v>
      </c>
      <c r="AT18" s="590">
        <v>66</v>
      </c>
      <c r="AU18" s="590">
        <v>24</v>
      </c>
      <c r="AV18" s="935">
        <f t="shared" si="16"/>
        <v>90</v>
      </c>
      <c r="AW18" s="913">
        <f t="shared" si="17"/>
        <v>4.5</v>
      </c>
      <c r="AX18" s="590">
        <v>48</v>
      </c>
      <c r="AY18" s="590">
        <v>25</v>
      </c>
      <c r="AZ18" s="935">
        <f t="shared" si="18"/>
        <v>73</v>
      </c>
      <c r="BA18" s="913">
        <f t="shared" si="19"/>
        <v>3.65</v>
      </c>
      <c r="BB18" s="590">
        <v>47</v>
      </c>
      <c r="BC18" s="590">
        <v>23</v>
      </c>
      <c r="BD18" s="935">
        <f t="shared" si="20"/>
        <v>70</v>
      </c>
      <c r="BE18" s="913">
        <f t="shared" si="21"/>
        <v>3.5</v>
      </c>
      <c r="BF18" s="590">
        <v>58</v>
      </c>
      <c r="BG18" s="590">
        <v>24</v>
      </c>
      <c r="BH18" s="935">
        <f t="shared" si="22"/>
        <v>82</v>
      </c>
      <c r="BI18" s="913">
        <f t="shared" si="23"/>
        <v>4.0999999999999996</v>
      </c>
      <c r="BJ18" s="590"/>
      <c r="BK18" s="590">
        <v>53</v>
      </c>
      <c r="BL18" s="590">
        <v>23</v>
      </c>
      <c r="BM18" s="788">
        <f t="shared" si="24"/>
        <v>13.799999999999999</v>
      </c>
      <c r="BN18" s="913">
        <v>14</v>
      </c>
      <c r="BO18" s="590">
        <v>60</v>
      </c>
      <c r="BP18" s="590">
        <v>24</v>
      </c>
      <c r="BQ18" s="788">
        <f t="shared" si="25"/>
        <v>14.399999999999999</v>
      </c>
      <c r="BR18" s="938">
        <v>14</v>
      </c>
      <c r="BS18" s="590">
        <v>64</v>
      </c>
      <c r="BT18" s="590">
        <v>24</v>
      </c>
      <c r="BU18" s="788">
        <f t="shared" si="26"/>
        <v>14.399999999999999</v>
      </c>
      <c r="BV18" s="938">
        <v>14</v>
      </c>
      <c r="BW18" s="590">
        <v>55</v>
      </c>
      <c r="BX18" s="590">
        <v>24</v>
      </c>
      <c r="BY18" s="788">
        <f t="shared" si="27"/>
        <v>14.399999999999999</v>
      </c>
      <c r="BZ18" s="938">
        <v>14</v>
      </c>
      <c r="CA18" s="590">
        <v>48</v>
      </c>
      <c r="CB18" s="590">
        <v>24</v>
      </c>
      <c r="CC18" s="788">
        <f t="shared" si="28"/>
        <v>14.399999999999999</v>
      </c>
      <c r="CD18" s="938">
        <v>14</v>
      </c>
      <c r="CE18" s="590">
        <v>58</v>
      </c>
      <c r="CF18" s="590">
        <v>24</v>
      </c>
      <c r="CG18" s="788">
        <f t="shared" si="29"/>
        <v>14.399999999999999</v>
      </c>
      <c r="CH18" s="938">
        <v>14</v>
      </c>
      <c r="CI18" s="935">
        <f t="shared" si="30"/>
        <v>622.4</v>
      </c>
    </row>
    <row r="19" spans="1:94" s="790" customFormat="1" ht="22.4" customHeight="1">
      <c r="A19" s="784">
        <v>9015</v>
      </c>
      <c r="B19" s="785" t="s">
        <v>3392</v>
      </c>
      <c r="C19" s="785" t="s">
        <v>2783</v>
      </c>
      <c r="D19" s="785" t="s">
        <v>2798</v>
      </c>
      <c r="E19" s="785" t="s">
        <v>3393</v>
      </c>
      <c r="F19" s="785" t="s">
        <v>2822</v>
      </c>
      <c r="G19" s="784">
        <v>104424819</v>
      </c>
      <c r="H19" s="784">
        <v>576</v>
      </c>
      <c r="I19" s="786" t="s">
        <v>2899</v>
      </c>
      <c r="J19" s="787" t="s">
        <v>2204</v>
      </c>
      <c r="K19" s="786" t="s">
        <v>2059</v>
      </c>
      <c r="L19" s="916"/>
      <c r="M19" s="923">
        <v>45</v>
      </c>
      <c r="N19" s="788">
        <v>23</v>
      </c>
      <c r="O19" s="800">
        <f t="shared" si="0"/>
        <v>68</v>
      </c>
      <c r="P19" s="913">
        <f t="shared" si="1"/>
        <v>3.4</v>
      </c>
      <c r="Q19" s="788">
        <v>50</v>
      </c>
      <c r="R19" s="788">
        <v>20</v>
      </c>
      <c r="S19" s="800">
        <f t="shared" si="2"/>
        <v>70</v>
      </c>
      <c r="T19" s="913">
        <f t="shared" si="3"/>
        <v>3.5</v>
      </c>
      <c r="U19" s="788">
        <v>52</v>
      </c>
      <c r="V19" s="788">
        <v>24</v>
      </c>
      <c r="W19" s="800">
        <f t="shared" si="4"/>
        <v>76</v>
      </c>
      <c r="X19" s="913">
        <f t="shared" si="5"/>
        <v>3.8</v>
      </c>
      <c r="Y19" s="788">
        <v>40</v>
      </c>
      <c r="Z19" s="788">
        <v>20</v>
      </c>
      <c r="AA19" s="800">
        <f t="shared" si="6"/>
        <v>60</v>
      </c>
      <c r="AB19" s="913">
        <f t="shared" si="7"/>
        <v>3</v>
      </c>
      <c r="AC19" s="788">
        <v>44</v>
      </c>
      <c r="AD19" s="788">
        <v>22</v>
      </c>
      <c r="AE19" s="800">
        <f t="shared" si="8"/>
        <v>66</v>
      </c>
      <c r="AF19" s="913">
        <f t="shared" si="9"/>
        <v>3.3</v>
      </c>
      <c r="AG19" s="788">
        <v>49</v>
      </c>
      <c r="AH19" s="788">
        <v>21</v>
      </c>
      <c r="AI19" s="800">
        <f t="shared" si="10"/>
        <v>70</v>
      </c>
      <c r="AJ19" s="924">
        <f t="shared" si="11"/>
        <v>3.5</v>
      </c>
      <c r="AK19" s="789"/>
      <c r="AL19" s="788">
        <v>42</v>
      </c>
      <c r="AM19" s="788">
        <v>23</v>
      </c>
      <c r="AN19" s="935">
        <f t="shared" si="12"/>
        <v>65</v>
      </c>
      <c r="AO19" s="913">
        <f t="shared" si="13"/>
        <v>3.25</v>
      </c>
      <c r="AP19" s="788">
        <v>38</v>
      </c>
      <c r="AQ19" s="788">
        <v>24</v>
      </c>
      <c r="AR19" s="935">
        <f t="shared" si="14"/>
        <v>62</v>
      </c>
      <c r="AS19" s="913">
        <f t="shared" si="15"/>
        <v>3.1</v>
      </c>
      <c r="AT19" s="788">
        <v>52</v>
      </c>
      <c r="AU19" s="788">
        <v>23</v>
      </c>
      <c r="AV19" s="935">
        <f t="shared" si="16"/>
        <v>75</v>
      </c>
      <c r="AW19" s="913">
        <f t="shared" si="17"/>
        <v>3.75</v>
      </c>
      <c r="AX19" s="788">
        <v>39</v>
      </c>
      <c r="AY19" s="788">
        <v>21</v>
      </c>
      <c r="AZ19" s="935">
        <f t="shared" si="18"/>
        <v>60</v>
      </c>
      <c r="BA19" s="913">
        <f t="shared" si="19"/>
        <v>3</v>
      </c>
      <c r="BB19" s="788">
        <v>48</v>
      </c>
      <c r="BC19" s="788">
        <v>22</v>
      </c>
      <c r="BD19" s="935">
        <f t="shared" si="20"/>
        <v>70</v>
      </c>
      <c r="BE19" s="913">
        <f t="shared" si="21"/>
        <v>3.5</v>
      </c>
      <c r="BF19" s="788">
        <v>47</v>
      </c>
      <c r="BG19" s="788">
        <v>20</v>
      </c>
      <c r="BH19" s="935">
        <f t="shared" si="22"/>
        <v>67</v>
      </c>
      <c r="BI19" s="913">
        <f t="shared" si="23"/>
        <v>3.35</v>
      </c>
      <c r="BJ19" s="590"/>
      <c r="BK19" s="788">
        <v>47</v>
      </c>
      <c r="BL19" s="788">
        <v>23</v>
      </c>
      <c r="BM19" s="788">
        <f t="shared" si="24"/>
        <v>13.799999999999999</v>
      </c>
      <c r="BN19" s="913">
        <v>14</v>
      </c>
      <c r="BO19" s="788">
        <v>48</v>
      </c>
      <c r="BP19" s="788">
        <v>23</v>
      </c>
      <c r="BQ19" s="788">
        <f t="shared" si="25"/>
        <v>13.799999999999999</v>
      </c>
      <c r="BR19" s="913">
        <v>14</v>
      </c>
      <c r="BS19" s="788">
        <v>47</v>
      </c>
      <c r="BT19" s="788">
        <v>23</v>
      </c>
      <c r="BU19" s="788">
        <f t="shared" si="26"/>
        <v>13.799999999999999</v>
      </c>
      <c r="BV19" s="913">
        <v>14</v>
      </c>
      <c r="BW19" s="788">
        <v>39</v>
      </c>
      <c r="BX19" s="788">
        <v>22</v>
      </c>
      <c r="BY19" s="788">
        <f t="shared" si="27"/>
        <v>13.2</v>
      </c>
      <c r="BZ19" s="913">
        <v>13</v>
      </c>
      <c r="CA19" s="788">
        <v>35</v>
      </c>
      <c r="CB19" s="788">
        <v>22</v>
      </c>
      <c r="CC19" s="788">
        <f t="shared" si="28"/>
        <v>13.2</v>
      </c>
      <c r="CD19" s="913">
        <v>13</v>
      </c>
      <c r="CE19" s="788">
        <v>45</v>
      </c>
      <c r="CF19" s="788">
        <v>23</v>
      </c>
      <c r="CG19" s="788">
        <f t="shared" si="29"/>
        <v>13.799999999999999</v>
      </c>
      <c r="CH19" s="913">
        <v>14</v>
      </c>
      <c r="CI19" s="935">
        <f t="shared" si="30"/>
        <v>532.79999999999995</v>
      </c>
    </row>
    <row r="20" spans="1:94" s="795" customFormat="1" ht="22.4" customHeight="1">
      <c r="A20" s="791">
        <v>9016</v>
      </c>
      <c r="B20" s="792" t="s">
        <v>3394</v>
      </c>
      <c r="C20" s="792" t="s">
        <v>2784</v>
      </c>
      <c r="D20" s="792" t="s">
        <v>2799</v>
      </c>
      <c r="E20" s="792" t="s">
        <v>2806</v>
      </c>
      <c r="F20" s="792" t="s">
        <v>2823</v>
      </c>
      <c r="G20" s="791">
        <v>136665120</v>
      </c>
      <c r="H20" s="791">
        <v>1682</v>
      </c>
      <c r="I20" s="793" t="s">
        <v>2897</v>
      </c>
      <c r="J20" s="794" t="s">
        <v>2204</v>
      </c>
      <c r="K20" s="793" t="s">
        <v>2059</v>
      </c>
      <c r="L20" s="917"/>
      <c r="M20" s="925">
        <v>44</v>
      </c>
      <c r="N20" s="590">
        <v>24</v>
      </c>
      <c r="O20" s="800">
        <f t="shared" si="0"/>
        <v>68</v>
      </c>
      <c r="P20" s="913">
        <f t="shared" si="1"/>
        <v>3.4</v>
      </c>
      <c r="Q20" s="590">
        <v>41</v>
      </c>
      <c r="R20" s="590">
        <v>23</v>
      </c>
      <c r="S20" s="800">
        <f t="shared" si="2"/>
        <v>64</v>
      </c>
      <c r="T20" s="913">
        <f t="shared" si="3"/>
        <v>3.2</v>
      </c>
      <c r="U20" s="590">
        <v>53</v>
      </c>
      <c r="V20" s="590">
        <v>24</v>
      </c>
      <c r="W20" s="800">
        <f t="shared" si="4"/>
        <v>77</v>
      </c>
      <c r="X20" s="913">
        <f t="shared" si="5"/>
        <v>3.85</v>
      </c>
      <c r="Y20" s="590">
        <v>41</v>
      </c>
      <c r="Z20" s="590">
        <v>23</v>
      </c>
      <c r="AA20" s="800">
        <f t="shared" si="6"/>
        <v>64</v>
      </c>
      <c r="AB20" s="913">
        <f t="shared" si="7"/>
        <v>3.2</v>
      </c>
      <c r="AC20" s="590">
        <v>46</v>
      </c>
      <c r="AD20" s="590">
        <v>21</v>
      </c>
      <c r="AE20" s="800">
        <f t="shared" si="8"/>
        <v>67</v>
      </c>
      <c r="AF20" s="913">
        <f t="shared" si="9"/>
        <v>3.35</v>
      </c>
      <c r="AG20" s="590">
        <v>47</v>
      </c>
      <c r="AH20" s="590">
        <v>21</v>
      </c>
      <c r="AI20" s="800">
        <f t="shared" si="10"/>
        <v>68</v>
      </c>
      <c r="AJ20" s="924">
        <f t="shared" si="11"/>
        <v>3.4</v>
      </c>
      <c r="AK20" s="789"/>
      <c r="AL20" s="590">
        <v>47</v>
      </c>
      <c r="AM20" s="590">
        <v>23</v>
      </c>
      <c r="AN20" s="935">
        <f t="shared" si="12"/>
        <v>70</v>
      </c>
      <c r="AO20" s="913">
        <f t="shared" si="13"/>
        <v>3.5</v>
      </c>
      <c r="AP20" s="590">
        <v>41</v>
      </c>
      <c r="AQ20" s="590">
        <v>24</v>
      </c>
      <c r="AR20" s="935">
        <f t="shared" si="14"/>
        <v>65</v>
      </c>
      <c r="AS20" s="913">
        <f t="shared" si="15"/>
        <v>3.25</v>
      </c>
      <c r="AT20" s="590">
        <v>53</v>
      </c>
      <c r="AU20" s="590">
        <v>24</v>
      </c>
      <c r="AV20" s="935">
        <f t="shared" si="16"/>
        <v>77</v>
      </c>
      <c r="AW20" s="913">
        <f t="shared" si="17"/>
        <v>3.85</v>
      </c>
      <c r="AX20" s="590">
        <v>41</v>
      </c>
      <c r="AY20" s="590">
        <v>23</v>
      </c>
      <c r="AZ20" s="935">
        <f t="shared" si="18"/>
        <v>64</v>
      </c>
      <c r="BA20" s="913">
        <f t="shared" si="19"/>
        <v>3.2</v>
      </c>
      <c r="BB20" s="590">
        <v>48</v>
      </c>
      <c r="BC20" s="590">
        <v>23</v>
      </c>
      <c r="BD20" s="935">
        <f t="shared" si="20"/>
        <v>71</v>
      </c>
      <c r="BE20" s="913">
        <f t="shared" si="21"/>
        <v>3.55</v>
      </c>
      <c r="BF20" s="590">
        <v>43</v>
      </c>
      <c r="BG20" s="590">
        <v>22</v>
      </c>
      <c r="BH20" s="935">
        <f t="shared" si="22"/>
        <v>65</v>
      </c>
      <c r="BI20" s="913">
        <f t="shared" si="23"/>
        <v>3.25</v>
      </c>
      <c r="BJ20" s="590"/>
      <c r="BK20" s="590">
        <v>50</v>
      </c>
      <c r="BL20" s="590">
        <v>23</v>
      </c>
      <c r="BM20" s="788">
        <f t="shared" si="24"/>
        <v>13.799999999999999</v>
      </c>
      <c r="BN20" s="913">
        <v>14</v>
      </c>
      <c r="BO20" s="590">
        <v>47</v>
      </c>
      <c r="BP20" s="590">
        <v>22</v>
      </c>
      <c r="BQ20" s="788">
        <f t="shared" si="25"/>
        <v>13.2</v>
      </c>
      <c r="BR20" s="938">
        <v>13</v>
      </c>
      <c r="BS20" s="590">
        <v>61</v>
      </c>
      <c r="BT20" s="590">
        <v>24</v>
      </c>
      <c r="BU20" s="788">
        <f t="shared" si="26"/>
        <v>14.399999999999999</v>
      </c>
      <c r="BV20" s="938">
        <v>14</v>
      </c>
      <c r="BW20" s="590">
        <v>51</v>
      </c>
      <c r="BX20" s="590">
        <v>23</v>
      </c>
      <c r="BY20" s="788">
        <f t="shared" si="27"/>
        <v>13.799999999999999</v>
      </c>
      <c r="BZ20" s="938">
        <v>14</v>
      </c>
      <c r="CA20" s="590">
        <v>36</v>
      </c>
      <c r="CB20" s="590">
        <v>20</v>
      </c>
      <c r="CC20" s="788">
        <f t="shared" si="28"/>
        <v>12</v>
      </c>
      <c r="CD20" s="938">
        <v>12</v>
      </c>
      <c r="CE20" s="590">
        <v>53</v>
      </c>
      <c r="CF20" s="590">
        <v>24</v>
      </c>
      <c r="CG20" s="788">
        <f t="shared" si="29"/>
        <v>14.399999999999999</v>
      </c>
      <c r="CH20" s="938">
        <v>14</v>
      </c>
      <c r="CI20" s="935">
        <f t="shared" si="30"/>
        <v>568.20000000000005</v>
      </c>
    </row>
    <row r="21" spans="1:94" s="790" customFormat="1" ht="22.4" customHeight="1">
      <c r="A21" s="784">
        <v>9017</v>
      </c>
      <c r="B21" s="785" t="s">
        <v>3395</v>
      </c>
      <c r="C21" s="785" t="s">
        <v>2785</v>
      </c>
      <c r="D21" s="785" t="s">
        <v>2514</v>
      </c>
      <c r="E21" s="785" t="s">
        <v>2515</v>
      </c>
      <c r="F21" s="785" t="s">
        <v>2824</v>
      </c>
      <c r="G21" s="784">
        <v>109358112</v>
      </c>
      <c r="H21" s="784">
        <v>617</v>
      </c>
      <c r="I21" s="786" t="s">
        <v>2904</v>
      </c>
      <c r="J21" s="787" t="s">
        <v>2204</v>
      </c>
      <c r="K21" s="786" t="s">
        <v>2059</v>
      </c>
      <c r="L21" s="916"/>
      <c r="M21" s="923">
        <v>59</v>
      </c>
      <c r="N21" s="788">
        <v>24</v>
      </c>
      <c r="O21" s="800">
        <f t="shared" si="0"/>
        <v>83</v>
      </c>
      <c r="P21" s="913">
        <f t="shared" si="1"/>
        <v>4.1500000000000004</v>
      </c>
      <c r="Q21" s="788">
        <v>49</v>
      </c>
      <c r="R21" s="788">
        <v>24</v>
      </c>
      <c r="S21" s="800">
        <f t="shared" si="2"/>
        <v>73</v>
      </c>
      <c r="T21" s="913">
        <f t="shared" si="3"/>
        <v>3.65</v>
      </c>
      <c r="U21" s="788">
        <v>63</v>
      </c>
      <c r="V21" s="788">
        <v>23</v>
      </c>
      <c r="W21" s="800">
        <f t="shared" si="4"/>
        <v>86</v>
      </c>
      <c r="X21" s="913">
        <f t="shared" si="5"/>
        <v>4.3</v>
      </c>
      <c r="Y21" s="788">
        <v>55</v>
      </c>
      <c r="Z21" s="788">
        <v>24</v>
      </c>
      <c r="AA21" s="800">
        <f t="shared" si="6"/>
        <v>79</v>
      </c>
      <c r="AB21" s="913">
        <f t="shared" si="7"/>
        <v>3.95</v>
      </c>
      <c r="AC21" s="788">
        <v>50</v>
      </c>
      <c r="AD21" s="788">
        <v>23</v>
      </c>
      <c r="AE21" s="800">
        <f t="shared" si="8"/>
        <v>73</v>
      </c>
      <c r="AF21" s="913">
        <f t="shared" si="9"/>
        <v>3.65</v>
      </c>
      <c r="AG21" s="788">
        <v>55</v>
      </c>
      <c r="AH21" s="788">
        <v>24</v>
      </c>
      <c r="AI21" s="800">
        <f t="shared" si="10"/>
        <v>79</v>
      </c>
      <c r="AJ21" s="924">
        <f t="shared" si="11"/>
        <v>3.95</v>
      </c>
      <c r="AK21" s="789"/>
      <c r="AL21" s="788">
        <v>55</v>
      </c>
      <c r="AM21" s="788">
        <v>24</v>
      </c>
      <c r="AN21" s="935">
        <f t="shared" si="12"/>
        <v>79</v>
      </c>
      <c r="AO21" s="913">
        <f t="shared" si="13"/>
        <v>3.95</v>
      </c>
      <c r="AP21" s="788">
        <v>46</v>
      </c>
      <c r="AQ21" s="788">
        <v>25</v>
      </c>
      <c r="AR21" s="935">
        <f t="shared" si="14"/>
        <v>71</v>
      </c>
      <c r="AS21" s="913">
        <f t="shared" si="15"/>
        <v>3.55</v>
      </c>
      <c r="AT21" s="788">
        <v>61</v>
      </c>
      <c r="AU21" s="788">
        <v>24</v>
      </c>
      <c r="AV21" s="935">
        <f t="shared" si="16"/>
        <v>85</v>
      </c>
      <c r="AW21" s="913">
        <f t="shared" si="17"/>
        <v>4.25</v>
      </c>
      <c r="AX21" s="788">
        <v>53</v>
      </c>
      <c r="AY21" s="788">
        <v>25</v>
      </c>
      <c r="AZ21" s="935">
        <f t="shared" si="18"/>
        <v>78</v>
      </c>
      <c r="BA21" s="913">
        <f t="shared" si="19"/>
        <v>3.9</v>
      </c>
      <c r="BB21" s="788">
        <v>49</v>
      </c>
      <c r="BC21" s="788">
        <v>23</v>
      </c>
      <c r="BD21" s="935">
        <f t="shared" si="20"/>
        <v>72</v>
      </c>
      <c r="BE21" s="913">
        <f t="shared" si="21"/>
        <v>3.6</v>
      </c>
      <c r="BF21" s="788">
        <v>56</v>
      </c>
      <c r="BG21" s="788">
        <v>24</v>
      </c>
      <c r="BH21" s="935">
        <f t="shared" si="22"/>
        <v>80</v>
      </c>
      <c r="BI21" s="913">
        <f t="shared" si="23"/>
        <v>4</v>
      </c>
      <c r="BJ21" s="590"/>
      <c r="BK21" s="788">
        <v>57</v>
      </c>
      <c r="BL21" s="788">
        <v>24</v>
      </c>
      <c r="BM21" s="788">
        <f t="shared" si="24"/>
        <v>14.399999999999999</v>
      </c>
      <c r="BN21" s="913">
        <v>14</v>
      </c>
      <c r="BO21" s="788">
        <v>64</v>
      </c>
      <c r="BP21" s="788">
        <v>24</v>
      </c>
      <c r="BQ21" s="788">
        <f t="shared" si="25"/>
        <v>14.399999999999999</v>
      </c>
      <c r="BR21" s="913">
        <v>14</v>
      </c>
      <c r="BS21" s="788">
        <v>66</v>
      </c>
      <c r="BT21" s="788">
        <v>25</v>
      </c>
      <c r="BU21" s="788">
        <f t="shared" si="26"/>
        <v>15</v>
      </c>
      <c r="BV21" s="913">
        <v>15</v>
      </c>
      <c r="BW21" s="788">
        <v>63</v>
      </c>
      <c r="BX21" s="788">
        <v>24</v>
      </c>
      <c r="BY21" s="788">
        <f t="shared" si="27"/>
        <v>14.399999999999999</v>
      </c>
      <c r="BZ21" s="913">
        <v>14</v>
      </c>
      <c r="CA21" s="788">
        <v>58</v>
      </c>
      <c r="CB21" s="788">
        <v>24</v>
      </c>
      <c r="CC21" s="788">
        <f t="shared" si="28"/>
        <v>14.399999999999999</v>
      </c>
      <c r="CD21" s="913">
        <v>14</v>
      </c>
      <c r="CE21" s="788">
        <v>56</v>
      </c>
      <c r="CF21" s="788">
        <v>24</v>
      </c>
      <c r="CG21" s="788">
        <f t="shared" si="29"/>
        <v>14.399999999999999</v>
      </c>
      <c r="CH21" s="913">
        <v>14</v>
      </c>
      <c r="CI21" s="935">
        <f t="shared" si="30"/>
        <v>652.6</v>
      </c>
    </row>
    <row r="22" spans="1:94" s="795" customFormat="1" ht="22.4" customHeight="1">
      <c r="A22" s="791">
        <v>9018</v>
      </c>
      <c r="B22" s="792" t="s">
        <v>3396</v>
      </c>
      <c r="C22" s="792" t="s">
        <v>2786</v>
      </c>
      <c r="D22" s="792" t="s">
        <v>2800</v>
      </c>
      <c r="E22" s="792" t="s">
        <v>2811</v>
      </c>
      <c r="F22" s="796">
        <v>40641</v>
      </c>
      <c r="G22" s="791">
        <v>191219290</v>
      </c>
      <c r="H22" s="791">
        <v>579</v>
      </c>
      <c r="I22" s="793" t="s">
        <v>2899</v>
      </c>
      <c r="J22" s="794" t="s">
        <v>2204</v>
      </c>
      <c r="K22" s="793" t="s">
        <v>2059</v>
      </c>
      <c r="L22" s="917"/>
      <c r="M22" s="925">
        <v>45</v>
      </c>
      <c r="N22" s="590">
        <v>22</v>
      </c>
      <c r="O22" s="800">
        <f t="shared" si="0"/>
        <v>67</v>
      </c>
      <c r="P22" s="913">
        <f t="shared" si="1"/>
        <v>3.35</v>
      </c>
      <c r="Q22" s="590">
        <v>41</v>
      </c>
      <c r="R22" s="590">
        <v>23</v>
      </c>
      <c r="S22" s="800">
        <f t="shared" si="2"/>
        <v>64</v>
      </c>
      <c r="T22" s="913">
        <f t="shared" si="3"/>
        <v>3.2</v>
      </c>
      <c r="U22" s="590">
        <v>46</v>
      </c>
      <c r="V22" s="590">
        <v>22</v>
      </c>
      <c r="W22" s="800">
        <f t="shared" si="4"/>
        <v>68</v>
      </c>
      <c r="X22" s="913">
        <f t="shared" si="5"/>
        <v>3.4</v>
      </c>
      <c r="Y22" s="590">
        <v>46</v>
      </c>
      <c r="Z22" s="590">
        <v>23</v>
      </c>
      <c r="AA22" s="800">
        <f t="shared" si="6"/>
        <v>69</v>
      </c>
      <c r="AB22" s="913">
        <f t="shared" si="7"/>
        <v>3.45</v>
      </c>
      <c r="AC22" s="590">
        <v>46</v>
      </c>
      <c r="AD22" s="590">
        <v>22</v>
      </c>
      <c r="AE22" s="800">
        <f t="shared" si="8"/>
        <v>68</v>
      </c>
      <c r="AF22" s="913">
        <f t="shared" si="9"/>
        <v>3.4</v>
      </c>
      <c r="AG22" s="590">
        <v>49</v>
      </c>
      <c r="AH22" s="590">
        <v>24</v>
      </c>
      <c r="AI22" s="800">
        <f t="shared" si="10"/>
        <v>73</v>
      </c>
      <c r="AJ22" s="924">
        <f t="shared" si="11"/>
        <v>3.65</v>
      </c>
      <c r="AK22" s="789"/>
      <c r="AL22" s="590">
        <v>42</v>
      </c>
      <c r="AM22" s="590">
        <v>23</v>
      </c>
      <c r="AN22" s="935">
        <f t="shared" si="12"/>
        <v>65</v>
      </c>
      <c r="AO22" s="913">
        <f t="shared" si="13"/>
        <v>3.25</v>
      </c>
      <c r="AP22" s="590">
        <v>39</v>
      </c>
      <c r="AQ22" s="590">
        <v>23</v>
      </c>
      <c r="AR22" s="935">
        <f t="shared" si="14"/>
        <v>62</v>
      </c>
      <c r="AS22" s="913">
        <f t="shared" si="15"/>
        <v>3.1</v>
      </c>
      <c r="AT22" s="590">
        <v>43</v>
      </c>
      <c r="AU22" s="590">
        <v>23</v>
      </c>
      <c r="AV22" s="935">
        <f t="shared" si="16"/>
        <v>66</v>
      </c>
      <c r="AW22" s="913">
        <f t="shared" si="17"/>
        <v>3.3</v>
      </c>
      <c r="AX22" s="590">
        <v>45</v>
      </c>
      <c r="AY22" s="590">
        <v>22</v>
      </c>
      <c r="AZ22" s="935">
        <f t="shared" si="18"/>
        <v>67</v>
      </c>
      <c r="BA22" s="913">
        <f t="shared" si="19"/>
        <v>3.35</v>
      </c>
      <c r="BB22" s="590">
        <v>44</v>
      </c>
      <c r="BC22" s="590">
        <v>21</v>
      </c>
      <c r="BD22" s="935">
        <f t="shared" si="20"/>
        <v>65</v>
      </c>
      <c r="BE22" s="913">
        <f t="shared" si="21"/>
        <v>3.25</v>
      </c>
      <c r="BF22" s="590">
        <v>44</v>
      </c>
      <c r="BG22" s="590">
        <v>23</v>
      </c>
      <c r="BH22" s="935">
        <f t="shared" si="22"/>
        <v>67</v>
      </c>
      <c r="BI22" s="913">
        <f t="shared" si="23"/>
        <v>3.35</v>
      </c>
      <c r="BJ22" s="590"/>
      <c r="BK22" s="590">
        <v>43</v>
      </c>
      <c r="BL22" s="590">
        <v>23</v>
      </c>
      <c r="BM22" s="788">
        <f t="shared" si="24"/>
        <v>13.799999999999999</v>
      </c>
      <c r="BN22" s="913">
        <v>14</v>
      </c>
      <c r="BO22" s="590">
        <v>49</v>
      </c>
      <c r="BP22" s="590">
        <v>23</v>
      </c>
      <c r="BQ22" s="788">
        <f t="shared" si="25"/>
        <v>13.799999999999999</v>
      </c>
      <c r="BR22" s="938">
        <v>14</v>
      </c>
      <c r="BS22" s="590">
        <v>50</v>
      </c>
      <c r="BT22" s="590">
        <v>23</v>
      </c>
      <c r="BU22" s="788">
        <f t="shared" si="26"/>
        <v>13.799999999999999</v>
      </c>
      <c r="BV22" s="938">
        <v>14</v>
      </c>
      <c r="BW22" s="590">
        <v>39</v>
      </c>
      <c r="BX22" s="590">
        <v>23</v>
      </c>
      <c r="BY22" s="788">
        <f t="shared" si="27"/>
        <v>13.799999999999999</v>
      </c>
      <c r="BZ22" s="938">
        <v>14</v>
      </c>
      <c r="CA22" s="590">
        <v>36</v>
      </c>
      <c r="CB22" s="590">
        <v>23</v>
      </c>
      <c r="CC22" s="788">
        <f t="shared" si="28"/>
        <v>13.799999999999999</v>
      </c>
      <c r="CD22" s="938">
        <v>14</v>
      </c>
      <c r="CE22" s="590">
        <v>46</v>
      </c>
      <c r="CF22" s="590">
        <v>23</v>
      </c>
      <c r="CG22" s="788">
        <f t="shared" si="29"/>
        <v>13.799999999999999</v>
      </c>
      <c r="CH22" s="938">
        <v>14</v>
      </c>
      <c r="CI22" s="935">
        <f t="shared" si="30"/>
        <v>540</v>
      </c>
    </row>
    <row r="23" spans="1:94" s="790" customFormat="1" ht="22.4" customHeight="1">
      <c r="A23" s="784">
        <v>9019</v>
      </c>
      <c r="B23" s="785" t="s">
        <v>3397</v>
      </c>
      <c r="C23" s="785" t="s">
        <v>2787</v>
      </c>
      <c r="D23" s="785" t="s">
        <v>2801</v>
      </c>
      <c r="E23" s="785" t="s">
        <v>2812</v>
      </c>
      <c r="F23" s="785" t="s">
        <v>2825</v>
      </c>
      <c r="G23" s="784">
        <v>104028034</v>
      </c>
      <c r="H23" s="784">
        <v>1797</v>
      </c>
      <c r="I23" s="786" t="s">
        <v>2899</v>
      </c>
      <c r="J23" s="787" t="s">
        <v>2204</v>
      </c>
      <c r="K23" s="786" t="s">
        <v>2059</v>
      </c>
      <c r="L23" s="916"/>
      <c r="M23" s="923">
        <v>41</v>
      </c>
      <c r="N23" s="788">
        <v>23</v>
      </c>
      <c r="O23" s="800">
        <f t="shared" si="0"/>
        <v>64</v>
      </c>
      <c r="P23" s="913">
        <f t="shared" si="1"/>
        <v>3.2</v>
      </c>
      <c r="Q23" s="788">
        <v>39</v>
      </c>
      <c r="R23" s="788">
        <v>22</v>
      </c>
      <c r="S23" s="800">
        <f t="shared" si="2"/>
        <v>61</v>
      </c>
      <c r="T23" s="913">
        <f t="shared" si="3"/>
        <v>3.05</v>
      </c>
      <c r="U23" s="788">
        <v>43</v>
      </c>
      <c r="V23" s="788">
        <v>21</v>
      </c>
      <c r="W23" s="800">
        <f t="shared" si="4"/>
        <v>64</v>
      </c>
      <c r="X23" s="913">
        <f t="shared" si="5"/>
        <v>3.2</v>
      </c>
      <c r="Y23" s="788">
        <v>39</v>
      </c>
      <c r="Z23" s="788">
        <v>21</v>
      </c>
      <c r="AA23" s="800">
        <f t="shared" si="6"/>
        <v>60</v>
      </c>
      <c r="AB23" s="913">
        <f t="shared" si="7"/>
        <v>3</v>
      </c>
      <c r="AC23" s="788">
        <v>49</v>
      </c>
      <c r="AD23" s="788">
        <v>21</v>
      </c>
      <c r="AE23" s="800">
        <f t="shared" si="8"/>
        <v>70</v>
      </c>
      <c r="AF23" s="913">
        <f t="shared" si="9"/>
        <v>3.5</v>
      </c>
      <c r="AG23" s="788">
        <v>412</v>
      </c>
      <c r="AH23" s="788">
        <v>20</v>
      </c>
      <c r="AI23" s="800">
        <f t="shared" si="10"/>
        <v>432</v>
      </c>
      <c r="AJ23" s="924">
        <f t="shared" si="11"/>
        <v>21.6</v>
      </c>
      <c r="AK23" s="789"/>
      <c r="AL23" s="788">
        <v>40</v>
      </c>
      <c r="AM23" s="788">
        <v>22</v>
      </c>
      <c r="AN23" s="935">
        <f t="shared" si="12"/>
        <v>62</v>
      </c>
      <c r="AO23" s="913">
        <f t="shared" si="13"/>
        <v>3.1</v>
      </c>
      <c r="AP23" s="788">
        <v>39</v>
      </c>
      <c r="AQ23" s="788">
        <v>22</v>
      </c>
      <c r="AR23" s="935">
        <f t="shared" si="14"/>
        <v>61</v>
      </c>
      <c r="AS23" s="913">
        <f t="shared" si="15"/>
        <v>3.05</v>
      </c>
      <c r="AT23" s="788">
        <v>40</v>
      </c>
      <c r="AU23" s="788">
        <v>20</v>
      </c>
      <c r="AV23" s="935">
        <f t="shared" si="16"/>
        <v>60</v>
      </c>
      <c r="AW23" s="913">
        <f t="shared" si="17"/>
        <v>3</v>
      </c>
      <c r="AX23" s="788">
        <v>40</v>
      </c>
      <c r="AY23" s="788">
        <v>22</v>
      </c>
      <c r="AZ23" s="935">
        <f t="shared" si="18"/>
        <v>62</v>
      </c>
      <c r="BA23" s="913">
        <f t="shared" si="19"/>
        <v>3.1</v>
      </c>
      <c r="BB23" s="788">
        <v>48</v>
      </c>
      <c r="BC23" s="788">
        <v>20</v>
      </c>
      <c r="BD23" s="935">
        <f t="shared" si="20"/>
        <v>68</v>
      </c>
      <c r="BE23" s="913">
        <f t="shared" si="21"/>
        <v>3.4</v>
      </c>
      <c r="BF23" s="788">
        <v>43</v>
      </c>
      <c r="BG23" s="788">
        <v>21</v>
      </c>
      <c r="BH23" s="935">
        <f t="shared" si="22"/>
        <v>64</v>
      </c>
      <c r="BI23" s="913">
        <f t="shared" si="23"/>
        <v>3.2</v>
      </c>
      <c r="BJ23" s="590"/>
      <c r="BK23" s="788">
        <v>37</v>
      </c>
      <c r="BL23" s="788">
        <v>22</v>
      </c>
      <c r="BM23" s="788">
        <f t="shared" si="24"/>
        <v>13.2</v>
      </c>
      <c r="BN23" s="913">
        <v>13</v>
      </c>
      <c r="BO23" s="788">
        <v>46</v>
      </c>
      <c r="BP23" s="788">
        <v>22</v>
      </c>
      <c r="BQ23" s="788">
        <f t="shared" si="25"/>
        <v>13.2</v>
      </c>
      <c r="BR23" s="913">
        <v>13</v>
      </c>
      <c r="BS23" s="788">
        <v>49</v>
      </c>
      <c r="BT23" s="788">
        <v>22</v>
      </c>
      <c r="BU23" s="788">
        <f t="shared" si="26"/>
        <v>13.2</v>
      </c>
      <c r="BV23" s="913">
        <v>13</v>
      </c>
      <c r="BW23" s="788">
        <v>38</v>
      </c>
      <c r="BX23" s="788">
        <v>23</v>
      </c>
      <c r="BY23" s="788">
        <f t="shared" si="27"/>
        <v>13.799999999999999</v>
      </c>
      <c r="BZ23" s="913">
        <v>14</v>
      </c>
      <c r="CA23" s="788">
        <v>35</v>
      </c>
      <c r="CB23" s="788">
        <v>22</v>
      </c>
      <c r="CC23" s="788">
        <f t="shared" si="28"/>
        <v>13.2</v>
      </c>
      <c r="CD23" s="913">
        <v>13</v>
      </c>
      <c r="CE23" s="788">
        <v>36</v>
      </c>
      <c r="CF23" s="788">
        <v>23</v>
      </c>
      <c r="CG23" s="788">
        <f t="shared" si="29"/>
        <v>13.799999999999999</v>
      </c>
      <c r="CH23" s="913">
        <v>14</v>
      </c>
      <c r="CI23" s="935">
        <f t="shared" si="30"/>
        <v>507.59999999999997</v>
      </c>
    </row>
    <row r="24" spans="1:94" s="795" customFormat="1" ht="22.4" customHeight="1">
      <c r="A24" s="791">
        <v>9020</v>
      </c>
      <c r="B24" s="792" t="s">
        <v>3398</v>
      </c>
      <c r="C24" s="792" t="s">
        <v>2788</v>
      </c>
      <c r="D24" s="792" t="s">
        <v>2802</v>
      </c>
      <c r="E24" s="792" t="s">
        <v>2813</v>
      </c>
      <c r="F24" s="792" t="s">
        <v>2826</v>
      </c>
      <c r="G24" s="791">
        <v>109734244</v>
      </c>
      <c r="H24" s="791">
        <v>581</v>
      </c>
      <c r="I24" s="793" t="s">
        <v>2907</v>
      </c>
      <c r="J24" s="794" t="s">
        <v>2204</v>
      </c>
      <c r="K24" s="793" t="s">
        <v>2059</v>
      </c>
      <c r="L24" s="917"/>
      <c r="M24" s="925">
        <v>62</v>
      </c>
      <c r="N24" s="590">
        <v>24</v>
      </c>
      <c r="O24" s="800">
        <f t="shared" si="0"/>
        <v>86</v>
      </c>
      <c r="P24" s="913">
        <f t="shared" si="1"/>
        <v>4.3</v>
      </c>
      <c r="Q24" s="590">
        <v>65</v>
      </c>
      <c r="R24" s="590">
        <v>24</v>
      </c>
      <c r="S24" s="800">
        <f t="shared" si="2"/>
        <v>89</v>
      </c>
      <c r="T24" s="913">
        <f t="shared" si="3"/>
        <v>4.45</v>
      </c>
      <c r="U24" s="590">
        <v>69</v>
      </c>
      <c r="V24" s="590">
        <v>24</v>
      </c>
      <c r="W24" s="800">
        <f t="shared" si="4"/>
        <v>93</v>
      </c>
      <c r="X24" s="913">
        <f t="shared" si="5"/>
        <v>4.6500000000000004</v>
      </c>
      <c r="Y24" s="590">
        <v>56</v>
      </c>
      <c r="Z24" s="590">
        <v>24</v>
      </c>
      <c r="AA24" s="800">
        <f t="shared" si="6"/>
        <v>80</v>
      </c>
      <c r="AB24" s="913">
        <f t="shared" si="7"/>
        <v>4</v>
      </c>
      <c r="AC24" s="590">
        <v>55</v>
      </c>
      <c r="AD24" s="590">
        <v>25</v>
      </c>
      <c r="AE24" s="800">
        <f t="shared" si="8"/>
        <v>80</v>
      </c>
      <c r="AF24" s="913">
        <f t="shared" si="9"/>
        <v>4</v>
      </c>
      <c r="AG24" s="590">
        <v>59</v>
      </c>
      <c r="AH24" s="590">
        <v>24</v>
      </c>
      <c r="AI24" s="800">
        <f t="shared" si="10"/>
        <v>83</v>
      </c>
      <c r="AJ24" s="924">
        <f t="shared" si="11"/>
        <v>4.1500000000000004</v>
      </c>
      <c r="AK24" s="789"/>
      <c r="AL24" s="590">
        <v>59</v>
      </c>
      <c r="AM24" s="590">
        <v>24</v>
      </c>
      <c r="AN24" s="935">
        <f t="shared" si="12"/>
        <v>83</v>
      </c>
      <c r="AO24" s="913">
        <f t="shared" si="13"/>
        <v>4.1500000000000004</v>
      </c>
      <c r="AP24" s="590">
        <v>62</v>
      </c>
      <c r="AQ24" s="590">
        <v>24</v>
      </c>
      <c r="AR24" s="935">
        <f t="shared" si="14"/>
        <v>86</v>
      </c>
      <c r="AS24" s="913">
        <f t="shared" si="15"/>
        <v>4.3</v>
      </c>
      <c r="AT24" s="590">
        <v>61</v>
      </c>
      <c r="AU24" s="590">
        <v>24</v>
      </c>
      <c r="AV24" s="935">
        <f t="shared" si="16"/>
        <v>85</v>
      </c>
      <c r="AW24" s="913">
        <f t="shared" si="17"/>
        <v>4.25</v>
      </c>
      <c r="AX24" s="590">
        <v>57</v>
      </c>
      <c r="AY24" s="590">
        <v>24</v>
      </c>
      <c r="AZ24" s="935">
        <f t="shared" si="18"/>
        <v>81</v>
      </c>
      <c r="BA24" s="913">
        <f t="shared" si="19"/>
        <v>4.05</v>
      </c>
      <c r="BB24" s="590">
        <v>52</v>
      </c>
      <c r="BC24" s="590">
        <v>24</v>
      </c>
      <c r="BD24" s="935">
        <f t="shared" si="20"/>
        <v>76</v>
      </c>
      <c r="BE24" s="913">
        <f t="shared" si="21"/>
        <v>3.8</v>
      </c>
      <c r="BF24" s="590">
        <v>55</v>
      </c>
      <c r="BG24" s="590">
        <v>23</v>
      </c>
      <c r="BH24" s="935">
        <f t="shared" si="22"/>
        <v>78</v>
      </c>
      <c r="BI24" s="913">
        <f t="shared" si="23"/>
        <v>3.9</v>
      </c>
      <c r="BJ24" s="590"/>
      <c r="BK24" s="590">
        <v>61</v>
      </c>
      <c r="BL24" s="590">
        <v>23</v>
      </c>
      <c r="BM24" s="788">
        <f t="shared" si="24"/>
        <v>13.799999999999999</v>
      </c>
      <c r="BN24" s="913">
        <v>14</v>
      </c>
      <c r="BO24" s="590">
        <v>71</v>
      </c>
      <c r="BP24" s="590">
        <v>25</v>
      </c>
      <c r="BQ24" s="788">
        <f t="shared" si="25"/>
        <v>15</v>
      </c>
      <c r="BR24" s="938">
        <v>15</v>
      </c>
      <c r="BS24" s="590">
        <v>71</v>
      </c>
      <c r="BT24" s="590">
        <v>25</v>
      </c>
      <c r="BU24" s="788">
        <f t="shared" si="26"/>
        <v>15</v>
      </c>
      <c r="BV24" s="938">
        <v>15</v>
      </c>
      <c r="BW24" s="590">
        <v>68</v>
      </c>
      <c r="BX24" s="590">
        <v>25</v>
      </c>
      <c r="BY24" s="788">
        <f t="shared" si="27"/>
        <v>15</v>
      </c>
      <c r="BZ24" s="938">
        <v>15</v>
      </c>
      <c r="CA24" s="590">
        <v>60</v>
      </c>
      <c r="CB24" s="590">
        <v>24</v>
      </c>
      <c r="CC24" s="788">
        <f t="shared" si="28"/>
        <v>14.399999999999999</v>
      </c>
      <c r="CD24" s="938">
        <v>14</v>
      </c>
      <c r="CE24" s="590">
        <v>59</v>
      </c>
      <c r="CF24" s="590">
        <v>24</v>
      </c>
      <c r="CG24" s="788">
        <f t="shared" si="29"/>
        <v>14.399999999999999</v>
      </c>
      <c r="CH24" s="938">
        <v>14</v>
      </c>
      <c r="CI24" s="935">
        <f t="shared" si="30"/>
        <v>682.19999999999993</v>
      </c>
    </row>
    <row r="25" spans="1:94" s="790" customFormat="1" ht="22.4" customHeight="1">
      <c r="A25" s="784">
        <v>9021</v>
      </c>
      <c r="B25" s="785" t="s">
        <v>3399</v>
      </c>
      <c r="C25" s="785" t="s">
        <v>2789</v>
      </c>
      <c r="D25" s="785" t="s">
        <v>321</v>
      </c>
      <c r="E25" s="785" t="s">
        <v>2814</v>
      </c>
      <c r="F25" s="785" t="s">
        <v>2827</v>
      </c>
      <c r="G25" s="784">
        <v>108205432</v>
      </c>
      <c r="H25" s="784">
        <v>627</v>
      </c>
      <c r="I25" s="786" t="s">
        <v>2906</v>
      </c>
      <c r="J25" s="787" t="s">
        <v>2204</v>
      </c>
      <c r="K25" s="786" t="s">
        <v>2059</v>
      </c>
      <c r="L25" s="916"/>
      <c r="M25" s="923">
        <v>49</v>
      </c>
      <c r="N25" s="788">
        <v>24</v>
      </c>
      <c r="O25" s="800">
        <f t="shared" si="0"/>
        <v>73</v>
      </c>
      <c r="P25" s="913">
        <f t="shared" si="1"/>
        <v>3.65</v>
      </c>
      <c r="Q25" s="788">
        <v>44</v>
      </c>
      <c r="R25" s="788">
        <v>24</v>
      </c>
      <c r="S25" s="800">
        <f t="shared" si="2"/>
        <v>68</v>
      </c>
      <c r="T25" s="913">
        <f t="shared" si="3"/>
        <v>3.4</v>
      </c>
      <c r="U25" s="788">
        <v>51</v>
      </c>
      <c r="V25" s="788">
        <v>24</v>
      </c>
      <c r="W25" s="800">
        <f t="shared" si="4"/>
        <v>75</v>
      </c>
      <c r="X25" s="913">
        <f t="shared" si="5"/>
        <v>3.75</v>
      </c>
      <c r="Y25" s="788">
        <v>48</v>
      </c>
      <c r="Z25" s="788">
        <v>24</v>
      </c>
      <c r="AA25" s="800">
        <f t="shared" si="6"/>
        <v>72</v>
      </c>
      <c r="AB25" s="913">
        <f t="shared" si="7"/>
        <v>3.6</v>
      </c>
      <c r="AC25" s="788">
        <v>49</v>
      </c>
      <c r="AD25" s="788">
        <v>24</v>
      </c>
      <c r="AE25" s="800">
        <f t="shared" si="8"/>
        <v>73</v>
      </c>
      <c r="AF25" s="913">
        <f t="shared" si="9"/>
        <v>3.65</v>
      </c>
      <c r="AG25" s="788">
        <v>50</v>
      </c>
      <c r="AH25" s="788">
        <v>23</v>
      </c>
      <c r="AI25" s="800">
        <f t="shared" si="10"/>
        <v>73</v>
      </c>
      <c r="AJ25" s="924">
        <f t="shared" si="11"/>
        <v>3.65</v>
      </c>
      <c r="AK25" s="789"/>
      <c r="AL25" s="788">
        <v>48</v>
      </c>
      <c r="AM25" s="788">
        <v>23</v>
      </c>
      <c r="AN25" s="935">
        <f t="shared" si="12"/>
        <v>71</v>
      </c>
      <c r="AO25" s="913">
        <f t="shared" si="13"/>
        <v>3.55</v>
      </c>
      <c r="AP25" s="788">
        <v>42</v>
      </c>
      <c r="AQ25" s="788">
        <v>23</v>
      </c>
      <c r="AR25" s="935">
        <f t="shared" si="14"/>
        <v>65</v>
      </c>
      <c r="AS25" s="913">
        <f t="shared" si="15"/>
        <v>3.25</v>
      </c>
      <c r="AT25" s="788">
        <v>50</v>
      </c>
      <c r="AU25" s="788">
        <v>23</v>
      </c>
      <c r="AV25" s="935">
        <f t="shared" si="16"/>
        <v>73</v>
      </c>
      <c r="AW25" s="913">
        <f t="shared" si="17"/>
        <v>3.65</v>
      </c>
      <c r="AX25" s="788">
        <v>46</v>
      </c>
      <c r="AY25" s="788">
        <v>22</v>
      </c>
      <c r="AZ25" s="935">
        <f t="shared" si="18"/>
        <v>68</v>
      </c>
      <c r="BA25" s="913">
        <f t="shared" si="19"/>
        <v>3.4</v>
      </c>
      <c r="BB25" s="788">
        <v>45</v>
      </c>
      <c r="BC25" s="788">
        <v>23</v>
      </c>
      <c r="BD25" s="935">
        <f t="shared" si="20"/>
        <v>68</v>
      </c>
      <c r="BE25" s="913">
        <f t="shared" si="21"/>
        <v>3.4</v>
      </c>
      <c r="BF25" s="788">
        <v>42</v>
      </c>
      <c r="BG25" s="788">
        <v>22</v>
      </c>
      <c r="BH25" s="935">
        <f t="shared" si="22"/>
        <v>64</v>
      </c>
      <c r="BI25" s="913">
        <f t="shared" si="23"/>
        <v>3.2</v>
      </c>
      <c r="BJ25" s="590"/>
      <c r="BK25" s="788">
        <v>39</v>
      </c>
      <c r="BL25" s="788">
        <v>23</v>
      </c>
      <c r="BM25" s="788">
        <f t="shared" si="24"/>
        <v>13.799999999999999</v>
      </c>
      <c r="BN25" s="913">
        <v>14</v>
      </c>
      <c r="BO25" s="788">
        <v>49</v>
      </c>
      <c r="BP25" s="788">
        <v>23</v>
      </c>
      <c r="BQ25" s="788">
        <f t="shared" si="25"/>
        <v>13.799999999999999</v>
      </c>
      <c r="BR25" s="913">
        <v>14</v>
      </c>
      <c r="BS25" s="788">
        <v>59</v>
      </c>
      <c r="BT25" s="788">
        <v>24</v>
      </c>
      <c r="BU25" s="788">
        <f t="shared" si="26"/>
        <v>14.399999999999999</v>
      </c>
      <c r="BV25" s="913">
        <v>14</v>
      </c>
      <c r="BW25" s="788">
        <v>41</v>
      </c>
      <c r="BX25" s="788">
        <v>23</v>
      </c>
      <c r="BY25" s="788">
        <f t="shared" si="27"/>
        <v>13.799999999999999</v>
      </c>
      <c r="BZ25" s="913">
        <v>14</v>
      </c>
      <c r="CA25" s="788">
        <v>40</v>
      </c>
      <c r="CB25" s="788">
        <v>23</v>
      </c>
      <c r="CC25" s="788">
        <f t="shared" si="28"/>
        <v>13.799999999999999</v>
      </c>
      <c r="CD25" s="913">
        <v>14</v>
      </c>
      <c r="CE25" s="788">
        <v>43</v>
      </c>
      <c r="CF25" s="788">
        <v>23</v>
      </c>
      <c r="CG25" s="788">
        <f t="shared" si="29"/>
        <v>13.799999999999999</v>
      </c>
      <c r="CH25" s="913">
        <v>14</v>
      </c>
      <c r="CI25" s="935">
        <f t="shared" si="30"/>
        <v>549.6</v>
      </c>
    </row>
    <row r="26" spans="1:94" s="795" customFormat="1" ht="22.4" customHeight="1">
      <c r="A26" s="791">
        <v>9022</v>
      </c>
      <c r="B26" s="792" t="s">
        <v>3400</v>
      </c>
      <c r="C26" s="792" t="s">
        <v>2790</v>
      </c>
      <c r="D26" s="792" t="s">
        <v>24</v>
      </c>
      <c r="E26" s="792" t="s">
        <v>2815</v>
      </c>
      <c r="F26" s="796">
        <v>41160</v>
      </c>
      <c r="G26" s="791">
        <v>111727180</v>
      </c>
      <c r="H26" s="791">
        <v>927</v>
      </c>
      <c r="I26" s="793" t="s">
        <v>2908</v>
      </c>
      <c r="J26" s="794" t="s">
        <v>2204</v>
      </c>
      <c r="K26" s="793" t="s">
        <v>2059</v>
      </c>
      <c r="L26" s="917"/>
      <c r="M26" s="925">
        <v>44</v>
      </c>
      <c r="N26" s="590">
        <v>23</v>
      </c>
      <c r="O26" s="800">
        <f t="shared" si="0"/>
        <v>67</v>
      </c>
      <c r="P26" s="913">
        <f t="shared" si="1"/>
        <v>3.35</v>
      </c>
      <c r="Q26" s="590">
        <v>48</v>
      </c>
      <c r="R26" s="590">
        <v>23</v>
      </c>
      <c r="S26" s="800">
        <f t="shared" si="2"/>
        <v>71</v>
      </c>
      <c r="T26" s="913">
        <f t="shared" si="3"/>
        <v>3.55</v>
      </c>
      <c r="U26" s="590">
        <v>41</v>
      </c>
      <c r="V26" s="590">
        <v>21</v>
      </c>
      <c r="W26" s="800">
        <f t="shared" si="4"/>
        <v>62</v>
      </c>
      <c r="X26" s="913">
        <f t="shared" si="5"/>
        <v>3.1</v>
      </c>
      <c r="Y26" s="590">
        <v>42</v>
      </c>
      <c r="Z26" s="590">
        <v>21</v>
      </c>
      <c r="AA26" s="800">
        <f t="shared" si="6"/>
        <v>63</v>
      </c>
      <c r="AB26" s="913">
        <f t="shared" si="7"/>
        <v>3.15</v>
      </c>
      <c r="AC26" s="590">
        <v>43</v>
      </c>
      <c r="AD26" s="590">
        <v>22</v>
      </c>
      <c r="AE26" s="800">
        <f t="shared" si="8"/>
        <v>65</v>
      </c>
      <c r="AF26" s="913">
        <f t="shared" si="9"/>
        <v>3.25</v>
      </c>
      <c r="AG26" s="590">
        <v>40</v>
      </c>
      <c r="AH26" s="590">
        <v>21</v>
      </c>
      <c r="AI26" s="800">
        <f t="shared" si="10"/>
        <v>61</v>
      </c>
      <c r="AJ26" s="924">
        <f t="shared" si="11"/>
        <v>3.05</v>
      </c>
      <c r="AK26" s="789"/>
      <c r="AL26" s="590">
        <v>42</v>
      </c>
      <c r="AM26" s="590">
        <v>23</v>
      </c>
      <c r="AN26" s="935">
        <f t="shared" si="12"/>
        <v>65</v>
      </c>
      <c r="AO26" s="913">
        <f t="shared" si="13"/>
        <v>3.25</v>
      </c>
      <c r="AP26" s="590">
        <v>44</v>
      </c>
      <c r="AQ26" s="590">
        <v>23</v>
      </c>
      <c r="AR26" s="935">
        <f t="shared" si="14"/>
        <v>67</v>
      </c>
      <c r="AS26" s="913">
        <f t="shared" si="15"/>
        <v>3.35</v>
      </c>
      <c r="AT26" s="590">
        <v>47</v>
      </c>
      <c r="AU26" s="590">
        <v>23</v>
      </c>
      <c r="AV26" s="935">
        <f t="shared" si="16"/>
        <v>70</v>
      </c>
      <c r="AW26" s="913">
        <f t="shared" si="17"/>
        <v>3.5</v>
      </c>
      <c r="AX26" s="590">
        <v>39</v>
      </c>
      <c r="AY26" s="590">
        <v>22</v>
      </c>
      <c r="AZ26" s="935">
        <f t="shared" si="18"/>
        <v>61</v>
      </c>
      <c r="BA26" s="913">
        <f t="shared" si="19"/>
        <v>3.05</v>
      </c>
      <c r="BB26" s="590">
        <v>40</v>
      </c>
      <c r="BC26" s="590">
        <v>21</v>
      </c>
      <c r="BD26" s="935">
        <f t="shared" si="20"/>
        <v>61</v>
      </c>
      <c r="BE26" s="913">
        <f t="shared" si="21"/>
        <v>3.05</v>
      </c>
      <c r="BF26" s="590">
        <v>44</v>
      </c>
      <c r="BG26" s="590">
        <v>20</v>
      </c>
      <c r="BH26" s="935">
        <f t="shared" si="22"/>
        <v>64</v>
      </c>
      <c r="BI26" s="913">
        <f t="shared" si="23"/>
        <v>3.2</v>
      </c>
      <c r="BJ26" s="590"/>
      <c r="BK26" s="590">
        <v>51</v>
      </c>
      <c r="BL26" s="590">
        <v>23</v>
      </c>
      <c r="BM26" s="788">
        <f t="shared" si="24"/>
        <v>13.799999999999999</v>
      </c>
      <c r="BN26" s="913">
        <v>14</v>
      </c>
      <c r="BO26" s="590">
        <v>48</v>
      </c>
      <c r="BP26" s="590">
        <v>24</v>
      </c>
      <c r="BQ26" s="788">
        <f t="shared" si="25"/>
        <v>14.399999999999999</v>
      </c>
      <c r="BR26" s="938">
        <v>14</v>
      </c>
      <c r="BS26" s="590">
        <v>58</v>
      </c>
      <c r="BT26" s="590">
        <v>22</v>
      </c>
      <c r="BU26" s="788">
        <f t="shared" si="26"/>
        <v>13.2</v>
      </c>
      <c r="BV26" s="938">
        <v>13</v>
      </c>
      <c r="BW26" s="590">
        <v>38</v>
      </c>
      <c r="BX26" s="590">
        <v>24</v>
      </c>
      <c r="BY26" s="788">
        <f t="shared" si="27"/>
        <v>14.399999999999999</v>
      </c>
      <c r="BZ26" s="938">
        <v>14</v>
      </c>
      <c r="CA26" s="590">
        <v>36</v>
      </c>
      <c r="CB26" s="590">
        <v>20</v>
      </c>
      <c r="CC26" s="788">
        <f t="shared" si="28"/>
        <v>12</v>
      </c>
      <c r="CD26" s="938">
        <v>12</v>
      </c>
      <c r="CE26" s="590">
        <v>42</v>
      </c>
      <c r="CF26" s="590">
        <v>23</v>
      </c>
      <c r="CG26" s="788">
        <f t="shared" si="29"/>
        <v>13.799999999999999</v>
      </c>
      <c r="CH26" s="938">
        <v>14</v>
      </c>
      <c r="CI26" s="935">
        <f t="shared" si="30"/>
        <v>543.79999999999995</v>
      </c>
    </row>
    <row r="27" spans="1:94" s="790" customFormat="1" ht="22.4" customHeight="1">
      <c r="A27" s="784">
        <v>9023</v>
      </c>
      <c r="B27" s="785" t="s">
        <v>3401</v>
      </c>
      <c r="C27" s="785" t="s">
        <v>2791</v>
      </c>
      <c r="D27" s="785" t="s">
        <v>2803</v>
      </c>
      <c r="E27" s="785" t="s">
        <v>2370</v>
      </c>
      <c r="F27" s="797">
        <v>40735</v>
      </c>
      <c r="G27" s="784">
        <v>199084565</v>
      </c>
      <c r="H27" s="784">
        <v>583</v>
      </c>
      <c r="I27" s="786" t="s">
        <v>2905</v>
      </c>
      <c r="J27" s="787" t="s">
        <v>2204</v>
      </c>
      <c r="K27" s="786" t="s">
        <v>2059</v>
      </c>
      <c r="L27" s="916"/>
      <c r="M27" s="923">
        <v>45</v>
      </c>
      <c r="N27" s="788">
        <v>23</v>
      </c>
      <c r="O27" s="800">
        <f t="shared" si="0"/>
        <v>68</v>
      </c>
      <c r="P27" s="913">
        <f t="shared" si="1"/>
        <v>3.4</v>
      </c>
      <c r="Q27" s="788">
        <v>41</v>
      </c>
      <c r="R27" s="788">
        <v>21</v>
      </c>
      <c r="S27" s="800">
        <f t="shared" si="2"/>
        <v>62</v>
      </c>
      <c r="T27" s="913">
        <f t="shared" si="3"/>
        <v>3.1</v>
      </c>
      <c r="U27" s="788">
        <v>44</v>
      </c>
      <c r="V27" s="788">
        <v>24</v>
      </c>
      <c r="W27" s="800">
        <f t="shared" si="4"/>
        <v>68</v>
      </c>
      <c r="X27" s="913">
        <f t="shared" si="5"/>
        <v>3.4</v>
      </c>
      <c r="Y27" s="788">
        <v>39</v>
      </c>
      <c r="Z27" s="788">
        <v>22</v>
      </c>
      <c r="AA27" s="800">
        <f t="shared" si="6"/>
        <v>61</v>
      </c>
      <c r="AB27" s="913">
        <f t="shared" si="7"/>
        <v>3.05</v>
      </c>
      <c r="AC27" s="788">
        <v>44</v>
      </c>
      <c r="AD27" s="788">
        <v>20</v>
      </c>
      <c r="AE27" s="800">
        <f t="shared" si="8"/>
        <v>64</v>
      </c>
      <c r="AF27" s="913">
        <f t="shared" si="9"/>
        <v>3.2</v>
      </c>
      <c r="AG27" s="788">
        <v>45</v>
      </c>
      <c r="AH27" s="788">
        <v>22</v>
      </c>
      <c r="AI27" s="800">
        <f t="shared" si="10"/>
        <v>67</v>
      </c>
      <c r="AJ27" s="924">
        <f t="shared" si="11"/>
        <v>3.35</v>
      </c>
      <c r="AK27" s="789"/>
      <c r="AL27" s="788">
        <v>43</v>
      </c>
      <c r="AM27" s="788">
        <v>23</v>
      </c>
      <c r="AN27" s="935">
        <f t="shared" si="12"/>
        <v>66</v>
      </c>
      <c r="AO27" s="913">
        <f t="shared" si="13"/>
        <v>3.3</v>
      </c>
      <c r="AP27" s="788">
        <v>42</v>
      </c>
      <c r="AQ27" s="788">
        <v>22</v>
      </c>
      <c r="AR27" s="935">
        <f t="shared" si="14"/>
        <v>64</v>
      </c>
      <c r="AS27" s="913">
        <f t="shared" si="15"/>
        <v>3.2</v>
      </c>
      <c r="AT27" s="788">
        <v>46</v>
      </c>
      <c r="AU27" s="788">
        <v>23</v>
      </c>
      <c r="AV27" s="935">
        <f t="shared" si="16"/>
        <v>69</v>
      </c>
      <c r="AW27" s="913">
        <f t="shared" si="17"/>
        <v>3.45</v>
      </c>
      <c r="AX27" s="788">
        <v>38</v>
      </c>
      <c r="AY27" s="788">
        <v>22</v>
      </c>
      <c r="AZ27" s="935">
        <f t="shared" si="18"/>
        <v>60</v>
      </c>
      <c r="BA27" s="913">
        <f t="shared" si="19"/>
        <v>3</v>
      </c>
      <c r="BB27" s="788">
        <v>45</v>
      </c>
      <c r="BC27" s="788">
        <v>21</v>
      </c>
      <c r="BD27" s="935">
        <f t="shared" si="20"/>
        <v>66</v>
      </c>
      <c r="BE27" s="913">
        <f t="shared" si="21"/>
        <v>3.3</v>
      </c>
      <c r="BF27" s="788">
        <v>43</v>
      </c>
      <c r="BG27" s="788">
        <v>20</v>
      </c>
      <c r="BH27" s="935">
        <f t="shared" si="22"/>
        <v>63</v>
      </c>
      <c r="BI27" s="913">
        <f t="shared" si="23"/>
        <v>3.15</v>
      </c>
      <c r="BJ27" s="590"/>
      <c r="BK27" s="788">
        <v>46</v>
      </c>
      <c r="BL27" s="788">
        <v>23</v>
      </c>
      <c r="BM27" s="788">
        <f t="shared" si="24"/>
        <v>13.799999999999999</v>
      </c>
      <c r="BN27" s="913">
        <v>14</v>
      </c>
      <c r="BO27" s="788">
        <v>45</v>
      </c>
      <c r="BP27" s="788">
        <v>23</v>
      </c>
      <c r="BQ27" s="788">
        <f t="shared" si="25"/>
        <v>13.799999999999999</v>
      </c>
      <c r="BR27" s="913">
        <v>14</v>
      </c>
      <c r="BS27" s="788">
        <v>53</v>
      </c>
      <c r="BT27" s="788">
        <v>23</v>
      </c>
      <c r="BU27" s="788">
        <f t="shared" si="26"/>
        <v>13.799999999999999</v>
      </c>
      <c r="BV27" s="913">
        <v>14</v>
      </c>
      <c r="BW27" s="788">
        <v>37</v>
      </c>
      <c r="BX27" s="788">
        <v>24</v>
      </c>
      <c r="BY27" s="788">
        <f t="shared" si="27"/>
        <v>14.399999999999999</v>
      </c>
      <c r="BZ27" s="913">
        <v>14</v>
      </c>
      <c r="CA27" s="788">
        <v>35</v>
      </c>
      <c r="CB27" s="788">
        <v>22</v>
      </c>
      <c r="CC27" s="788">
        <f t="shared" si="28"/>
        <v>13.2</v>
      </c>
      <c r="CD27" s="913">
        <v>13</v>
      </c>
      <c r="CE27" s="788">
        <v>41</v>
      </c>
      <c r="CF27" s="788">
        <v>23</v>
      </c>
      <c r="CG27" s="788">
        <f t="shared" si="29"/>
        <v>13.799999999999999</v>
      </c>
      <c r="CH27" s="913">
        <v>14</v>
      </c>
      <c r="CI27" s="935">
        <f t="shared" si="30"/>
        <v>533</v>
      </c>
    </row>
    <row r="28" spans="1:94" s="799" customFormat="1" ht="22.4" customHeight="1">
      <c r="A28" s="791">
        <v>9024</v>
      </c>
      <c r="B28" s="792" t="s">
        <v>3402</v>
      </c>
      <c r="C28" s="792" t="s">
        <v>2792</v>
      </c>
      <c r="D28" s="792" t="s">
        <v>2802</v>
      </c>
      <c r="E28" s="792" t="s">
        <v>2813</v>
      </c>
      <c r="F28" s="792" t="s">
        <v>2826</v>
      </c>
      <c r="G28" s="791">
        <v>109736729</v>
      </c>
      <c r="H28" s="791">
        <v>582</v>
      </c>
      <c r="I28" s="793" t="s">
        <v>2907</v>
      </c>
      <c r="J28" s="794" t="s">
        <v>2204</v>
      </c>
      <c r="K28" s="793" t="s">
        <v>2059</v>
      </c>
      <c r="L28" s="917"/>
      <c r="M28" s="926">
        <v>41</v>
      </c>
      <c r="N28" s="590">
        <v>23</v>
      </c>
      <c r="O28" s="800">
        <f t="shared" si="0"/>
        <v>64</v>
      </c>
      <c r="P28" s="913">
        <f t="shared" si="1"/>
        <v>3.2</v>
      </c>
      <c r="Q28" s="798">
        <v>39</v>
      </c>
      <c r="R28" s="798">
        <v>21</v>
      </c>
      <c r="S28" s="800">
        <f t="shared" si="2"/>
        <v>60</v>
      </c>
      <c r="T28" s="913">
        <f t="shared" si="3"/>
        <v>3</v>
      </c>
      <c r="U28" s="798">
        <v>42</v>
      </c>
      <c r="V28" s="798">
        <v>24</v>
      </c>
      <c r="W28" s="800">
        <f t="shared" si="4"/>
        <v>66</v>
      </c>
      <c r="X28" s="913">
        <f t="shared" si="5"/>
        <v>3.3</v>
      </c>
      <c r="Y28" s="798">
        <v>38</v>
      </c>
      <c r="Z28" s="798">
        <v>22</v>
      </c>
      <c r="AA28" s="800">
        <f t="shared" si="6"/>
        <v>60</v>
      </c>
      <c r="AB28" s="913">
        <f t="shared" si="7"/>
        <v>3</v>
      </c>
      <c r="AC28" s="798">
        <v>43</v>
      </c>
      <c r="AD28" s="798">
        <v>22</v>
      </c>
      <c r="AE28" s="800">
        <f t="shared" si="8"/>
        <v>65</v>
      </c>
      <c r="AF28" s="913">
        <f t="shared" si="9"/>
        <v>3.25</v>
      </c>
      <c r="AG28" s="798">
        <v>44</v>
      </c>
      <c r="AH28" s="798">
        <v>23</v>
      </c>
      <c r="AI28" s="800">
        <f t="shared" si="10"/>
        <v>67</v>
      </c>
      <c r="AJ28" s="924">
        <f t="shared" si="11"/>
        <v>3.35</v>
      </c>
      <c r="AK28" s="789"/>
      <c r="AL28" s="798">
        <v>42</v>
      </c>
      <c r="AM28" s="798">
        <v>22</v>
      </c>
      <c r="AN28" s="935">
        <f t="shared" si="12"/>
        <v>64</v>
      </c>
      <c r="AO28" s="913">
        <f t="shared" si="13"/>
        <v>3.2</v>
      </c>
      <c r="AP28" s="798">
        <v>39</v>
      </c>
      <c r="AQ28" s="798">
        <v>23</v>
      </c>
      <c r="AR28" s="935">
        <f t="shared" si="14"/>
        <v>62</v>
      </c>
      <c r="AS28" s="913">
        <f t="shared" si="15"/>
        <v>3.1</v>
      </c>
      <c r="AT28" s="798">
        <v>43</v>
      </c>
      <c r="AU28" s="798">
        <v>22</v>
      </c>
      <c r="AV28" s="935">
        <f t="shared" si="16"/>
        <v>65</v>
      </c>
      <c r="AW28" s="913">
        <f t="shared" si="17"/>
        <v>3.25</v>
      </c>
      <c r="AX28" s="798">
        <v>40</v>
      </c>
      <c r="AY28" s="798">
        <v>23</v>
      </c>
      <c r="AZ28" s="935">
        <f t="shared" si="18"/>
        <v>63</v>
      </c>
      <c r="BA28" s="913">
        <f t="shared" si="19"/>
        <v>3.15</v>
      </c>
      <c r="BB28" s="798">
        <v>39</v>
      </c>
      <c r="BC28" s="798">
        <v>22</v>
      </c>
      <c r="BD28" s="935">
        <f t="shared" si="20"/>
        <v>61</v>
      </c>
      <c r="BE28" s="913">
        <f t="shared" si="21"/>
        <v>3.05</v>
      </c>
      <c r="BF28" s="798">
        <v>40</v>
      </c>
      <c r="BG28" s="798">
        <v>21</v>
      </c>
      <c r="BH28" s="935">
        <f t="shared" si="22"/>
        <v>61</v>
      </c>
      <c r="BI28" s="913">
        <f t="shared" si="23"/>
        <v>3.05</v>
      </c>
      <c r="BJ28" s="798"/>
      <c r="BK28" s="801">
        <v>39</v>
      </c>
      <c r="BL28" s="801">
        <v>23</v>
      </c>
      <c r="BM28" s="788">
        <f t="shared" si="24"/>
        <v>13.799999999999999</v>
      </c>
      <c r="BN28" s="913">
        <v>14</v>
      </c>
      <c r="BO28" s="801">
        <v>43</v>
      </c>
      <c r="BP28" s="801">
        <v>24</v>
      </c>
      <c r="BQ28" s="788">
        <f t="shared" si="25"/>
        <v>14.399999999999999</v>
      </c>
      <c r="BR28" s="938">
        <v>14</v>
      </c>
      <c r="BS28" s="801">
        <v>50</v>
      </c>
      <c r="BT28" s="801">
        <v>22</v>
      </c>
      <c r="BU28" s="788">
        <f t="shared" si="26"/>
        <v>13.2</v>
      </c>
      <c r="BV28" s="938">
        <v>13</v>
      </c>
      <c r="BW28" s="801">
        <v>40</v>
      </c>
      <c r="BX28" s="801">
        <v>23</v>
      </c>
      <c r="BY28" s="788">
        <f t="shared" si="27"/>
        <v>13.799999999999999</v>
      </c>
      <c r="BZ28" s="938">
        <v>14</v>
      </c>
      <c r="CA28" s="801">
        <v>33</v>
      </c>
      <c r="CB28" s="801">
        <v>22</v>
      </c>
      <c r="CC28" s="788">
        <f t="shared" si="28"/>
        <v>13.2</v>
      </c>
      <c r="CD28" s="938">
        <v>13</v>
      </c>
      <c r="CE28" s="801">
        <v>42</v>
      </c>
      <c r="CF28" s="801">
        <v>23</v>
      </c>
      <c r="CG28" s="788">
        <f t="shared" si="29"/>
        <v>13.799999999999999</v>
      </c>
      <c r="CH28" s="938">
        <v>14</v>
      </c>
      <c r="CI28" s="935">
        <f t="shared" si="30"/>
        <v>520.40000000000009</v>
      </c>
    </row>
    <row r="29" spans="1:94" s="790" customFormat="1" ht="22.4" customHeight="1">
      <c r="A29" s="784">
        <v>9025</v>
      </c>
      <c r="B29" s="785" t="s">
        <v>3403</v>
      </c>
      <c r="C29" s="785" t="s">
        <v>2828</v>
      </c>
      <c r="D29" s="785" t="s">
        <v>1458</v>
      </c>
      <c r="E29" s="785" t="s">
        <v>2858</v>
      </c>
      <c r="F29" s="797">
        <v>40911</v>
      </c>
      <c r="G29" s="784">
        <v>109539526</v>
      </c>
      <c r="H29" s="784">
        <v>602</v>
      </c>
      <c r="I29" s="786" t="s">
        <v>2898</v>
      </c>
      <c r="J29" s="787" t="s">
        <v>2204</v>
      </c>
      <c r="K29" s="786" t="s">
        <v>2059</v>
      </c>
      <c r="L29" s="916"/>
      <c r="M29" s="923">
        <v>50</v>
      </c>
      <c r="N29" s="800">
        <v>24</v>
      </c>
      <c r="O29" s="800">
        <f t="shared" si="0"/>
        <v>74</v>
      </c>
      <c r="P29" s="913">
        <f t="shared" si="1"/>
        <v>3.7</v>
      </c>
      <c r="Q29" s="788">
        <v>49</v>
      </c>
      <c r="R29" s="788">
        <v>24</v>
      </c>
      <c r="S29" s="800">
        <f t="shared" si="2"/>
        <v>73</v>
      </c>
      <c r="T29" s="913">
        <f t="shared" si="3"/>
        <v>3.65</v>
      </c>
      <c r="U29" s="788">
        <v>53</v>
      </c>
      <c r="V29" s="788">
        <v>23</v>
      </c>
      <c r="W29" s="800">
        <f t="shared" si="4"/>
        <v>76</v>
      </c>
      <c r="X29" s="913">
        <f t="shared" si="5"/>
        <v>3.8</v>
      </c>
      <c r="Y29" s="788">
        <v>50</v>
      </c>
      <c r="Z29" s="788">
        <v>23</v>
      </c>
      <c r="AA29" s="800">
        <f t="shared" si="6"/>
        <v>73</v>
      </c>
      <c r="AB29" s="913">
        <f t="shared" si="7"/>
        <v>3.65</v>
      </c>
      <c r="AC29" s="788">
        <v>49</v>
      </c>
      <c r="AD29" s="788">
        <v>23</v>
      </c>
      <c r="AE29" s="800">
        <f t="shared" si="8"/>
        <v>72</v>
      </c>
      <c r="AF29" s="913">
        <f t="shared" si="9"/>
        <v>3.6</v>
      </c>
      <c r="AG29" s="788">
        <v>42</v>
      </c>
      <c r="AH29" s="788">
        <v>24</v>
      </c>
      <c r="AI29" s="800">
        <f t="shared" si="10"/>
        <v>66</v>
      </c>
      <c r="AJ29" s="924">
        <f t="shared" si="11"/>
        <v>3.3</v>
      </c>
      <c r="AK29" s="789"/>
      <c r="AL29" s="788">
        <v>48</v>
      </c>
      <c r="AM29" s="788">
        <v>24</v>
      </c>
      <c r="AN29" s="935">
        <f t="shared" si="12"/>
        <v>72</v>
      </c>
      <c r="AO29" s="913">
        <f t="shared" si="13"/>
        <v>3.6</v>
      </c>
      <c r="AP29" s="788">
        <v>47</v>
      </c>
      <c r="AQ29" s="788">
        <v>24</v>
      </c>
      <c r="AR29" s="935">
        <f t="shared" si="14"/>
        <v>71</v>
      </c>
      <c r="AS29" s="913">
        <f t="shared" si="15"/>
        <v>3.55</v>
      </c>
      <c r="AT29" s="788">
        <v>54</v>
      </c>
      <c r="AU29" s="788">
        <v>23</v>
      </c>
      <c r="AV29" s="935">
        <f t="shared" si="16"/>
        <v>77</v>
      </c>
      <c r="AW29" s="913">
        <f t="shared" si="17"/>
        <v>3.85</v>
      </c>
      <c r="AX29" s="788">
        <v>49</v>
      </c>
      <c r="AY29" s="788">
        <v>22</v>
      </c>
      <c r="AZ29" s="935">
        <f t="shared" si="18"/>
        <v>71</v>
      </c>
      <c r="BA29" s="913">
        <f t="shared" si="19"/>
        <v>3.55</v>
      </c>
      <c r="BB29" s="788">
        <v>40</v>
      </c>
      <c r="BC29" s="788">
        <v>24</v>
      </c>
      <c r="BD29" s="935">
        <f t="shared" si="20"/>
        <v>64</v>
      </c>
      <c r="BE29" s="913">
        <f t="shared" si="21"/>
        <v>3.2</v>
      </c>
      <c r="BF29" s="788">
        <v>50</v>
      </c>
      <c r="BG29" s="788">
        <v>22</v>
      </c>
      <c r="BH29" s="935">
        <f t="shared" si="22"/>
        <v>72</v>
      </c>
      <c r="BI29" s="913">
        <f t="shared" si="23"/>
        <v>3.6</v>
      </c>
      <c r="BJ29" s="590"/>
      <c r="BK29" s="788">
        <v>51</v>
      </c>
      <c r="BL29" s="788">
        <v>23</v>
      </c>
      <c r="BM29" s="788">
        <f t="shared" si="24"/>
        <v>13.799999999999999</v>
      </c>
      <c r="BN29" s="913">
        <v>14</v>
      </c>
      <c r="BO29" s="788">
        <v>52</v>
      </c>
      <c r="BP29" s="788">
        <v>24</v>
      </c>
      <c r="BQ29" s="788">
        <f t="shared" si="25"/>
        <v>14.399999999999999</v>
      </c>
      <c r="BR29" s="913">
        <v>14</v>
      </c>
      <c r="BS29" s="788">
        <v>62</v>
      </c>
      <c r="BT29" s="788">
        <v>24</v>
      </c>
      <c r="BU29" s="788">
        <f t="shared" si="26"/>
        <v>14.399999999999999</v>
      </c>
      <c r="BV29" s="913">
        <v>14</v>
      </c>
      <c r="BW29" s="788">
        <v>48</v>
      </c>
      <c r="BX29" s="788">
        <v>24</v>
      </c>
      <c r="BY29" s="788">
        <f t="shared" si="27"/>
        <v>14.399999999999999</v>
      </c>
      <c r="BZ29" s="913">
        <v>14</v>
      </c>
      <c r="CA29" s="788">
        <v>45</v>
      </c>
      <c r="CB29" s="788">
        <v>24</v>
      </c>
      <c r="CC29" s="788">
        <f t="shared" si="28"/>
        <v>14.399999999999999</v>
      </c>
      <c r="CD29" s="913">
        <v>14</v>
      </c>
      <c r="CE29" s="788">
        <v>47</v>
      </c>
      <c r="CF29" s="788">
        <v>24</v>
      </c>
      <c r="CG29" s="788">
        <f t="shared" si="29"/>
        <v>14.399999999999999</v>
      </c>
      <c r="CH29" s="913">
        <v>14</v>
      </c>
      <c r="CI29" s="935">
        <f t="shared" si="30"/>
        <v>589.4</v>
      </c>
    </row>
    <row r="30" spans="1:94" s="795" customFormat="1" ht="22.4" customHeight="1">
      <c r="A30" s="791">
        <v>9026</v>
      </c>
      <c r="B30" s="792" t="s">
        <v>3404</v>
      </c>
      <c r="C30" s="792" t="s">
        <v>2829</v>
      </c>
      <c r="D30" s="792" t="s">
        <v>2850</v>
      </c>
      <c r="E30" s="792" t="s">
        <v>3405</v>
      </c>
      <c r="F30" s="792" t="s">
        <v>2841</v>
      </c>
      <c r="G30" s="791">
        <v>111780839</v>
      </c>
      <c r="H30" s="791">
        <v>633</v>
      </c>
      <c r="I30" s="793" t="s">
        <v>2907</v>
      </c>
      <c r="J30" s="794" t="s">
        <v>2204</v>
      </c>
      <c r="K30" s="793" t="s">
        <v>2059</v>
      </c>
      <c r="L30" s="917"/>
      <c r="M30" s="925">
        <v>39</v>
      </c>
      <c r="N30" s="590">
        <v>22</v>
      </c>
      <c r="O30" s="800">
        <f t="shared" si="0"/>
        <v>61</v>
      </c>
      <c r="P30" s="913">
        <f t="shared" si="1"/>
        <v>3.05</v>
      </c>
      <c r="Q30" s="590">
        <v>40</v>
      </c>
      <c r="R30" s="590">
        <v>21</v>
      </c>
      <c r="S30" s="800">
        <f t="shared" si="2"/>
        <v>61</v>
      </c>
      <c r="T30" s="913">
        <f t="shared" si="3"/>
        <v>3.05</v>
      </c>
      <c r="U30" s="590">
        <v>42</v>
      </c>
      <c r="V30" s="590">
        <v>24</v>
      </c>
      <c r="W30" s="800">
        <f t="shared" si="4"/>
        <v>66</v>
      </c>
      <c r="X30" s="913">
        <f t="shared" si="5"/>
        <v>3.3</v>
      </c>
      <c r="Y30" s="590">
        <v>45</v>
      </c>
      <c r="Z30" s="590">
        <v>22</v>
      </c>
      <c r="AA30" s="800">
        <f t="shared" si="6"/>
        <v>67</v>
      </c>
      <c r="AB30" s="913">
        <f t="shared" si="7"/>
        <v>3.35</v>
      </c>
      <c r="AC30" s="590">
        <v>45</v>
      </c>
      <c r="AD30" s="590">
        <v>20</v>
      </c>
      <c r="AE30" s="800">
        <f t="shared" si="8"/>
        <v>65</v>
      </c>
      <c r="AF30" s="913">
        <f t="shared" si="9"/>
        <v>3.25</v>
      </c>
      <c r="AG30" s="590">
        <v>46</v>
      </c>
      <c r="AH30" s="590">
        <v>20</v>
      </c>
      <c r="AI30" s="800">
        <f t="shared" si="10"/>
        <v>66</v>
      </c>
      <c r="AJ30" s="924">
        <f t="shared" si="11"/>
        <v>3.3</v>
      </c>
      <c r="AK30" s="789"/>
      <c r="AL30" s="590">
        <v>39</v>
      </c>
      <c r="AM30" s="590">
        <v>21</v>
      </c>
      <c r="AN30" s="935">
        <f t="shared" si="12"/>
        <v>60</v>
      </c>
      <c r="AO30" s="913">
        <f t="shared" si="13"/>
        <v>3</v>
      </c>
      <c r="AP30" s="590">
        <v>38</v>
      </c>
      <c r="AQ30" s="590">
        <v>22</v>
      </c>
      <c r="AR30" s="935">
        <f t="shared" si="14"/>
        <v>60</v>
      </c>
      <c r="AS30" s="913">
        <f t="shared" si="15"/>
        <v>3</v>
      </c>
      <c r="AT30" s="590">
        <v>41</v>
      </c>
      <c r="AU30" s="590">
        <v>20</v>
      </c>
      <c r="AV30" s="935">
        <f t="shared" si="16"/>
        <v>61</v>
      </c>
      <c r="AW30" s="913">
        <f t="shared" si="17"/>
        <v>3.05</v>
      </c>
      <c r="AX30" s="590">
        <v>44</v>
      </c>
      <c r="AY30" s="590">
        <v>21</v>
      </c>
      <c r="AZ30" s="935">
        <f t="shared" si="18"/>
        <v>65</v>
      </c>
      <c r="BA30" s="913">
        <f t="shared" si="19"/>
        <v>3.25</v>
      </c>
      <c r="BB30" s="590">
        <v>39</v>
      </c>
      <c r="BC30" s="590">
        <v>21</v>
      </c>
      <c r="BD30" s="935">
        <f t="shared" si="20"/>
        <v>60</v>
      </c>
      <c r="BE30" s="913">
        <f t="shared" si="21"/>
        <v>3</v>
      </c>
      <c r="BF30" s="590">
        <v>42</v>
      </c>
      <c r="BG30" s="590">
        <v>20</v>
      </c>
      <c r="BH30" s="935">
        <f t="shared" si="22"/>
        <v>62</v>
      </c>
      <c r="BI30" s="913">
        <f t="shared" si="23"/>
        <v>3.1</v>
      </c>
      <c r="BJ30" s="590"/>
      <c r="BK30" s="590">
        <v>34</v>
      </c>
      <c r="BL30" s="590">
        <v>22</v>
      </c>
      <c r="BM30" s="788">
        <f t="shared" si="24"/>
        <v>13.2</v>
      </c>
      <c r="BN30" s="913">
        <v>13</v>
      </c>
      <c r="BO30" s="590">
        <v>47</v>
      </c>
      <c r="BP30" s="590">
        <v>23</v>
      </c>
      <c r="BQ30" s="788">
        <f t="shared" si="25"/>
        <v>13.799999999999999</v>
      </c>
      <c r="BR30" s="938">
        <v>14</v>
      </c>
      <c r="BS30" s="590">
        <v>42</v>
      </c>
      <c r="BT30" s="590">
        <v>22</v>
      </c>
      <c r="BU30" s="788">
        <f t="shared" si="26"/>
        <v>13.2</v>
      </c>
      <c r="BV30" s="938">
        <v>13</v>
      </c>
      <c r="BW30" s="590">
        <v>38</v>
      </c>
      <c r="BX30" s="590">
        <v>23</v>
      </c>
      <c r="BY30" s="788">
        <f t="shared" si="27"/>
        <v>13.799999999999999</v>
      </c>
      <c r="BZ30" s="938">
        <v>14</v>
      </c>
      <c r="CA30" s="590">
        <v>30</v>
      </c>
      <c r="CB30" s="590">
        <v>20</v>
      </c>
      <c r="CC30" s="788">
        <f t="shared" si="28"/>
        <v>12</v>
      </c>
      <c r="CD30" s="938">
        <v>12</v>
      </c>
      <c r="CE30" s="590">
        <v>35</v>
      </c>
      <c r="CF30" s="590">
        <v>22</v>
      </c>
      <c r="CG30" s="788">
        <f t="shared" si="29"/>
        <v>13.2</v>
      </c>
      <c r="CH30" s="938">
        <v>13</v>
      </c>
      <c r="CI30" s="935">
        <f t="shared" si="30"/>
        <v>490</v>
      </c>
    </row>
    <row r="31" spans="1:94" s="790" customFormat="1" ht="22.4" customHeight="1">
      <c r="A31" s="784">
        <v>9027</v>
      </c>
      <c r="B31" s="785" t="s">
        <v>3406</v>
      </c>
      <c r="C31" s="785" t="s">
        <v>2830</v>
      </c>
      <c r="D31" s="785" t="s">
        <v>2851</v>
      </c>
      <c r="E31" s="785" t="s">
        <v>2859</v>
      </c>
      <c r="F31" s="797">
        <v>40211</v>
      </c>
      <c r="G31" s="784">
        <v>194426976</v>
      </c>
      <c r="H31" s="784">
        <v>655</v>
      </c>
      <c r="I31" s="786" t="s">
        <v>2897</v>
      </c>
      <c r="J31" s="787" t="s">
        <v>2204</v>
      </c>
      <c r="K31" s="786" t="s">
        <v>2059</v>
      </c>
      <c r="L31" s="916"/>
      <c r="M31" s="923">
        <v>41</v>
      </c>
      <c r="N31" s="788">
        <v>21</v>
      </c>
      <c r="O31" s="800">
        <f t="shared" si="0"/>
        <v>62</v>
      </c>
      <c r="P31" s="913">
        <f t="shared" si="1"/>
        <v>3.1</v>
      </c>
      <c r="Q31" s="788">
        <v>39</v>
      </c>
      <c r="R31" s="788">
        <v>23</v>
      </c>
      <c r="S31" s="800">
        <f t="shared" si="2"/>
        <v>62</v>
      </c>
      <c r="T31" s="913">
        <f t="shared" si="3"/>
        <v>3.1</v>
      </c>
      <c r="U31" s="788">
        <v>42</v>
      </c>
      <c r="V31" s="788">
        <v>23</v>
      </c>
      <c r="W31" s="800">
        <f t="shared" si="4"/>
        <v>65</v>
      </c>
      <c r="X31" s="913">
        <f t="shared" si="5"/>
        <v>3.25</v>
      </c>
      <c r="Y31" s="788">
        <v>51</v>
      </c>
      <c r="Z31" s="788">
        <v>23</v>
      </c>
      <c r="AA31" s="800">
        <f t="shared" si="6"/>
        <v>74</v>
      </c>
      <c r="AB31" s="913">
        <f t="shared" si="7"/>
        <v>3.7</v>
      </c>
      <c r="AC31" s="788">
        <v>41</v>
      </c>
      <c r="AD31" s="788">
        <v>21</v>
      </c>
      <c r="AE31" s="800">
        <f t="shared" si="8"/>
        <v>62</v>
      </c>
      <c r="AF31" s="913">
        <f t="shared" si="9"/>
        <v>3.1</v>
      </c>
      <c r="AG31" s="788">
        <v>45</v>
      </c>
      <c r="AH31" s="788">
        <v>23</v>
      </c>
      <c r="AI31" s="800">
        <f t="shared" si="10"/>
        <v>68</v>
      </c>
      <c r="AJ31" s="924">
        <f t="shared" si="11"/>
        <v>3.4</v>
      </c>
      <c r="AK31" s="789"/>
      <c r="AL31" s="788">
        <v>40</v>
      </c>
      <c r="AM31" s="788">
        <v>21</v>
      </c>
      <c r="AN31" s="935">
        <f t="shared" si="12"/>
        <v>61</v>
      </c>
      <c r="AO31" s="913">
        <f t="shared" si="13"/>
        <v>3.05</v>
      </c>
      <c r="AP31" s="788">
        <v>39</v>
      </c>
      <c r="AQ31" s="788">
        <v>22</v>
      </c>
      <c r="AR31" s="935">
        <f t="shared" si="14"/>
        <v>61</v>
      </c>
      <c r="AS31" s="913">
        <f t="shared" si="15"/>
        <v>3.05</v>
      </c>
      <c r="AT31" s="788">
        <v>42</v>
      </c>
      <c r="AU31" s="788">
        <v>23</v>
      </c>
      <c r="AV31" s="935">
        <f t="shared" si="16"/>
        <v>65</v>
      </c>
      <c r="AW31" s="913">
        <f t="shared" si="17"/>
        <v>3.25</v>
      </c>
      <c r="AX31" s="788">
        <v>39</v>
      </c>
      <c r="AY31" s="788">
        <v>22</v>
      </c>
      <c r="AZ31" s="935">
        <f t="shared" si="18"/>
        <v>61</v>
      </c>
      <c r="BA31" s="913">
        <f t="shared" si="19"/>
        <v>3.05</v>
      </c>
      <c r="BB31" s="788">
        <v>40</v>
      </c>
      <c r="BC31" s="788">
        <v>20</v>
      </c>
      <c r="BD31" s="935">
        <f t="shared" si="20"/>
        <v>60</v>
      </c>
      <c r="BE31" s="913">
        <f t="shared" si="21"/>
        <v>3</v>
      </c>
      <c r="BF31" s="788">
        <v>44</v>
      </c>
      <c r="BG31" s="788">
        <v>21</v>
      </c>
      <c r="BH31" s="935">
        <f t="shared" si="22"/>
        <v>65</v>
      </c>
      <c r="BI31" s="913">
        <f t="shared" si="23"/>
        <v>3.25</v>
      </c>
      <c r="BJ31" s="590"/>
      <c r="BK31" s="788">
        <v>37</v>
      </c>
      <c r="BL31" s="788">
        <v>22</v>
      </c>
      <c r="BM31" s="788">
        <f t="shared" si="24"/>
        <v>13.2</v>
      </c>
      <c r="BN31" s="913">
        <v>13</v>
      </c>
      <c r="BO31" s="788">
        <v>49</v>
      </c>
      <c r="BP31" s="788">
        <v>24</v>
      </c>
      <c r="BQ31" s="788">
        <f t="shared" si="25"/>
        <v>14.399999999999999</v>
      </c>
      <c r="BR31" s="913">
        <v>14</v>
      </c>
      <c r="BS31" s="788">
        <v>44</v>
      </c>
      <c r="BT31" s="788">
        <v>23</v>
      </c>
      <c r="BU31" s="788">
        <f t="shared" si="26"/>
        <v>13.799999999999999</v>
      </c>
      <c r="BV31" s="913">
        <v>14</v>
      </c>
      <c r="BW31" s="788">
        <v>39</v>
      </c>
      <c r="BX31" s="788">
        <v>22</v>
      </c>
      <c r="BY31" s="788">
        <f t="shared" si="27"/>
        <v>13.2</v>
      </c>
      <c r="BZ31" s="913">
        <v>13</v>
      </c>
      <c r="CA31" s="788">
        <v>35</v>
      </c>
      <c r="CB31" s="788">
        <v>23</v>
      </c>
      <c r="CC31" s="788">
        <f t="shared" si="28"/>
        <v>13.799999999999999</v>
      </c>
      <c r="CD31" s="913">
        <v>14</v>
      </c>
      <c r="CE31" s="788">
        <v>37</v>
      </c>
      <c r="CF31" s="788">
        <v>22</v>
      </c>
      <c r="CG31" s="788">
        <f t="shared" si="29"/>
        <v>13.2</v>
      </c>
      <c r="CH31" s="913">
        <v>13</v>
      </c>
      <c r="CI31" s="935">
        <f t="shared" si="30"/>
        <v>513.4</v>
      </c>
    </row>
    <row r="32" spans="1:94" s="795" customFormat="1" ht="22.4" customHeight="1">
      <c r="A32" s="791">
        <v>9028</v>
      </c>
      <c r="B32" s="792" t="s">
        <v>3407</v>
      </c>
      <c r="C32" s="792" t="s">
        <v>2831</v>
      </c>
      <c r="D32" s="792" t="s">
        <v>2852</v>
      </c>
      <c r="E32" s="792" t="s">
        <v>2524</v>
      </c>
      <c r="F32" s="796">
        <v>40940</v>
      </c>
      <c r="G32" s="791">
        <v>106292218</v>
      </c>
      <c r="H32" s="791">
        <v>586</v>
      </c>
      <c r="I32" s="793" t="s">
        <v>2900</v>
      </c>
      <c r="J32" s="794" t="s">
        <v>2204</v>
      </c>
      <c r="K32" s="793" t="s">
        <v>2059</v>
      </c>
      <c r="L32" s="917"/>
      <c r="M32" s="925">
        <v>47</v>
      </c>
      <c r="N32" s="590">
        <v>23</v>
      </c>
      <c r="O32" s="800">
        <f t="shared" si="0"/>
        <v>70</v>
      </c>
      <c r="P32" s="913">
        <f t="shared" si="1"/>
        <v>3.5</v>
      </c>
      <c r="Q32" s="590">
        <v>41</v>
      </c>
      <c r="R32" s="590">
        <v>22</v>
      </c>
      <c r="S32" s="800">
        <f t="shared" si="2"/>
        <v>63</v>
      </c>
      <c r="T32" s="913">
        <f t="shared" si="3"/>
        <v>3.15</v>
      </c>
      <c r="U32" s="590">
        <v>41</v>
      </c>
      <c r="V32" s="590">
        <v>23</v>
      </c>
      <c r="W32" s="800">
        <f t="shared" si="4"/>
        <v>64</v>
      </c>
      <c r="X32" s="913">
        <f t="shared" si="5"/>
        <v>3.2</v>
      </c>
      <c r="Y32" s="590">
        <v>40</v>
      </c>
      <c r="Z32" s="590">
        <v>21</v>
      </c>
      <c r="AA32" s="800">
        <f t="shared" si="6"/>
        <v>61</v>
      </c>
      <c r="AB32" s="913">
        <f t="shared" si="7"/>
        <v>3.05</v>
      </c>
      <c r="AC32" s="590">
        <v>46</v>
      </c>
      <c r="AD32" s="590">
        <v>22</v>
      </c>
      <c r="AE32" s="800">
        <f t="shared" si="8"/>
        <v>68</v>
      </c>
      <c r="AF32" s="913">
        <f t="shared" si="9"/>
        <v>3.4</v>
      </c>
      <c r="AG32" s="590">
        <v>49</v>
      </c>
      <c r="AH32" s="590">
        <v>21</v>
      </c>
      <c r="AI32" s="800">
        <f t="shared" si="10"/>
        <v>70</v>
      </c>
      <c r="AJ32" s="924">
        <f t="shared" si="11"/>
        <v>3.5</v>
      </c>
      <c r="AK32" s="789"/>
      <c r="AL32" s="590">
        <v>46</v>
      </c>
      <c r="AM32" s="590">
        <v>20</v>
      </c>
      <c r="AN32" s="935">
        <f t="shared" si="12"/>
        <v>66</v>
      </c>
      <c r="AO32" s="913">
        <f t="shared" si="13"/>
        <v>3.3</v>
      </c>
      <c r="AP32" s="590">
        <v>42</v>
      </c>
      <c r="AQ32" s="590">
        <v>22</v>
      </c>
      <c r="AR32" s="935">
        <f t="shared" si="14"/>
        <v>64</v>
      </c>
      <c r="AS32" s="913">
        <f t="shared" si="15"/>
        <v>3.2</v>
      </c>
      <c r="AT32" s="590">
        <v>42</v>
      </c>
      <c r="AU32" s="590">
        <v>21</v>
      </c>
      <c r="AV32" s="935">
        <f t="shared" si="16"/>
        <v>63</v>
      </c>
      <c r="AW32" s="913">
        <f t="shared" si="17"/>
        <v>3.15</v>
      </c>
      <c r="AX32" s="590">
        <v>40</v>
      </c>
      <c r="AY32" s="590">
        <v>21</v>
      </c>
      <c r="AZ32" s="935">
        <f t="shared" si="18"/>
        <v>61</v>
      </c>
      <c r="BA32" s="913">
        <f t="shared" si="19"/>
        <v>3.05</v>
      </c>
      <c r="BB32" s="590">
        <v>44</v>
      </c>
      <c r="BC32" s="590">
        <v>20</v>
      </c>
      <c r="BD32" s="935">
        <f t="shared" si="20"/>
        <v>64</v>
      </c>
      <c r="BE32" s="913">
        <f t="shared" si="21"/>
        <v>3.2</v>
      </c>
      <c r="BF32" s="590">
        <v>47</v>
      </c>
      <c r="BG32" s="590">
        <v>20</v>
      </c>
      <c r="BH32" s="935">
        <f t="shared" si="22"/>
        <v>67</v>
      </c>
      <c r="BI32" s="913">
        <f t="shared" si="23"/>
        <v>3.35</v>
      </c>
      <c r="BJ32" s="590"/>
      <c r="BK32" s="590">
        <v>43</v>
      </c>
      <c r="BL32" s="590">
        <v>23</v>
      </c>
      <c r="BM32" s="788">
        <f t="shared" si="24"/>
        <v>13.799999999999999</v>
      </c>
      <c r="BN32" s="913">
        <v>14</v>
      </c>
      <c r="BO32" s="590">
        <v>51</v>
      </c>
      <c r="BP32" s="590">
        <v>23</v>
      </c>
      <c r="BQ32" s="788">
        <f t="shared" si="25"/>
        <v>13.799999999999999</v>
      </c>
      <c r="BR32" s="938">
        <v>14</v>
      </c>
      <c r="BS32" s="590">
        <v>46</v>
      </c>
      <c r="BT32" s="590">
        <v>22</v>
      </c>
      <c r="BU32" s="788">
        <f t="shared" si="26"/>
        <v>13.2</v>
      </c>
      <c r="BV32" s="938">
        <v>13</v>
      </c>
      <c r="BW32" s="590">
        <v>37</v>
      </c>
      <c r="BX32" s="590">
        <v>23</v>
      </c>
      <c r="BY32" s="788">
        <f t="shared" si="27"/>
        <v>13.799999999999999</v>
      </c>
      <c r="BZ32" s="938">
        <v>14</v>
      </c>
      <c r="CA32" s="590">
        <v>35</v>
      </c>
      <c r="CB32" s="590">
        <v>22</v>
      </c>
      <c r="CC32" s="788">
        <f t="shared" si="28"/>
        <v>13.2</v>
      </c>
      <c r="CD32" s="938">
        <v>13</v>
      </c>
      <c r="CE32" s="590">
        <v>39</v>
      </c>
      <c r="CF32" s="590">
        <v>23</v>
      </c>
      <c r="CG32" s="788">
        <f t="shared" si="29"/>
        <v>13.799999999999999</v>
      </c>
      <c r="CH32" s="938">
        <v>14</v>
      </c>
      <c r="CI32" s="935">
        <f t="shared" si="30"/>
        <v>522.79999999999995</v>
      </c>
    </row>
    <row r="33" spans="1:87" s="790" customFormat="1" ht="22.4" customHeight="1">
      <c r="A33" s="784">
        <v>9029</v>
      </c>
      <c r="B33" s="785" t="s">
        <v>3408</v>
      </c>
      <c r="C33" s="785" t="s">
        <v>2832</v>
      </c>
      <c r="D33" s="785" t="s">
        <v>2853</v>
      </c>
      <c r="E33" s="785" t="s">
        <v>2860</v>
      </c>
      <c r="F33" s="797">
        <v>40490</v>
      </c>
      <c r="G33" s="784">
        <v>128261286</v>
      </c>
      <c r="H33" s="784">
        <v>606</v>
      </c>
      <c r="I33" s="786" t="s">
        <v>2897</v>
      </c>
      <c r="J33" s="787" t="s">
        <v>2204</v>
      </c>
      <c r="K33" s="786" t="s">
        <v>2059</v>
      </c>
      <c r="L33" s="916"/>
      <c r="M33" s="923">
        <v>46</v>
      </c>
      <c r="N33" s="788">
        <v>22</v>
      </c>
      <c r="O33" s="800">
        <f t="shared" si="0"/>
        <v>68</v>
      </c>
      <c r="P33" s="913">
        <f t="shared" si="1"/>
        <v>3.4</v>
      </c>
      <c r="Q33" s="788">
        <v>40</v>
      </c>
      <c r="R33" s="788">
        <v>22</v>
      </c>
      <c r="S33" s="800">
        <f t="shared" si="2"/>
        <v>62</v>
      </c>
      <c r="T33" s="913">
        <f t="shared" si="3"/>
        <v>3.1</v>
      </c>
      <c r="U33" s="788">
        <v>46</v>
      </c>
      <c r="V33" s="788">
        <v>21</v>
      </c>
      <c r="W33" s="800">
        <f t="shared" si="4"/>
        <v>67</v>
      </c>
      <c r="X33" s="913">
        <f t="shared" si="5"/>
        <v>3.35</v>
      </c>
      <c r="Y33" s="788">
        <v>39</v>
      </c>
      <c r="Z33" s="788">
        <v>23</v>
      </c>
      <c r="AA33" s="800">
        <f t="shared" si="6"/>
        <v>62</v>
      </c>
      <c r="AB33" s="913">
        <f t="shared" si="7"/>
        <v>3.1</v>
      </c>
      <c r="AC33" s="788">
        <v>42</v>
      </c>
      <c r="AD33" s="788">
        <v>23</v>
      </c>
      <c r="AE33" s="800">
        <f t="shared" si="8"/>
        <v>65</v>
      </c>
      <c r="AF33" s="913">
        <f t="shared" si="9"/>
        <v>3.25</v>
      </c>
      <c r="AG33" s="788">
        <v>46</v>
      </c>
      <c r="AH33" s="788">
        <v>24</v>
      </c>
      <c r="AI33" s="800">
        <f t="shared" si="10"/>
        <v>70</v>
      </c>
      <c r="AJ33" s="924">
        <f t="shared" si="11"/>
        <v>3.5</v>
      </c>
      <c r="AK33" s="789"/>
      <c r="AL33" s="788">
        <v>42</v>
      </c>
      <c r="AM33" s="788">
        <v>23</v>
      </c>
      <c r="AN33" s="935">
        <f t="shared" si="12"/>
        <v>65</v>
      </c>
      <c r="AO33" s="913">
        <f t="shared" si="13"/>
        <v>3.25</v>
      </c>
      <c r="AP33" s="788">
        <v>39</v>
      </c>
      <c r="AQ33" s="788">
        <v>23</v>
      </c>
      <c r="AR33" s="935">
        <f t="shared" si="14"/>
        <v>62</v>
      </c>
      <c r="AS33" s="913">
        <f t="shared" si="15"/>
        <v>3.1</v>
      </c>
      <c r="AT33" s="788">
        <v>45</v>
      </c>
      <c r="AU33" s="788">
        <v>21</v>
      </c>
      <c r="AV33" s="935">
        <f t="shared" si="16"/>
        <v>66</v>
      </c>
      <c r="AW33" s="913">
        <f t="shared" si="17"/>
        <v>3.3</v>
      </c>
      <c r="AX33" s="788">
        <v>38</v>
      </c>
      <c r="AY33" s="788">
        <v>23</v>
      </c>
      <c r="AZ33" s="935">
        <f t="shared" si="18"/>
        <v>61</v>
      </c>
      <c r="BA33" s="913">
        <f t="shared" si="19"/>
        <v>3.05</v>
      </c>
      <c r="BB33" s="788">
        <v>40</v>
      </c>
      <c r="BC33" s="788">
        <v>23</v>
      </c>
      <c r="BD33" s="935">
        <f t="shared" si="20"/>
        <v>63</v>
      </c>
      <c r="BE33" s="913">
        <f t="shared" si="21"/>
        <v>3.15</v>
      </c>
      <c r="BF33" s="788">
        <v>45</v>
      </c>
      <c r="BG33" s="788">
        <v>22</v>
      </c>
      <c r="BH33" s="935">
        <f t="shared" si="22"/>
        <v>67</v>
      </c>
      <c r="BI33" s="913">
        <f t="shared" si="23"/>
        <v>3.35</v>
      </c>
      <c r="BJ33" s="590"/>
      <c r="BK33" s="788">
        <v>42</v>
      </c>
      <c r="BL33" s="788">
        <v>23</v>
      </c>
      <c r="BM33" s="788">
        <f t="shared" si="24"/>
        <v>13.799999999999999</v>
      </c>
      <c r="BN33" s="913">
        <v>14</v>
      </c>
      <c r="BO33" s="788">
        <v>48</v>
      </c>
      <c r="BP33" s="788">
        <v>24</v>
      </c>
      <c r="BQ33" s="788">
        <f t="shared" si="25"/>
        <v>14.399999999999999</v>
      </c>
      <c r="BR33" s="913">
        <v>14</v>
      </c>
      <c r="BS33" s="788">
        <v>49</v>
      </c>
      <c r="BT33" s="788">
        <v>22</v>
      </c>
      <c r="BU33" s="788">
        <f t="shared" si="26"/>
        <v>13.2</v>
      </c>
      <c r="BV33" s="913">
        <v>13</v>
      </c>
      <c r="BW33" s="788">
        <v>39</v>
      </c>
      <c r="BX33" s="788">
        <v>23</v>
      </c>
      <c r="BY33" s="788">
        <f t="shared" si="27"/>
        <v>13.799999999999999</v>
      </c>
      <c r="BZ33" s="913">
        <v>14</v>
      </c>
      <c r="CA33" s="788">
        <v>32</v>
      </c>
      <c r="CB33" s="788">
        <v>20</v>
      </c>
      <c r="CC33" s="788">
        <f t="shared" si="28"/>
        <v>12</v>
      </c>
      <c r="CD33" s="913">
        <v>12</v>
      </c>
      <c r="CE33" s="788">
        <v>39</v>
      </c>
      <c r="CF33" s="788">
        <v>23</v>
      </c>
      <c r="CG33" s="788">
        <f t="shared" si="29"/>
        <v>13.799999999999999</v>
      </c>
      <c r="CH33" s="913">
        <v>14</v>
      </c>
      <c r="CI33" s="935">
        <f t="shared" si="30"/>
        <v>518.20000000000005</v>
      </c>
    </row>
    <row r="34" spans="1:87" s="795" customFormat="1" ht="22.4" customHeight="1">
      <c r="A34" s="791">
        <v>9030</v>
      </c>
      <c r="B34" s="792" t="s">
        <v>3409</v>
      </c>
      <c r="C34" s="792" t="s">
        <v>2833</v>
      </c>
      <c r="D34" s="792" t="s">
        <v>3410</v>
      </c>
      <c r="E34" s="792" t="s">
        <v>3005</v>
      </c>
      <c r="F34" s="792" t="s">
        <v>2842</v>
      </c>
      <c r="G34" s="791">
        <v>103367427</v>
      </c>
      <c r="H34" s="791">
        <v>637</v>
      </c>
      <c r="I34" s="793" t="s">
        <v>2904</v>
      </c>
      <c r="J34" s="794" t="s">
        <v>2204</v>
      </c>
      <c r="K34" s="793" t="s">
        <v>2059</v>
      </c>
      <c r="L34" s="917"/>
      <c r="M34" s="925">
        <v>49</v>
      </c>
      <c r="N34" s="590">
        <v>23</v>
      </c>
      <c r="O34" s="800">
        <f t="shared" si="0"/>
        <v>72</v>
      </c>
      <c r="P34" s="913">
        <f t="shared" si="1"/>
        <v>3.6</v>
      </c>
      <c r="Q34" s="590">
        <v>41</v>
      </c>
      <c r="R34" s="590">
        <v>23</v>
      </c>
      <c r="S34" s="800">
        <f t="shared" si="2"/>
        <v>64</v>
      </c>
      <c r="T34" s="913">
        <f t="shared" si="3"/>
        <v>3.2</v>
      </c>
      <c r="U34" s="590">
        <v>48</v>
      </c>
      <c r="V34" s="590">
        <v>23</v>
      </c>
      <c r="W34" s="800">
        <f t="shared" si="4"/>
        <v>71</v>
      </c>
      <c r="X34" s="913">
        <f t="shared" si="5"/>
        <v>3.55</v>
      </c>
      <c r="Y34" s="590">
        <v>46</v>
      </c>
      <c r="Z34" s="590">
        <v>23</v>
      </c>
      <c r="AA34" s="800">
        <f t="shared" si="6"/>
        <v>69</v>
      </c>
      <c r="AB34" s="913">
        <f t="shared" si="7"/>
        <v>3.45</v>
      </c>
      <c r="AC34" s="590">
        <v>49</v>
      </c>
      <c r="AD34" s="590">
        <v>21</v>
      </c>
      <c r="AE34" s="800">
        <f t="shared" si="8"/>
        <v>70</v>
      </c>
      <c r="AF34" s="913">
        <f t="shared" si="9"/>
        <v>3.5</v>
      </c>
      <c r="AG34" s="590">
        <v>48</v>
      </c>
      <c r="AH34" s="590">
        <v>24</v>
      </c>
      <c r="AI34" s="800">
        <f t="shared" si="10"/>
        <v>72</v>
      </c>
      <c r="AJ34" s="924">
        <f t="shared" si="11"/>
        <v>3.6</v>
      </c>
      <c r="AK34" s="789"/>
      <c r="AL34" s="590">
        <v>48</v>
      </c>
      <c r="AM34" s="590">
        <v>21</v>
      </c>
      <c r="AN34" s="935">
        <f t="shared" si="12"/>
        <v>69</v>
      </c>
      <c r="AO34" s="913">
        <f t="shared" si="13"/>
        <v>3.45</v>
      </c>
      <c r="AP34" s="590">
        <v>40</v>
      </c>
      <c r="AQ34" s="590">
        <v>21</v>
      </c>
      <c r="AR34" s="935">
        <f t="shared" si="14"/>
        <v>61</v>
      </c>
      <c r="AS34" s="913">
        <f t="shared" si="15"/>
        <v>3.05</v>
      </c>
      <c r="AT34" s="590">
        <v>46</v>
      </c>
      <c r="AU34" s="590">
        <v>24</v>
      </c>
      <c r="AV34" s="935">
        <f t="shared" si="16"/>
        <v>70</v>
      </c>
      <c r="AW34" s="913">
        <f t="shared" si="17"/>
        <v>3.5</v>
      </c>
      <c r="AX34" s="590">
        <v>41</v>
      </c>
      <c r="AY34" s="590">
        <v>22</v>
      </c>
      <c r="AZ34" s="935">
        <f t="shared" si="18"/>
        <v>63</v>
      </c>
      <c r="BA34" s="913">
        <f t="shared" si="19"/>
        <v>3.15</v>
      </c>
      <c r="BB34" s="590">
        <v>47</v>
      </c>
      <c r="BC34" s="590">
        <v>20</v>
      </c>
      <c r="BD34" s="935">
        <f t="shared" si="20"/>
        <v>67</v>
      </c>
      <c r="BE34" s="913">
        <f t="shared" si="21"/>
        <v>3.35</v>
      </c>
      <c r="BF34" s="590">
        <v>46</v>
      </c>
      <c r="BG34" s="590">
        <v>23</v>
      </c>
      <c r="BH34" s="935">
        <f t="shared" si="22"/>
        <v>69</v>
      </c>
      <c r="BI34" s="913">
        <f t="shared" si="23"/>
        <v>3.45</v>
      </c>
      <c r="BJ34" s="590"/>
      <c r="BK34" s="590">
        <v>37</v>
      </c>
      <c r="BL34" s="590">
        <v>22</v>
      </c>
      <c r="BM34" s="788">
        <f t="shared" si="24"/>
        <v>13.2</v>
      </c>
      <c r="BN34" s="913">
        <v>13</v>
      </c>
      <c r="BO34" s="590">
        <v>43</v>
      </c>
      <c r="BP34" s="590">
        <v>23</v>
      </c>
      <c r="BQ34" s="788">
        <f t="shared" si="25"/>
        <v>13.799999999999999</v>
      </c>
      <c r="BR34" s="938">
        <v>14</v>
      </c>
      <c r="BS34" s="590">
        <v>48</v>
      </c>
      <c r="BT34" s="590">
        <v>24</v>
      </c>
      <c r="BU34" s="788">
        <f t="shared" si="26"/>
        <v>14.399999999999999</v>
      </c>
      <c r="BV34" s="938">
        <v>14</v>
      </c>
      <c r="BW34" s="590">
        <v>38</v>
      </c>
      <c r="BX34" s="590">
        <v>22</v>
      </c>
      <c r="BY34" s="788">
        <f t="shared" si="27"/>
        <v>13.2</v>
      </c>
      <c r="BZ34" s="938">
        <v>13</v>
      </c>
      <c r="CA34" s="590">
        <v>42</v>
      </c>
      <c r="CB34" s="590">
        <v>22</v>
      </c>
      <c r="CC34" s="788">
        <f t="shared" si="28"/>
        <v>13.2</v>
      </c>
      <c r="CD34" s="938">
        <v>13</v>
      </c>
      <c r="CE34" s="590">
        <v>37</v>
      </c>
      <c r="CF34" s="590">
        <v>23</v>
      </c>
      <c r="CG34" s="788">
        <f t="shared" si="29"/>
        <v>13.799999999999999</v>
      </c>
      <c r="CH34" s="938">
        <v>14</v>
      </c>
      <c r="CI34" s="935">
        <f t="shared" si="30"/>
        <v>515.79999999999995</v>
      </c>
    </row>
    <row r="35" spans="1:87" s="790" customFormat="1" ht="22.4" customHeight="1">
      <c r="A35" s="784">
        <v>9031</v>
      </c>
      <c r="B35" s="785" t="s">
        <v>3411</v>
      </c>
      <c r="C35" s="785" t="s">
        <v>2834</v>
      </c>
      <c r="D35" s="785" t="s">
        <v>3412</v>
      </c>
      <c r="E35" s="785" t="s">
        <v>2861</v>
      </c>
      <c r="F35" s="785" t="s">
        <v>2843</v>
      </c>
      <c r="G35" s="784">
        <v>106651592</v>
      </c>
      <c r="H35" s="784">
        <v>638</v>
      </c>
      <c r="I35" s="786" t="s">
        <v>2900</v>
      </c>
      <c r="J35" s="787" t="s">
        <v>2204</v>
      </c>
      <c r="K35" s="786" t="s">
        <v>2059</v>
      </c>
      <c r="L35" s="916"/>
      <c r="M35" s="923">
        <v>50</v>
      </c>
      <c r="N35" s="788">
        <v>24</v>
      </c>
      <c r="O35" s="800">
        <f t="shared" si="0"/>
        <v>74</v>
      </c>
      <c r="P35" s="913">
        <f t="shared" si="1"/>
        <v>3.7</v>
      </c>
      <c r="Q35" s="788">
        <v>52</v>
      </c>
      <c r="R35" s="788">
        <v>23</v>
      </c>
      <c r="S35" s="800">
        <f t="shared" si="2"/>
        <v>75</v>
      </c>
      <c r="T35" s="913">
        <f t="shared" si="3"/>
        <v>3.75</v>
      </c>
      <c r="U35" s="788">
        <v>59</v>
      </c>
      <c r="V35" s="788">
        <v>24</v>
      </c>
      <c r="W35" s="800">
        <f t="shared" si="4"/>
        <v>83</v>
      </c>
      <c r="X35" s="913">
        <f t="shared" si="5"/>
        <v>4.1500000000000004</v>
      </c>
      <c r="Y35" s="788">
        <v>50</v>
      </c>
      <c r="Z35" s="788">
        <v>24</v>
      </c>
      <c r="AA35" s="800">
        <f t="shared" si="6"/>
        <v>74</v>
      </c>
      <c r="AB35" s="913">
        <f t="shared" si="7"/>
        <v>3.7</v>
      </c>
      <c r="AC35" s="788">
        <v>53</v>
      </c>
      <c r="AD35" s="788">
        <v>24</v>
      </c>
      <c r="AE35" s="800">
        <f t="shared" si="8"/>
        <v>77</v>
      </c>
      <c r="AF35" s="913">
        <f t="shared" si="9"/>
        <v>3.85</v>
      </c>
      <c r="AG35" s="788">
        <v>46</v>
      </c>
      <c r="AH35" s="788">
        <v>24</v>
      </c>
      <c r="AI35" s="800">
        <f t="shared" si="10"/>
        <v>70</v>
      </c>
      <c r="AJ35" s="924">
        <f t="shared" si="11"/>
        <v>3.5</v>
      </c>
      <c r="AK35" s="789"/>
      <c r="AL35" s="788">
        <v>49</v>
      </c>
      <c r="AM35" s="788">
        <v>24</v>
      </c>
      <c r="AN35" s="935">
        <f t="shared" si="12"/>
        <v>73</v>
      </c>
      <c r="AO35" s="913">
        <f t="shared" si="13"/>
        <v>3.65</v>
      </c>
      <c r="AP35" s="788">
        <v>49</v>
      </c>
      <c r="AQ35" s="788">
        <v>22</v>
      </c>
      <c r="AR35" s="935">
        <f t="shared" si="14"/>
        <v>71</v>
      </c>
      <c r="AS35" s="913">
        <f t="shared" si="15"/>
        <v>3.55</v>
      </c>
      <c r="AT35" s="788">
        <v>56</v>
      </c>
      <c r="AU35" s="788">
        <v>24</v>
      </c>
      <c r="AV35" s="935">
        <f t="shared" si="16"/>
        <v>80</v>
      </c>
      <c r="AW35" s="913">
        <f t="shared" si="17"/>
        <v>4</v>
      </c>
      <c r="AX35" s="788">
        <v>48</v>
      </c>
      <c r="AY35" s="788">
        <v>24</v>
      </c>
      <c r="AZ35" s="935">
        <f t="shared" si="18"/>
        <v>72</v>
      </c>
      <c r="BA35" s="913">
        <f t="shared" si="19"/>
        <v>3.6</v>
      </c>
      <c r="BB35" s="788">
        <v>49</v>
      </c>
      <c r="BC35" s="788">
        <v>23</v>
      </c>
      <c r="BD35" s="935">
        <f t="shared" si="20"/>
        <v>72</v>
      </c>
      <c r="BE35" s="913">
        <f t="shared" si="21"/>
        <v>3.6</v>
      </c>
      <c r="BF35" s="788">
        <v>54</v>
      </c>
      <c r="BG35" s="788">
        <v>24</v>
      </c>
      <c r="BH35" s="935">
        <f t="shared" si="22"/>
        <v>78</v>
      </c>
      <c r="BI35" s="913">
        <f t="shared" si="23"/>
        <v>3.9</v>
      </c>
      <c r="BJ35" s="590"/>
      <c r="BK35" s="788">
        <v>54</v>
      </c>
      <c r="BL35" s="788">
        <v>23</v>
      </c>
      <c r="BM35" s="788">
        <f t="shared" si="24"/>
        <v>13.799999999999999</v>
      </c>
      <c r="BN35" s="913">
        <v>14</v>
      </c>
      <c r="BO35" s="788">
        <v>68</v>
      </c>
      <c r="BP35" s="788">
        <v>25</v>
      </c>
      <c r="BQ35" s="788">
        <f t="shared" si="25"/>
        <v>15</v>
      </c>
      <c r="BR35" s="913">
        <v>15</v>
      </c>
      <c r="BS35" s="788">
        <v>67</v>
      </c>
      <c r="BT35" s="788">
        <v>24</v>
      </c>
      <c r="BU35" s="788">
        <f t="shared" si="26"/>
        <v>14.399999999999999</v>
      </c>
      <c r="BV35" s="913">
        <v>14</v>
      </c>
      <c r="BW35" s="788">
        <v>55</v>
      </c>
      <c r="BX35" s="788">
        <v>24</v>
      </c>
      <c r="BY35" s="788">
        <f t="shared" si="27"/>
        <v>14.399999999999999</v>
      </c>
      <c r="BZ35" s="913">
        <v>14</v>
      </c>
      <c r="CA35" s="788">
        <v>48</v>
      </c>
      <c r="CB35" s="788">
        <v>23</v>
      </c>
      <c r="CC35" s="788">
        <f t="shared" si="28"/>
        <v>13.799999999999999</v>
      </c>
      <c r="CD35" s="913">
        <v>14</v>
      </c>
      <c r="CE35" s="788">
        <v>49</v>
      </c>
      <c r="CF35" s="788">
        <v>24</v>
      </c>
      <c r="CG35" s="788">
        <f t="shared" si="29"/>
        <v>14.399999999999999</v>
      </c>
      <c r="CH35" s="913">
        <v>14</v>
      </c>
      <c r="CI35" s="935">
        <f t="shared" si="30"/>
        <v>626.39999999999986</v>
      </c>
    </row>
    <row r="36" spans="1:87" s="795" customFormat="1" ht="22.4" customHeight="1">
      <c r="A36" s="791">
        <v>9032</v>
      </c>
      <c r="B36" s="792" t="s">
        <v>3413</v>
      </c>
      <c r="C36" s="792" t="s">
        <v>2835</v>
      </c>
      <c r="D36" s="792" t="s">
        <v>424</v>
      </c>
      <c r="E36" s="792" t="s">
        <v>2862</v>
      </c>
      <c r="F36" s="792" t="s">
        <v>2844</v>
      </c>
      <c r="G36" s="791">
        <v>104858134</v>
      </c>
      <c r="H36" s="791">
        <v>588</v>
      </c>
      <c r="I36" s="793" t="s">
        <v>2903</v>
      </c>
      <c r="J36" s="794" t="s">
        <v>2204</v>
      </c>
      <c r="K36" s="793" t="s">
        <v>2059</v>
      </c>
      <c r="L36" s="917"/>
      <c r="M36" s="925">
        <v>43</v>
      </c>
      <c r="N36" s="590">
        <v>20</v>
      </c>
      <c r="O36" s="800">
        <f t="shared" si="0"/>
        <v>63</v>
      </c>
      <c r="P36" s="913">
        <f t="shared" si="1"/>
        <v>3.15</v>
      </c>
      <c r="Q36" s="590">
        <v>40</v>
      </c>
      <c r="R36" s="590">
        <v>20</v>
      </c>
      <c r="S36" s="800">
        <f t="shared" si="2"/>
        <v>60</v>
      </c>
      <c r="T36" s="913">
        <f t="shared" si="3"/>
        <v>3</v>
      </c>
      <c r="U36" s="590">
        <v>47</v>
      </c>
      <c r="V36" s="590">
        <v>24</v>
      </c>
      <c r="W36" s="800">
        <f t="shared" si="4"/>
        <v>71</v>
      </c>
      <c r="X36" s="913">
        <f t="shared" si="5"/>
        <v>3.55</v>
      </c>
      <c r="Y36" s="590">
        <v>43</v>
      </c>
      <c r="Z36" s="590">
        <v>20</v>
      </c>
      <c r="AA36" s="800">
        <f t="shared" si="6"/>
        <v>63</v>
      </c>
      <c r="AB36" s="913">
        <f t="shared" si="7"/>
        <v>3.15</v>
      </c>
      <c r="AC36" s="590">
        <v>46</v>
      </c>
      <c r="AD36" s="590">
        <v>23</v>
      </c>
      <c r="AE36" s="800">
        <f t="shared" si="8"/>
        <v>69</v>
      </c>
      <c r="AF36" s="913">
        <f t="shared" si="9"/>
        <v>3.45</v>
      </c>
      <c r="AG36" s="590">
        <v>50</v>
      </c>
      <c r="AH36" s="590">
        <v>23</v>
      </c>
      <c r="AI36" s="800">
        <f t="shared" si="10"/>
        <v>73</v>
      </c>
      <c r="AJ36" s="924">
        <f t="shared" si="11"/>
        <v>3.65</v>
      </c>
      <c r="AK36" s="789"/>
      <c r="AL36" s="590">
        <v>45</v>
      </c>
      <c r="AM36" s="590">
        <v>20</v>
      </c>
      <c r="AN36" s="935">
        <f t="shared" si="12"/>
        <v>65</v>
      </c>
      <c r="AO36" s="913">
        <f t="shared" si="13"/>
        <v>3.25</v>
      </c>
      <c r="AP36" s="590">
        <v>41</v>
      </c>
      <c r="AQ36" s="590">
        <v>22</v>
      </c>
      <c r="AR36" s="935">
        <f t="shared" si="14"/>
        <v>63</v>
      </c>
      <c r="AS36" s="913">
        <f t="shared" si="15"/>
        <v>3.15</v>
      </c>
      <c r="AT36" s="590">
        <v>48</v>
      </c>
      <c r="AU36" s="590">
        <v>24</v>
      </c>
      <c r="AV36" s="935">
        <f t="shared" si="16"/>
        <v>72</v>
      </c>
      <c r="AW36" s="913">
        <f t="shared" si="17"/>
        <v>3.6</v>
      </c>
      <c r="AX36" s="590">
        <v>41</v>
      </c>
      <c r="AY36" s="590">
        <v>21</v>
      </c>
      <c r="AZ36" s="935">
        <f t="shared" si="18"/>
        <v>62</v>
      </c>
      <c r="BA36" s="913">
        <f t="shared" si="19"/>
        <v>3.1</v>
      </c>
      <c r="BB36" s="590">
        <v>44</v>
      </c>
      <c r="BC36" s="590">
        <v>21</v>
      </c>
      <c r="BD36" s="935">
        <f t="shared" si="20"/>
        <v>65</v>
      </c>
      <c r="BE36" s="913">
        <f t="shared" si="21"/>
        <v>3.25</v>
      </c>
      <c r="BF36" s="590">
        <v>48</v>
      </c>
      <c r="BG36" s="590">
        <v>21</v>
      </c>
      <c r="BH36" s="935">
        <f t="shared" si="22"/>
        <v>69</v>
      </c>
      <c r="BI36" s="913">
        <f t="shared" si="23"/>
        <v>3.45</v>
      </c>
      <c r="BJ36" s="590"/>
      <c r="BK36" s="590">
        <v>39</v>
      </c>
      <c r="BL36" s="590">
        <v>23</v>
      </c>
      <c r="BM36" s="788">
        <f t="shared" si="24"/>
        <v>13.799999999999999</v>
      </c>
      <c r="BN36" s="913">
        <v>14</v>
      </c>
      <c r="BO36" s="590">
        <v>47</v>
      </c>
      <c r="BP36" s="590">
        <v>22</v>
      </c>
      <c r="BQ36" s="788">
        <f t="shared" si="25"/>
        <v>13.2</v>
      </c>
      <c r="BR36" s="938">
        <v>13</v>
      </c>
      <c r="BS36" s="590">
        <v>58</v>
      </c>
      <c r="BT36" s="590">
        <v>23</v>
      </c>
      <c r="BU36" s="788">
        <f t="shared" si="26"/>
        <v>13.799999999999999</v>
      </c>
      <c r="BV36" s="938">
        <v>14</v>
      </c>
      <c r="BW36" s="590">
        <v>47</v>
      </c>
      <c r="BX36" s="590">
        <v>24</v>
      </c>
      <c r="BY36" s="788">
        <f t="shared" si="27"/>
        <v>14.399999999999999</v>
      </c>
      <c r="BZ36" s="938">
        <v>14</v>
      </c>
      <c r="CA36" s="590">
        <v>33</v>
      </c>
      <c r="CB36" s="590">
        <v>22</v>
      </c>
      <c r="CC36" s="788">
        <f t="shared" si="28"/>
        <v>13.2</v>
      </c>
      <c r="CD36" s="938">
        <v>13</v>
      </c>
      <c r="CE36" s="590">
        <v>46</v>
      </c>
      <c r="CF36" s="590">
        <v>23</v>
      </c>
      <c r="CG36" s="788">
        <f t="shared" si="29"/>
        <v>13.799999999999999</v>
      </c>
      <c r="CH36" s="938">
        <v>14</v>
      </c>
      <c r="CI36" s="935">
        <f t="shared" si="30"/>
        <v>543.4</v>
      </c>
    </row>
    <row r="37" spans="1:87" s="790" customFormat="1" ht="22.4" customHeight="1">
      <c r="A37" s="784">
        <v>9033</v>
      </c>
      <c r="B37" s="785" t="s">
        <v>3414</v>
      </c>
      <c r="C37" s="785" t="s">
        <v>3415</v>
      </c>
      <c r="D37" s="785" t="s">
        <v>3416</v>
      </c>
      <c r="E37" s="785" t="s">
        <v>3417</v>
      </c>
      <c r="F37" s="785" t="s">
        <v>2912</v>
      </c>
      <c r="G37" s="784">
        <v>169242383</v>
      </c>
      <c r="H37" s="784">
        <v>1436</v>
      </c>
      <c r="I37" s="786" t="s">
        <v>2913</v>
      </c>
      <c r="J37" s="787" t="s">
        <v>2204</v>
      </c>
      <c r="K37" s="786" t="s">
        <v>2059</v>
      </c>
      <c r="L37" s="916"/>
      <c r="M37" s="923">
        <v>41</v>
      </c>
      <c r="N37" s="788">
        <v>20</v>
      </c>
      <c r="O37" s="800">
        <f t="shared" si="0"/>
        <v>61</v>
      </c>
      <c r="P37" s="913">
        <f t="shared" si="1"/>
        <v>3.05</v>
      </c>
      <c r="Q37" s="788">
        <v>38</v>
      </c>
      <c r="R37" s="788">
        <v>22</v>
      </c>
      <c r="S37" s="800">
        <f t="shared" si="2"/>
        <v>60</v>
      </c>
      <c r="T37" s="913">
        <f t="shared" si="3"/>
        <v>3</v>
      </c>
      <c r="U37" s="788">
        <v>44</v>
      </c>
      <c r="V37" s="788">
        <v>21</v>
      </c>
      <c r="W37" s="800">
        <f t="shared" si="4"/>
        <v>65</v>
      </c>
      <c r="X37" s="913">
        <f t="shared" si="5"/>
        <v>3.25</v>
      </c>
      <c r="Y37" s="788">
        <v>39</v>
      </c>
      <c r="Z37" s="788">
        <v>23</v>
      </c>
      <c r="AA37" s="800">
        <f t="shared" si="6"/>
        <v>62</v>
      </c>
      <c r="AB37" s="913">
        <f t="shared" si="7"/>
        <v>3.1</v>
      </c>
      <c r="AC37" s="788">
        <v>44</v>
      </c>
      <c r="AD37" s="788">
        <v>24</v>
      </c>
      <c r="AE37" s="800">
        <f t="shared" si="8"/>
        <v>68</v>
      </c>
      <c r="AF37" s="913">
        <f t="shared" si="9"/>
        <v>3.4</v>
      </c>
      <c r="AG37" s="788">
        <v>46</v>
      </c>
      <c r="AH37" s="788">
        <v>23</v>
      </c>
      <c r="AI37" s="800">
        <f t="shared" si="10"/>
        <v>69</v>
      </c>
      <c r="AJ37" s="924">
        <f t="shared" si="11"/>
        <v>3.45</v>
      </c>
      <c r="AK37" s="789"/>
      <c r="AL37" s="788">
        <v>40</v>
      </c>
      <c r="AM37" s="788">
        <v>20</v>
      </c>
      <c r="AN37" s="935">
        <f t="shared" si="12"/>
        <v>60</v>
      </c>
      <c r="AO37" s="913">
        <f t="shared" si="13"/>
        <v>3</v>
      </c>
      <c r="AP37" s="788">
        <v>39</v>
      </c>
      <c r="AQ37" s="788">
        <v>22</v>
      </c>
      <c r="AR37" s="935">
        <f t="shared" si="14"/>
        <v>61</v>
      </c>
      <c r="AS37" s="913">
        <f t="shared" si="15"/>
        <v>3.05</v>
      </c>
      <c r="AT37" s="788">
        <v>44</v>
      </c>
      <c r="AU37" s="788">
        <v>20</v>
      </c>
      <c r="AV37" s="935">
        <f t="shared" si="16"/>
        <v>64</v>
      </c>
      <c r="AW37" s="913">
        <f t="shared" si="17"/>
        <v>3.2</v>
      </c>
      <c r="AX37" s="788">
        <v>38</v>
      </c>
      <c r="AY37" s="788">
        <v>23</v>
      </c>
      <c r="AZ37" s="935">
        <f t="shared" si="18"/>
        <v>61</v>
      </c>
      <c r="BA37" s="913">
        <f t="shared" si="19"/>
        <v>3.05</v>
      </c>
      <c r="BB37" s="788">
        <v>42</v>
      </c>
      <c r="BC37" s="788">
        <v>21</v>
      </c>
      <c r="BD37" s="935">
        <f t="shared" si="20"/>
        <v>63</v>
      </c>
      <c r="BE37" s="913">
        <f t="shared" si="21"/>
        <v>3.15</v>
      </c>
      <c r="BF37" s="788">
        <v>44</v>
      </c>
      <c r="BG37" s="788">
        <v>21</v>
      </c>
      <c r="BH37" s="935">
        <f t="shared" si="22"/>
        <v>65</v>
      </c>
      <c r="BI37" s="913">
        <f t="shared" si="23"/>
        <v>3.25</v>
      </c>
      <c r="BJ37" s="590"/>
      <c r="BK37" s="788">
        <v>42</v>
      </c>
      <c r="BL37" s="788">
        <v>23</v>
      </c>
      <c r="BM37" s="788">
        <f t="shared" si="24"/>
        <v>13.799999999999999</v>
      </c>
      <c r="BN37" s="913">
        <v>14</v>
      </c>
      <c r="BO37" s="788">
        <v>38</v>
      </c>
      <c r="BP37" s="788">
        <v>23</v>
      </c>
      <c r="BQ37" s="788">
        <f t="shared" si="25"/>
        <v>13.799999999999999</v>
      </c>
      <c r="BR37" s="913">
        <v>14</v>
      </c>
      <c r="BS37" s="788">
        <v>54</v>
      </c>
      <c r="BT37" s="788">
        <v>22</v>
      </c>
      <c r="BU37" s="788">
        <f t="shared" si="26"/>
        <v>13.2</v>
      </c>
      <c r="BV37" s="913">
        <v>13</v>
      </c>
      <c r="BW37" s="788">
        <v>40</v>
      </c>
      <c r="BX37" s="788">
        <v>23</v>
      </c>
      <c r="BY37" s="788">
        <f t="shared" si="27"/>
        <v>13.799999999999999</v>
      </c>
      <c r="BZ37" s="913">
        <v>14</v>
      </c>
      <c r="CA37" s="788">
        <v>30</v>
      </c>
      <c r="CB37" s="788">
        <v>20</v>
      </c>
      <c r="CC37" s="788">
        <f t="shared" si="28"/>
        <v>12</v>
      </c>
      <c r="CD37" s="913">
        <v>12</v>
      </c>
      <c r="CE37" s="788">
        <v>44</v>
      </c>
      <c r="CF37" s="788">
        <v>23</v>
      </c>
      <c r="CG37" s="788">
        <f t="shared" si="29"/>
        <v>13.799999999999999</v>
      </c>
      <c r="CH37" s="913">
        <v>14</v>
      </c>
      <c r="CI37" s="935">
        <f t="shared" si="30"/>
        <v>515.6</v>
      </c>
    </row>
    <row r="38" spans="1:87" s="795" customFormat="1" ht="22.4" customHeight="1">
      <c r="A38" s="791">
        <v>9034</v>
      </c>
      <c r="B38" s="792" t="s">
        <v>3418</v>
      </c>
      <c r="C38" s="792" t="s">
        <v>2836</v>
      </c>
      <c r="D38" s="792" t="s">
        <v>3419</v>
      </c>
      <c r="E38" s="792" t="s">
        <v>3420</v>
      </c>
      <c r="F38" s="792" t="s">
        <v>2845</v>
      </c>
      <c r="G38" s="791">
        <v>199348515</v>
      </c>
      <c r="H38" s="791">
        <v>642</v>
      </c>
      <c r="I38" s="793" t="s">
        <v>2901</v>
      </c>
      <c r="J38" s="794" t="s">
        <v>2204</v>
      </c>
      <c r="K38" s="793" t="s">
        <v>2059</v>
      </c>
      <c r="L38" s="917"/>
      <c r="M38" s="925">
        <v>44</v>
      </c>
      <c r="N38" s="590">
        <v>23</v>
      </c>
      <c r="O38" s="800">
        <f t="shared" si="0"/>
        <v>67</v>
      </c>
      <c r="P38" s="913">
        <f t="shared" si="1"/>
        <v>3.35</v>
      </c>
      <c r="Q38" s="590">
        <v>41</v>
      </c>
      <c r="R38" s="590">
        <v>22</v>
      </c>
      <c r="S38" s="800">
        <f t="shared" si="2"/>
        <v>63</v>
      </c>
      <c r="T38" s="913">
        <f t="shared" si="3"/>
        <v>3.15</v>
      </c>
      <c r="U38" s="590">
        <v>46</v>
      </c>
      <c r="V38" s="590">
        <v>23</v>
      </c>
      <c r="W38" s="800">
        <f t="shared" si="4"/>
        <v>69</v>
      </c>
      <c r="X38" s="913">
        <f t="shared" si="5"/>
        <v>3.45</v>
      </c>
      <c r="Y38" s="590">
        <v>40</v>
      </c>
      <c r="Z38" s="590">
        <v>23</v>
      </c>
      <c r="AA38" s="800">
        <f t="shared" si="6"/>
        <v>63</v>
      </c>
      <c r="AB38" s="913">
        <f t="shared" si="7"/>
        <v>3.15</v>
      </c>
      <c r="AC38" s="590">
        <v>45</v>
      </c>
      <c r="AD38" s="590">
        <v>22</v>
      </c>
      <c r="AE38" s="800">
        <f t="shared" si="8"/>
        <v>67</v>
      </c>
      <c r="AF38" s="913">
        <f t="shared" si="9"/>
        <v>3.35</v>
      </c>
      <c r="AG38" s="590">
        <v>43</v>
      </c>
      <c r="AH38" s="590">
        <v>21</v>
      </c>
      <c r="AI38" s="800">
        <f t="shared" si="10"/>
        <v>64</v>
      </c>
      <c r="AJ38" s="924">
        <f t="shared" si="11"/>
        <v>3.2</v>
      </c>
      <c r="AK38" s="789"/>
      <c r="AL38" s="590">
        <v>42</v>
      </c>
      <c r="AM38" s="590">
        <v>23</v>
      </c>
      <c r="AN38" s="935">
        <f t="shared" si="12"/>
        <v>65</v>
      </c>
      <c r="AO38" s="913">
        <f t="shared" si="13"/>
        <v>3.25</v>
      </c>
      <c r="AP38" s="590">
        <v>40</v>
      </c>
      <c r="AQ38" s="590">
        <v>22</v>
      </c>
      <c r="AR38" s="935">
        <f t="shared" si="14"/>
        <v>62</v>
      </c>
      <c r="AS38" s="913">
        <f t="shared" si="15"/>
        <v>3.1</v>
      </c>
      <c r="AT38" s="590">
        <v>46</v>
      </c>
      <c r="AU38" s="590">
        <v>21</v>
      </c>
      <c r="AV38" s="935">
        <f t="shared" si="16"/>
        <v>67</v>
      </c>
      <c r="AW38" s="913">
        <f t="shared" si="17"/>
        <v>3.35</v>
      </c>
      <c r="AX38" s="590">
        <v>40</v>
      </c>
      <c r="AY38" s="590">
        <v>21</v>
      </c>
      <c r="AZ38" s="935">
        <f t="shared" si="18"/>
        <v>61</v>
      </c>
      <c r="BA38" s="913">
        <f t="shared" si="19"/>
        <v>3.05</v>
      </c>
      <c r="BB38" s="590">
        <v>41</v>
      </c>
      <c r="BC38" s="590">
        <v>23</v>
      </c>
      <c r="BD38" s="935">
        <f t="shared" si="20"/>
        <v>64</v>
      </c>
      <c r="BE38" s="913">
        <f t="shared" si="21"/>
        <v>3.2</v>
      </c>
      <c r="BF38" s="590">
        <v>45</v>
      </c>
      <c r="BG38" s="590">
        <v>20</v>
      </c>
      <c r="BH38" s="935">
        <f t="shared" si="22"/>
        <v>65</v>
      </c>
      <c r="BI38" s="913">
        <f t="shared" si="23"/>
        <v>3.25</v>
      </c>
      <c r="BJ38" s="590"/>
      <c r="BK38" s="590">
        <v>37</v>
      </c>
      <c r="BL38" s="590">
        <v>22</v>
      </c>
      <c r="BM38" s="788">
        <f t="shared" si="24"/>
        <v>13.2</v>
      </c>
      <c r="BN38" s="913">
        <v>13</v>
      </c>
      <c r="BO38" s="590">
        <v>42</v>
      </c>
      <c r="BP38" s="590">
        <v>23</v>
      </c>
      <c r="BQ38" s="788">
        <f t="shared" si="25"/>
        <v>13.799999999999999</v>
      </c>
      <c r="BR38" s="938">
        <v>14</v>
      </c>
      <c r="BS38" s="590">
        <v>46</v>
      </c>
      <c r="BT38" s="590">
        <v>21</v>
      </c>
      <c r="BU38" s="788">
        <f t="shared" si="26"/>
        <v>12.6</v>
      </c>
      <c r="BV38" s="938">
        <v>13</v>
      </c>
      <c r="BW38" s="590">
        <v>40</v>
      </c>
      <c r="BX38" s="590">
        <v>22</v>
      </c>
      <c r="BY38" s="788">
        <f t="shared" si="27"/>
        <v>13.2</v>
      </c>
      <c r="BZ38" s="938">
        <v>13</v>
      </c>
      <c r="CA38" s="590">
        <v>35</v>
      </c>
      <c r="CB38" s="590">
        <v>21</v>
      </c>
      <c r="CC38" s="788">
        <f t="shared" si="28"/>
        <v>12.6</v>
      </c>
      <c r="CD38" s="938">
        <v>13</v>
      </c>
      <c r="CE38" s="590">
        <v>37</v>
      </c>
      <c r="CF38" s="590">
        <v>22</v>
      </c>
      <c r="CG38" s="788">
        <f t="shared" si="29"/>
        <v>13.2</v>
      </c>
      <c r="CH38" s="938">
        <v>13</v>
      </c>
      <c r="CI38" s="935">
        <f t="shared" si="30"/>
        <v>499.40000000000003</v>
      </c>
    </row>
    <row r="39" spans="1:87" s="790" customFormat="1" ht="22.4" customHeight="1">
      <c r="A39" s="784">
        <v>9035</v>
      </c>
      <c r="B39" s="785" t="s">
        <v>3421</v>
      </c>
      <c r="C39" s="785" t="s">
        <v>2837</v>
      </c>
      <c r="D39" s="785" t="s">
        <v>1636</v>
      </c>
      <c r="E39" s="785" t="s">
        <v>2863</v>
      </c>
      <c r="F39" s="785" t="s">
        <v>2846</v>
      </c>
      <c r="G39" s="784">
        <v>143850843</v>
      </c>
      <c r="H39" s="784">
        <v>810</v>
      </c>
      <c r="I39" s="786" t="s">
        <v>2897</v>
      </c>
      <c r="J39" s="787" t="s">
        <v>2204</v>
      </c>
      <c r="K39" s="786" t="s">
        <v>2059</v>
      </c>
      <c r="L39" s="916"/>
      <c r="M39" s="923">
        <v>50</v>
      </c>
      <c r="N39" s="788">
        <v>24</v>
      </c>
      <c r="O39" s="800">
        <f t="shared" si="0"/>
        <v>74</v>
      </c>
      <c r="P39" s="913">
        <f t="shared" si="1"/>
        <v>3.7</v>
      </c>
      <c r="Q39" s="788">
        <v>53</v>
      </c>
      <c r="R39" s="788">
        <v>22</v>
      </c>
      <c r="S39" s="800">
        <f t="shared" si="2"/>
        <v>75</v>
      </c>
      <c r="T39" s="913">
        <f t="shared" si="3"/>
        <v>3.75</v>
      </c>
      <c r="U39" s="788">
        <v>60</v>
      </c>
      <c r="V39" s="788">
        <v>24</v>
      </c>
      <c r="W39" s="800">
        <f t="shared" si="4"/>
        <v>84</v>
      </c>
      <c r="X39" s="913">
        <f t="shared" si="5"/>
        <v>4.2</v>
      </c>
      <c r="Y39" s="788">
        <v>50</v>
      </c>
      <c r="Z39" s="788">
        <v>23</v>
      </c>
      <c r="AA39" s="800">
        <f t="shared" si="6"/>
        <v>73</v>
      </c>
      <c r="AB39" s="913">
        <f t="shared" si="7"/>
        <v>3.65</v>
      </c>
      <c r="AC39" s="788">
        <v>49</v>
      </c>
      <c r="AD39" s="788">
        <v>22</v>
      </c>
      <c r="AE39" s="800">
        <f t="shared" si="8"/>
        <v>71</v>
      </c>
      <c r="AF39" s="913">
        <f t="shared" si="9"/>
        <v>3.55</v>
      </c>
      <c r="AG39" s="788">
        <v>56</v>
      </c>
      <c r="AH39" s="788">
        <v>24</v>
      </c>
      <c r="AI39" s="800">
        <f t="shared" si="10"/>
        <v>80</v>
      </c>
      <c r="AJ39" s="924">
        <f t="shared" si="11"/>
        <v>4</v>
      </c>
      <c r="AK39" s="789"/>
      <c r="AL39" s="788">
        <v>49</v>
      </c>
      <c r="AM39" s="788">
        <v>24</v>
      </c>
      <c r="AN39" s="935">
        <f t="shared" si="12"/>
        <v>73</v>
      </c>
      <c r="AO39" s="913">
        <f t="shared" si="13"/>
        <v>3.65</v>
      </c>
      <c r="AP39" s="788">
        <v>50</v>
      </c>
      <c r="AQ39" s="788">
        <v>24</v>
      </c>
      <c r="AR39" s="935">
        <f t="shared" si="14"/>
        <v>74</v>
      </c>
      <c r="AS39" s="913">
        <f t="shared" si="15"/>
        <v>3.7</v>
      </c>
      <c r="AT39" s="788">
        <v>58</v>
      </c>
      <c r="AU39" s="788">
        <v>23</v>
      </c>
      <c r="AV39" s="935">
        <f t="shared" si="16"/>
        <v>81</v>
      </c>
      <c r="AW39" s="913">
        <f t="shared" si="17"/>
        <v>4.05</v>
      </c>
      <c r="AX39" s="788">
        <v>48</v>
      </c>
      <c r="AY39" s="788">
        <v>23</v>
      </c>
      <c r="AZ39" s="935">
        <f t="shared" si="18"/>
        <v>71</v>
      </c>
      <c r="BA39" s="913">
        <f t="shared" si="19"/>
        <v>3.55</v>
      </c>
      <c r="BB39" s="788">
        <v>44</v>
      </c>
      <c r="BC39" s="788">
        <v>22</v>
      </c>
      <c r="BD39" s="935">
        <f t="shared" si="20"/>
        <v>66</v>
      </c>
      <c r="BE39" s="913">
        <f t="shared" si="21"/>
        <v>3.3</v>
      </c>
      <c r="BF39" s="788">
        <v>53</v>
      </c>
      <c r="BG39" s="788">
        <v>23</v>
      </c>
      <c r="BH39" s="935">
        <f t="shared" si="22"/>
        <v>76</v>
      </c>
      <c r="BI39" s="913">
        <f t="shared" si="23"/>
        <v>3.8</v>
      </c>
      <c r="BJ39" s="590"/>
      <c r="BK39" s="788">
        <v>43</v>
      </c>
      <c r="BL39" s="788">
        <v>23</v>
      </c>
      <c r="BM39" s="788">
        <f t="shared" si="24"/>
        <v>13.799999999999999</v>
      </c>
      <c r="BN39" s="913">
        <v>14</v>
      </c>
      <c r="BO39" s="788">
        <v>55</v>
      </c>
      <c r="BP39" s="788">
        <v>25</v>
      </c>
      <c r="BQ39" s="788">
        <f t="shared" si="25"/>
        <v>15</v>
      </c>
      <c r="BR39" s="913">
        <v>15</v>
      </c>
      <c r="BS39" s="788">
        <v>61</v>
      </c>
      <c r="BT39" s="788">
        <v>24</v>
      </c>
      <c r="BU39" s="788">
        <f t="shared" si="26"/>
        <v>14.399999999999999</v>
      </c>
      <c r="BV39" s="913">
        <v>14</v>
      </c>
      <c r="BW39" s="788">
        <v>45</v>
      </c>
      <c r="BX39" s="788">
        <v>23</v>
      </c>
      <c r="BY39" s="788">
        <f t="shared" si="27"/>
        <v>13.799999999999999</v>
      </c>
      <c r="BZ39" s="913">
        <v>14</v>
      </c>
      <c r="CA39" s="788">
        <v>40</v>
      </c>
      <c r="CB39" s="788">
        <v>24</v>
      </c>
      <c r="CC39" s="788">
        <f t="shared" si="28"/>
        <v>14.399999999999999</v>
      </c>
      <c r="CD39" s="913">
        <v>14</v>
      </c>
      <c r="CE39" s="788">
        <v>43</v>
      </c>
      <c r="CF39" s="788">
        <v>23</v>
      </c>
      <c r="CG39" s="788">
        <f t="shared" si="29"/>
        <v>13.799999999999999</v>
      </c>
      <c r="CH39" s="913">
        <v>14</v>
      </c>
      <c r="CI39" s="935">
        <f t="shared" si="30"/>
        <v>571.4</v>
      </c>
    </row>
    <row r="40" spans="1:87" s="795" customFormat="1" ht="22.4" customHeight="1">
      <c r="A40" s="791">
        <v>9036</v>
      </c>
      <c r="B40" s="792" t="s">
        <v>3422</v>
      </c>
      <c r="C40" s="792" t="s">
        <v>2838</v>
      </c>
      <c r="D40" s="792" t="s">
        <v>72</v>
      </c>
      <c r="E40" s="792" t="s">
        <v>2864</v>
      </c>
      <c r="F40" s="792" t="s">
        <v>2847</v>
      </c>
      <c r="G40" s="791">
        <v>110405214</v>
      </c>
      <c r="H40" s="791">
        <v>1785</v>
      </c>
      <c r="I40" s="793" t="s">
        <v>2900</v>
      </c>
      <c r="J40" s="794" t="s">
        <v>2204</v>
      </c>
      <c r="K40" s="793" t="s">
        <v>2059</v>
      </c>
      <c r="L40" s="917"/>
      <c r="M40" s="925">
        <v>49</v>
      </c>
      <c r="N40" s="590">
        <v>24</v>
      </c>
      <c r="O40" s="800">
        <f t="shared" si="0"/>
        <v>73</v>
      </c>
      <c r="P40" s="913">
        <f t="shared" si="1"/>
        <v>3.65</v>
      </c>
      <c r="Q40" s="590">
        <v>48</v>
      </c>
      <c r="R40" s="590">
        <v>21</v>
      </c>
      <c r="S40" s="800">
        <f t="shared" si="2"/>
        <v>69</v>
      </c>
      <c r="T40" s="913">
        <f t="shared" si="3"/>
        <v>3.45</v>
      </c>
      <c r="U40" s="590">
        <v>58</v>
      </c>
      <c r="V40" s="590">
        <v>24</v>
      </c>
      <c r="W40" s="800">
        <f t="shared" si="4"/>
        <v>82</v>
      </c>
      <c r="X40" s="913">
        <f t="shared" si="5"/>
        <v>4.0999999999999996</v>
      </c>
      <c r="Y40" s="590">
        <v>49</v>
      </c>
      <c r="Z40" s="590">
        <v>24</v>
      </c>
      <c r="AA40" s="800">
        <f t="shared" si="6"/>
        <v>73</v>
      </c>
      <c r="AB40" s="913">
        <f t="shared" si="7"/>
        <v>3.65</v>
      </c>
      <c r="AC40" s="590">
        <v>50</v>
      </c>
      <c r="AD40" s="590">
        <v>24</v>
      </c>
      <c r="AE40" s="800">
        <f t="shared" si="8"/>
        <v>74</v>
      </c>
      <c r="AF40" s="913">
        <f t="shared" si="9"/>
        <v>3.7</v>
      </c>
      <c r="AG40" s="590">
        <v>48</v>
      </c>
      <c r="AH40" s="590">
        <v>24</v>
      </c>
      <c r="AI40" s="800">
        <f t="shared" si="10"/>
        <v>72</v>
      </c>
      <c r="AJ40" s="924">
        <f t="shared" si="11"/>
        <v>3.6</v>
      </c>
      <c r="AK40" s="789"/>
      <c r="AL40" s="590">
        <v>45</v>
      </c>
      <c r="AM40" s="590">
        <v>23</v>
      </c>
      <c r="AN40" s="935">
        <f t="shared" si="12"/>
        <v>68</v>
      </c>
      <c r="AO40" s="913">
        <f t="shared" si="13"/>
        <v>3.4</v>
      </c>
      <c r="AP40" s="590">
        <v>50</v>
      </c>
      <c r="AQ40" s="590">
        <v>22</v>
      </c>
      <c r="AR40" s="935">
        <f t="shared" si="14"/>
        <v>72</v>
      </c>
      <c r="AS40" s="913">
        <f t="shared" si="15"/>
        <v>3.6</v>
      </c>
      <c r="AT40" s="590">
        <v>56</v>
      </c>
      <c r="AU40" s="590">
        <v>23</v>
      </c>
      <c r="AV40" s="935">
        <f t="shared" si="16"/>
        <v>79</v>
      </c>
      <c r="AW40" s="913">
        <f t="shared" si="17"/>
        <v>3.95</v>
      </c>
      <c r="AX40" s="590">
        <v>47</v>
      </c>
      <c r="AY40" s="590">
        <v>24</v>
      </c>
      <c r="AZ40" s="935">
        <f t="shared" si="18"/>
        <v>71</v>
      </c>
      <c r="BA40" s="913">
        <f t="shared" si="19"/>
        <v>3.55</v>
      </c>
      <c r="BB40" s="590">
        <v>48</v>
      </c>
      <c r="BC40" s="590">
        <v>22</v>
      </c>
      <c r="BD40" s="935">
        <f t="shared" si="20"/>
        <v>70</v>
      </c>
      <c r="BE40" s="913">
        <f t="shared" si="21"/>
        <v>3.5</v>
      </c>
      <c r="BF40" s="590">
        <v>45</v>
      </c>
      <c r="BG40" s="590">
        <v>24</v>
      </c>
      <c r="BH40" s="935">
        <f t="shared" si="22"/>
        <v>69</v>
      </c>
      <c r="BI40" s="913">
        <f t="shared" si="23"/>
        <v>3.45</v>
      </c>
      <c r="BJ40" s="590"/>
      <c r="BK40" s="590">
        <v>37</v>
      </c>
      <c r="BL40" s="590">
        <v>23</v>
      </c>
      <c r="BM40" s="788">
        <f t="shared" si="24"/>
        <v>13.799999999999999</v>
      </c>
      <c r="BN40" s="913">
        <v>14</v>
      </c>
      <c r="BO40" s="590">
        <v>40</v>
      </c>
      <c r="BP40" s="590">
        <v>23</v>
      </c>
      <c r="BQ40" s="788">
        <f t="shared" si="25"/>
        <v>13.799999999999999</v>
      </c>
      <c r="BR40" s="938">
        <v>14</v>
      </c>
      <c r="BS40" s="590">
        <v>49</v>
      </c>
      <c r="BT40" s="590">
        <v>24</v>
      </c>
      <c r="BU40" s="788">
        <f t="shared" si="26"/>
        <v>14.399999999999999</v>
      </c>
      <c r="BV40" s="938">
        <v>14</v>
      </c>
      <c r="BW40" s="590">
        <v>37</v>
      </c>
      <c r="BX40" s="590">
        <v>24</v>
      </c>
      <c r="BY40" s="788">
        <f t="shared" si="27"/>
        <v>14.399999999999999</v>
      </c>
      <c r="BZ40" s="938">
        <v>14</v>
      </c>
      <c r="CA40" s="590">
        <v>36</v>
      </c>
      <c r="CB40" s="590">
        <v>23</v>
      </c>
      <c r="CC40" s="788">
        <f t="shared" si="28"/>
        <v>13.799999999999999</v>
      </c>
      <c r="CD40" s="938">
        <v>14</v>
      </c>
      <c r="CE40" s="590">
        <v>42</v>
      </c>
      <c r="CF40" s="590">
        <v>23</v>
      </c>
      <c r="CG40" s="788">
        <f t="shared" si="29"/>
        <v>13.799999999999999</v>
      </c>
      <c r="CH40" s="938">
        <v>14</v>
      </c>
      <c r="CI40" s="935">
        <f t="shared" si="30"/>
        <v>521.20000000000005</v>
      </c>
    </row>
    <row r="41" spans="1:87" s="790" customFormat="1" ht="22.4" customHeight="1">
      <c r="A41" s="784">
        <v>9037</v>
      </c>
      <c r="B41" s="785" t="s">
        <v>3423</v>
      </c>
      <c r="C41" s="785" t="s">
        <v>3424</v>
      </c>
      <c r="D41" s="785" t="s">
        <v>3425</v>
      </c>
      <c r="E41" s="785" t="s">
        <v>3001</v>
      </c>
      <c r="F41" s="797">
        <v>40643</v>
      </c>
      <c r="G41" s="784">
        <v>140917229</v>
      </c>
      <c r="H41" s="784">
        <v>644</v>
      </c>
      <c r="I41" s="786" t="s">
        <v>2903</v>
      </c>
      <c r="J41" s="787" t="s">
        <v>2204</v>
      </c>
      <c r="K41" s="786" t="s">
        <v>2059</v>
      </c>
      <c r="L41" s="916"/>
      <c r="M41" s="923">
        <v>43</v>
      </c>
      <c r="N41" s="788">
        <v>23</v>
      </c>
      <c r="O41" s="800">
        <f t="shared" si="0"/>
        <v>66</v>
      </c>
      <c r="P41" s="913">
        <f t="shared" si="1"/>
        <v>3.3</v>
      </c>
      <c r="Q41" s="788">
        <v>39</v>
      </c>
      <c r="R41" s="788">
        <v>20</v>
      </c>
      <c r="S41" s="800">
        <f t="shared" si="2"/>
        <v>59</v>
      </c>
      <c r="T41" s="913">
        <f t="shared" si="3"/>
        <v>2.95</v>
      </c>
      <c r="U41" s="788">
        <v>47</v>
      </c>
      <c r="V41" s="788">
        <v>23</v>
      </c>
      <c r="W41" s="800">
        <f t="shared" si="4"/>
        <v>70</v>
      </c>
      <c r="X41" s="913">
        <f t="shared" si="5"/>
        <v>3.5</v>
      </c>
      <c r="Y41" s="788">
        <v>41</v>
      </c>
      <c r="Z41" s="788">
        <v>20</v>
      </c>
      <c r="AA41" s="800">
        <f t="shared" si="6"/>
        <v>61</v>
      </c>
      <c r="AB41" s="913">
        <f t="shared" si="7"/>
        <v>3.05</v>
      </c>
      <c r="AC41" s="788">
        <v>45</v>
      </c>
      <c r="AD41" s="788">
        <v>23</v>
      </c>
      <c r="AE41" s="800">
        <f t="shared" si="8"/>
        <v>68</v>
      </c>
      <c r="AF41" s="913">
        <f t="shared" si="9"/>
        <v>3.4</v>
      </c>
      <c r="AG41" s="788">
        <v>45</v>
      </c>
      <c r="AH41" s="788">
        <v>22</v>
      </c>
      <c r="AI41" s="800">
        <f t="shared" si="10"/>
        <v>67</v>
      </c>
      <c r="AJ41" s="924">
        <f t="shared" si="11"/>
        <v>3.35</v>
      </c>
      <c r="AK41" s="789"/>
      <c r="AL41" s="788">
        <v>41</v>
      </c>
      <c r="AM41" s="788">
        <v>23</v>
      </c>
      <c r="AN41" s="935">
        <f t="shared" si="12"/>
        <v>64</v>
      </c>
      <c r="AO41" s="913">
        <f t="shared" si="13"/>
        <v>3.2</v>
      </c>
      <c r="AP41" s="788">
        <v>38</v>
      </c>
      <c r="AQ41" s="788">
        <v>23</v>
      </c>
      <c r="AR41" s="935">
        <f t="shared" si="14"/>
        <v>61</v>
      </c>
      <c r="AS41" s="913">
        <f t="shared" si="15"/>
        <v>3.05</v>
      </c>
      <c r="AT41" s="788">
        <v>46</v>
      </c>
      <c r="AU41" s="788">
        <v>21</v>
      </c>
      <c r="AV41" s="935">
        <f t="shared" si="16"/>
        <v>67</v>
      </c>
      <c r="AW41" s="913">
        <f t="shared" si="17"/>
        <v>3.35</v>
      </c>
      <c r="AX41" s="788">
        <v>40</v>
      </c>
      <c r="AY41" s="788">
        <v>21</v>
      </c>
      <c r="AZ41" s="935">
        <f t="shared" si="18"/>
        <v>61</v>
      </c>
      <c r="BA41" s="913">
        <f t="shared" si="19"/>
        <v>3.05</v>
      </c>
      <c r="BB41" s="788">
        <v>43</v>
      </c>
      <c r="BC41" s="788">
        <v>22</v>
      </c>
      <c r="BD41" s="935">
        <f t="shared" si="20"/>
        <v>65</v>
      </c>
      <c r="BE41" s="913">
        <f t="shared" si="21"/>
        <v>3.25</v>
      </c>
      <c r="BF41" s="788">
        <v>44</v>
      </c>
      <c r="BG41" s="788">
        <v>20</v>
      </c>
      <c r="BH41" s="935">
        <f t="shared" si="22"/>
        <v>64</v>
      </c>
      <c r="BI41" s="913">
        <f t="shared" si="23"/>
        <v>3.2</v>
      </c>
      <c r="BJ41" s="590"/>
      <c r="BK41" s="788">
        <v>36</v>
      </c>
      <c r="BL41" s="788">
        <v>23</v>
      </c>
      <c r="BM41" s="788">
        <f t="shared" si="24"/>
        <v>13.799999999999999</v>
      </c>
      <c r="BN41" s="913">
        <v>14</v>
      </c>
      <c r="BO41" s="788">
        <v>39</v>
      </c>
      <c r="BP41" s="788">
        <v>22</v>
      </c>
      <c r="BQ41" s="788">
        <f t="shared" si="25"/>
        <v>13.2</v>
      </c>
      <c r="BR41" s="913">
        <v>13</v>
      </c>
      <c r="BS41" s="788">
        <v>43</v>
      </c>
      <c r="BT41" s="788">
        <v>23</v>
      </c>
      <c r="BU41" s="788">
        <f t="shared" si="26"/>
        <v>13.799999999999999</v>
      </c>
      <c r="BV41" s="913">
        <v>14</v>
      </c>
      <c r="BW41" s="788">
        <v>39</v>
      </c>
      <c r="BX41" s="788">
        <v>21</v>
      </c>
      <c r="BY41" s="788">
        <f t="shared" si="27"/>
        <v>12.6</v>
      </c>
      <c r="BZ41" s="913">
        <v>13</v>
      </c>
      <c r="CA41" s="788">
        <v>30</v>
      </c>
      <c r="CB41" s="788">
        <v>22</v>
      </c>
      <c r="CC41" s="788">
        <f t="shared" si="28"/>
        <v>13.2</v>
      </c>
      <c r="CD41" s="913">
        <v>13</v>
      </c>
      <c r="CE41" s="788">
        <v>37</v>
      </c>
      <c r="CF41" s="788">
        <v>22</v>
      </c>
      <c r="CG41" s="788">
        <f t="shared" si="29"/>
        <v>13.2</v>
      </c>
      <c r="CH41" s="913">
        <v>13</v>
      </c>
      <c r="CI41" s="935">
        <f t="shared" si="30"/>
        <v>490.6</v>
      </c>
    </row>
    <row r="42" spans="1:87" s="795" customFormat="1" ht="22.4" customHeight="1">
      <c r="A42" s="791">
        <v>9038</v>
      </c>
      <c r="B42" s="792" t="s">
        <v>3426</v>
      </c>
      <c r="C42" s="792" t="s">
        <v>2078</v>
      </c>
      <c r="D42" s="792" t="s">
        <v>2855</v>
      </c>
      <c r="E42" s="792" t="s">
        <v>2865</v>
      </c>
      <c r="F42" s="792" t="s">
        <v>2848</v>
      </c>
      <c r="G42" s="791">
        <v>139945418</v>
      </c>
      <c r="H42" s="791">
        <v>594</v>
      </c>
      <c r="I42" s="793" t="s">
        <v>2908</v>
      </c>
      <c r="J42" s="794" t="s">
        <v>2204</v>
      </c>
      <c r="K42" s="793" t="s">
        <v>2059</v>
      </c>
      <c r="L42" s="917"/>
      <c r="M42" s="925">
        <v>46</v>
      </c>
      <c r="N42" s="590">
        <v>22</v>
      </c>
      <c r="O42" s="800">
        <f t="shared" si="0"/>
        <v>68</v>
      </c>
      <c r="P42" s="913">
        <f t="shared" si="1"/>
        <v>3.4</v>
      </c>
      <c r="Q42" s="590">
        <v>39</v>
      </c>
      <c r="R42" s="590">
        <v>23</v>
      </c>
      <c r="S42" s="800">
        <f t="shared" si="2"/>
        <v>62</v>
      </c>
      <c r="T42" s="913">
        <f t="shared" si="3"/>
        <v>3.1</v>
      </c>
      <c r="U42" s="590">
        <v>45</v>
      </c>
      <c r="V42" s="590">
        <v>23</v>
      </c>
      <c r="W42" s="800">
        <f t="shared" si="4"/>
        <v>68</v>
      </c>
      <c r="X42" s="913">
        <f t="shared" si="5"/>
        <v>3.4</v>
      </c>
      <c r="Y42" s="590">
        <v>39</v>
      </c>
      <c r="Z42" s="590">
        <v>22</v>
      </c>
      <c r="AA42" s="800">
        <f t="shared" si="6"/>
        <v>61</v>
      </c>
      <c r="AB42" s="913">
        <f t="shared" si="7"/>
        <v>3.05</v>
      </c>
      <c r="AC42" s="590">
        <v>44</v>
      </c>
      <c r="AD42" s="590">
        <v>22</v>
      </c>
      <c r="AE42" s="800">
        <f t="shared" si="8"/>
        <v>66</v>
      </c>
      <c r="AF42" s="913">
        <f t="shared" si="9"/>
        <v>3.3</v>
      </c>
      <c r="AG42" s="590">
        <v>45</v>
      </c>
      <c r="AH42" s="590">
        <v>23</v>
      </c>
      <c r="AI42" s="800">
        <f t="shared" si="10"/>
        <v>68</v>
      </c>
      <c r="AJ42" s="924">
        <f t="shared" si="11"/>
        <v>3.4</v>
      </c>
      <c r="AK42" s="789"/>
      <c r="AL42" s="590">
        <v>44</v>
      </c>
      <c r="AM42" s="590">
        <v>23</v>
      </c>
      <c r="AN42" s="935">
        <f t="shared" si="12"/>
        <v>67</v>
      </c>
      <c r="AO42" s="913">
        <f t="shared" si="13"/>
        <v>3.35</v>
      </c>
      <c r="AP42" s="590">
        <v>39</v>
      </c>
      <c r="AQ42" s="590">
        <v>23</v>
      </c>
      <c r="AR42" s="935">
        <f t="shared" si="14"/>
        <v>62</v>
      </c>
      <c r="AS42" s="913">
        <f t="shared" si="15"/>
        <v>3.1</v>
      </c>
      <c r="AT42" s="590">
        <v>48</v>
      </c>
      <c r="AU42" s="590">
        <v>24</v>
      </c>
      <c r="AV42" s="935">
        <f t="shared" si="16"/>
        <v>72</v>
      </c>
      <c r="AW42" s="913">
        <f t="shared" si="17"/>
        <v>3.6</v>
      </c>
      <c r="AX42" s="590">
        <v>39</v>
      </c>
      <c r="AY42" s="590">
        <v>22</v>
      </c>
      <c r="AZ42" s="935">
        <f t="shared" si="18"/>
        <v>61</v>
      </c>
      <c r="BA42" s="913">
        <f t="shared" si="19"/>
        <v>3.05</v>
      </c>
      <c r="BB42" s="590">
        <v>46</v>
      </c>
      <c r="BC42" s="590">
        <v>21</v>
      </c>
      <c r="BD42" s="935">
        <f t="shared" si="20"/>
        <v>67</v>
      </c>
      <c r="BE42" s="913">
        <f t="shared" si="21"/>
        <v>3.35</v>
      </c>
      <c r="BF42" s="590">
        <v>47</v>
      </c>
      <c r="BG42" s="590">
        <v>20</v>
      </c>
      <c r="BH42" s="935">
        <f t="shared" si="22"/>
        <v>67</v>
      </c>
      <c r="BI42" s="913">
        <f t="shared" si="23"/>
        <v>3.35</v>
      </c>
      <c r="BJ42" s="590"/>
      <c r="BK42" s="590">
        <v>39</v>
      </c>
      <c r="BL42" s="590">
        <v>23</v>
      </c>
      <c r="BM42" s="788">
        <f t="shared" si="24"/>
        <v>13.799999999999999</v>
      </c>
      <c r="BN42" s="913">
        <v>14</v>
      </c>
      <c r="BO42" s="590">
        <v>46</v>
      </c>
      <c r="BP42" s="590">
        <v>23</v>
      </c>
      <c r="BQ42" s="788">
        <f t="shared" si="25"/>
        <v>13.799999999999999</v>
      </c>
      <c r="BR42" s="938">
        <v>14</v>
      </c>
      <c r="BS42" s="590">
        <v>46</v>
      </c>
      <c r="BT42" s="590">
        <v>24</v>
      </c>
      <c r="BU42" s="788">
        <f t="shared" si="26"/>
        <v>14.399999999999999</v>
      </c>
      <c r="BV42" s="938">
        <v>14</v>
      </c>
      <c r="BW42" s="590">
        <v>44</v>
      </c>
      <c r="BX42" s="590">
        <v>23</v>
      </c>
      <c r="BY42" s="788">
        <f t="shared" si="27"/>
        <v>13.799999999999999</v>
      </c>
      <c r="BZ42" s="938">
        <v>14</v>
      </c>
      <c r="CA42" s="590">
        <v>36</v>
      </c>
      <c r="CB42" s="590">
        <v>23</v>
      </c>
      <c r="CC42" s="788">
        <f t="shared" si="28"/>
        <v>13.799999999999999</v>
      </c>
      <c r="CD42" s="938">
        <v>14</v>
      </c>
      <c r="CE42" s="590">
        <v>44</v>
      </c>
      <c r="CF42" s="590">
        <v>23</v>
      </c>
      <c r="CG42" s="788">
        <f t="shared" si="29"/>
        <v>13.799999999999999</v>
      </c>
      <c r="CH42" s="938">
        <v>14</v>
      </c>
      <c r="CI42" s="935">
        <f t="shared" si="30"/>
        <v>533.6</v>
      </c>
    </row>
    <row r="43" spans="1:87" s="790" customFormat="1" ht="22.4" customHeight="1">
      <c r="A43" s="784">
        <v>9039</v>
      </c>
      <c r="B43" s="785" t="s">
        <v>3427</v>
      </c>
      <c r="C43" s="785" t="s">
        <v>3428</v>
      </c>
      <c r="D43" s="785" t="s">
        <v>3429</v>
      </c>
      <c r="E43" s="785" t="s">
        <v>3430</v>
      </c>
      <c r="F43" s="785" t="s">
        <v>2911</v>
      </c>
      <c r="G43" s="784">
        <v>106326964</v>
      </c>
      <c r="H43" s="784">
        <v>1402</v>
      </c>
      <c r="I43" s="786" t="s">
        <v>2900</v>
      </c>
      <c r="J43" s="787" t="s">
        <v>2204</v>
      </c>
      <c r="K43" s="786" t="s">
        <v>2059</v>
      </c>
      <c r="L43" s="916"/>
      <c r="M43" s="923">
        <v>49</v>
      </c>
      <c r="N43" s="788">
        <v>23</v>
      </c>
      <c r="O43" s="800">
        <f t="shared" si="0"/>
        <v>72</v>
      </c>
      <c r="P43" s="913">
        <f t="shared" si="1"/>
        <v>3.6</v>
      </c>
      <c r="Q43" s="788">
        <v>40</v>
      </c>
      <c r="R43" s="788">
        <v>22</v>
      </c>
      <c r="S43" s="800">
        <f t="shared" si="2"/>
        <v>62</v>
      </c>
      <c r="T43" s="913">
        <f t="shared" si="3"/>
        <v>3.1</v>
      </c>
      <c r="U43" s="788">
        <v>49</v>
      </c>
      <c r="V43" s="788">
        <v>24</v>
      </c>
      <c r="W43" s="800">
        <f t="shared" si="4"/>
        <v>73</v>
      </c>
      <c r="X43" s="913">
        <f t="shared" si="5"/>
        <v>3.65</v>
      </c>
      <c r="Y43" s="788">
        <v>44</v>
      </c>
      <c r="Z43" s="788">
        <v>23</v>
      </c>
      <c r="AA43" s="800">
        <f t="shared" si="6"/>
        <v>67</v>
      </c>
      <c r="AB43" s="913">
        <f t="shared" si="7"/>
        <v>3.35</v>
      </c>
      <c r="AC43" s="788">
        <v>44</v>
      </c>
      <c r="AD43" s="788">
        <v>22</v>
      </c>
      <c r="AE43" s="800">
        <f t="shared" si="8"/>
        <v>66</v>
      </c>
      <c r="AF43" s="913">
        <f t="shared" si="9"/>
        <v>3.3</v>
      </c>
      <c r="AG43" s="788">
        <v>43</v>
      </c>
      <c r="AH43" s="788">
        <v>23</v>
      </c>
      <c r="AI43" s="800">
        <f t="shared" si="10"/>
        <v>66</v>
      </c>
      <c r="AJ43" s="924">
        <f t="shared" si="11"/>
        <v>3.3</v>
      </c>
      <c r="AK43" s="789"/>
      <c r="AL43" s="788">
        <v>46</v>
      </c>
      <c r="AM43" s="788">
        <v>24</v>
      </c>
      <c r="AN43" s="935">
        <f t="shared" si="12"/>
        <v>70</v>
      </c>
      <c r="AO43" s="913">
        <f t="shared" si="13"/>
        <v>3.5</v>
      </c>
      <c r="AP43" s="788">
        <v>45</v>
      </c>
      <c r="AQ43" s="788">
        <v>23</v>
      </c>
      <c r="AR43" s="935">
        <f t="shared" si="14"/>
        <v>68</v>
      </c>
      <c r="AS43" s="913">
        <f t="shared" si="15"/>
        <v>3.4</v>
      </c>
      <c r="AT43" s="788">
        <v>52</v>
      </c>
      <c r="AU43" s="788">
        <v>23</v>
      </c>
      <c r="AV43" s="935">
        <f t="shared" si="16"/>
        <v>75</v>
      </c>
      <c r="AW43" s="913">
        <f t="shared" si="17"/>
        <v>3.75</v>
      </c>
      <c r="AX43" s="788">
        <v>45</v>
      </c>
      <c r="AY43" s="788">
        <v>24</v>
      </c>
      <c r="AZ43" s="935">
        <f t="shared" si="18"/>
        <v>69</v>
      </c>
      <c r="BA43" s="913">
        <f t="shared" si="19"/>
        <v>3.45</v>
      </c>
      <c r="BB43" s="788">
        <v>46</v>
      </c>
      <c r="BC43" s="788">
        <v>22</v>
      </c>
      <c r="BD43" s="935">
        <f t="shared" si="20"/>
        <v>68</v>
      </c>
      <c r="BE43" s="913">
        <f t="shared" si="21"/>
        <v>3.4</v>
      </c>
      <c r="BF43" s="788">
        <v>45</v>
      </c>
      <c r="BG43" s="788">
        <v>24</v>
      </c>
      <c r="BH43" s="935">
        <f t="shared" si="22"/>
        <v>69</v>
      </c>
      <c r="BI43" s="913">
        <f t="shared" si="23"/>
        <v>3.45</v>
      </c>
      <c r="BJ43" s="590"/>
      <c r="BK43" s="788">
        <v>36</v>
      </c>
      <c r="BL43" s="788">
        <v>23</v>
      </c>
      <c r="BM43" s="788">
        <f t="shared" si="24"/>
        <v>13.799999999999999</v>
      </c>
      <c r="BN43" s="913">
        <v>14</v>
      </c>
      <c r="BO43" s="788">
        <v>51</v>
      </c>
      <c r="BP43" s="788">
        <v>24</v>
      </c>
      <c r="BQ43" s="788">
        <f t="shared" si="25"/>
        <v>14.399999999999999</v>
      </c>
      <c r="BR43" s="913">
        <v>14</v>
      </c>
      <c r="BS43" s="788">
        <v>52</v>
      </c>
      <c r="BT43" s="788">
        <v>24</v>
      </c>
      <c r="BU43" s="788">
        <f t="shared" si="26"/>
        <v>14.399999999999999</v>
      </c>
      <c r="BV43" s="913">
        <v>14</v>
      </c>
      <c r="BW43" s="788">
        <v>50</v>
      </c>
      <c r="BX43" s="788">
        <v>23</v>
      </c>
      <c r="BY43" s="788">
        <f t="shared" si="27"/>
        <v>13.799999999999999</v>
      </c>
      <c r="BZ43" s="913">
        <v>14</v>
      </c>
      <c r="CA43" s="788">
        <v>35</v>
      </c>
      <c r="CB43" s="788">
        <v>22</v>
      </c>
      <c r="CC43" s="788">
        <f t="shared" si="28"/>
        <v>13.2</v>
      </c>
      <c r="CD43" s="913">
        <v>13</v>
      </c>
      <c r="CE43" s="788">
        <v>47</v>
      </c>
      <c r="CF43" s="788">
        <v>23</v>
      </c>
      <c r="CG43" s="788">
        <f t="shared" si="29"/>
        <v>13.799999999999999</v>
      </c>
      <c r="CH43" s="913">
        <v>14</v>
      </c>
      <c r="CI43" s="935">
        <f t="shared" si="30"/>
        <v>548.6</v>
      </c>
    </row>
    <row r="44" spans="1:87" s="795" customFormat="1" ht="22.4" customHeight="1">
      <c r="A44" s="791">
        <v>9040</v>
      </c>
      <c r="B44" s="792" t="s">
        <v>3431</v>
      </c>
      <c r="C44" s="792" t="s">
        <v>2839</v>
      </c>
      <c r="D44" s="792" t="s">
        <v>2856</v>
      </c>
      <c r="E44" s="792" t="s">
        <v>3432</v>
      </c>
      <c r="F44" s="792" t="s">
        <v>2849</v>
      </c>
      <c r="G44" s="791">
        <v>110046991</v>
      </c>
      <c r="H44" s="791">
        <v>595</v>
      </c>
      <c r="I44" s="793" t="s">
        <v>2907</v>
      </c>
      <c r="J44" s="794" t="s">
        <v>2204</v>
      </c>
      <c r="K44" s="793" t="s">
        <v>2059</v>
      </c>
      <c r="L44" s="917"/>
      <c r="M44" s="925">
        <v>42</v>
      </c>
      <c r="N44" s="590">
        <v>22</v>
      </c>
      <c r="O44" s="800">
        <f t="shared" si="0"/>
        <v>64</v>
      </c>
      <c r="P44" s="913">
        <f t="shared" si="1"/>
        <v>3.2</v>
      </c>
      <c r="Q44" s="590">
        <v>38</v>
      </c>
      <c r="R44" s="590">
        <v>21</v>
      </c>
      <c r="S44" s="800">
        <f t="shared" si="2"/>
        <v>59</v>
      </c>
      <c r="T44" s="913">
        <f t="shared" si="3"/>
        <v>2.95</v>
      </c>
      <c r="U44" s="590">
        <v>49</v>
      </c>
      <c r="V44" s="590">
        <v>24</v>
      </c>
      <c r="W44" s="800">
        <f t="shared" si="4"/>
        <v>73</v>
      </c>
      <c r="X44" s="913">
        <f t="shared" si="5"/>
        <v>3.65</v>
      </c>
      <c r="Y44" s="590">
        <v>39</v>
      </c>
      <c r="Z44" s="590">
        <v>22</v>
      </c>
      <c r="AA44" s="800">
        <f t="shared" si="6"/>
        <v>61</v>
      </c>
      <c r="AB44" s="913">
        <f t="shared" si="7"/>
        <v>3.05</v>
      </c>
      <c r="AC44" s="590">
        <v>47</v>
      </c>
      <c r="AD44" s="590">
        <v>23</v>
      </c>
      <c r="AE44" s="800">
        <f t="shared" si="8"/>
        <v>70</v>
      </c>
      <c r="AF44" s="913">
        <f t="shared" si="9"/>
        <v>3.5</v>
      </c>
      <c r="AG44" s="590">
        <v>45</v>
      </c>
      <c r="AH44" s="590">
        <v>24</v>
      </c>
      <c r="AI44" s="800">
        <f t="shared" si="10"/>
        <v>69</v>
      </c>
      <c r="AJ44" s="924">
        <f t="shared" si="11"/>
        <v>3.45</v>
      </c>
      <c r="AK44" s="789"/>
      <c r="AL44" s="590">
        <v>41</v>
      </c>
      <c r="AM44" s="590">
        <v>21</v>
      </c>
      <c r="AN44" s="935">
        <f t="shared" si="12"/>
        <v>62</v>
      </c>
      <c r="AO44" s="913">
        <f t="shared" si="13"/>
        <v>3.1</v>
      </c>
      <c r="AP44" s="590">
        <v>39</v>
      </c>
      <c r="AQ44" s="590">
        <v>22</v>
      </c>
      <c r="AR44" s="935">
        <f t="shared" si="14"/>
        <v>61</v>
      </c>
      <c r="AS44" s="913">
        <f t="shared" si="15"/>
        <v>3.05</v>
      </c>
      <c r="AT44" s="590">
        <v>48</v>
      </c>
      <c r="AU44" s="590">
        <v>21</v>
      </c>
      <c r="AV44" s="935">
        <f t="shared" si="16"/>
        <v>69</v>
      </c>
      <c r="AW44" s="913">
        <f t="shared" si="17"/>
        <v>3.45</v>
      </c>
      <c r="AX44" s="590">
        <v>40</v>
      </c>
      <c r="AY44" s="590">
        <v>23</v>
      </c>
      <c r="AZ44" s="935">
        <f t="shared" si="18"/>
        <v>63</v>
      </c>
      <c r="BA44" s="913">
        <f t="shared" si="19"/>
        <v>3.15</v>
      </c>
      <c r="BB44" s="590">
        <v>45</v>
      </c>
      <c r="BC44" s="590">
        <v>23</v>
      </c>
      <c r="BD44" s="935">
        <f t="shared" si="20"/>
        <v>68</v>
      </c>
      <c r="BE44" s="913">
        <f t="shared" si="21"/>
        <v>3.4</v>
      </c>
      <c r="BF44" s="590">
        <v>47</v>
      </c>
      <c r="BG44" s="590">
        <v>22</v>
      </c>
      <c r="BH44" s="935">
        <f t="shared" si="22"/>
        <v>69</v>
      </c>
      <c r="BI44" s="913">
        <f t="shared" si="23"/>
        <v>3.45</v>
      </c>
      <c r="BJ44" s="590"/>
      <c r="BK44" s="590">
        <v>34</v>
      </c>
      <c r="BL44" s="590">
        <v>22</v>
      </c>
      <c r="BM44" s="788">
        <f t="shared" si="24"/>
        <v>13.2</v>
      </c>
      <c r="BN44" s="913">
        <v>13</v>
      </c>
      <c r="BO44" s="590">
        <v>39</v>
      </c>
      <c r="BP44" s="590">
        <v>23</v>
      </c>
      <c r="BQ44" s="788">
        <f t="shared" si="25"/>
        <v>13.799999999999999</v>
      </c>
      <c r="BR44" s="938">
        <v>14</v>
      </c>
      <c r="BS44" s="590">
        <v>46</v>
      </c>
      <c r="BT44" s="590">
        <v>22</v>
      </c>
      <c r="BU44" s="788">
        <f t="shared" si="26"/>
        <v>13.2</v>
      </c>
      <c r="BV44" s="938">
        <v>13</v>
      </c>
      <c r="BW44" s="590">
        <v>38</v>
      </c>
      <c r="BX44" s="590">
        <v>20</v>
      </c>
      <c r="BY44" s="788">
        <f t="shared" si="27"/>
        <v>12</v>
      </c>
      <c r="BZ44" s="938">
        <v>12</v>
      </c>
      <c r="CA44" s="590">
        <v>30</v>
      </c>
      <c r="CB44" s="590">
        <v>20</v>
      </c>
      <c r="CC44" s="788">
        <f t="shared" si="28"/>
        <v>12</v>
      </c>
      <c r="CD44" s="938">
        <v>12</v>
      </c>
      <c r="CE44" s="590">
        <v>36</v>
      </c>
      <c r="CF44" s="590">
        <v>23</v>
      </c>
      <c r="CG44" s="788">
        <f t="shared" si="29"/>
        <v>13.799999999999999</v>
      </c>
      <c r="CH44" s="938">
        <v>14</v>
      </c>
      <c r="CI44" s="935">
        <f t="shared" si="30"/>
        <v>481.2</v>
      </c>
    </row>
    <row r="45" spans="1:87" s="790" customFormat="1" ht="22.4" customHeight="1">
      <c r="A45" s="784">
        <v>9041</v>
      </c>
      <c r="B45" s="785" t="s">
        <v>3433</v>
      </c>
      <c r="C45" s="785" t="s">
        <v>3434</v>
      </c>
      <c r="D45" s="785" t="s">
        <v>3435</v>
      </c>
      <c r="E45" s="785" t="s">
        <v>2909</v>
      </c>
      <c r="F45" s="785" t="s">
        <v>2910</v>
      </c>
      <c r="G45" s="784">
        <v>131869371</v>
      </c>
      <c r="H45" s="784">
        <v>1193</v>
      </c>
      <c r="I45" s="786" t="s">
        <v>2908</v>
      </c>
      <c r="J45" s="787" t="s">
        <v>2204</v>
      </c>
      <c r="K45" s="786" t="s">
        <v>2059</v>
      </c>
      <c r="L45" s="916"/>
      <c r="M45" s="923">
        <v>47</v>
      </c>
      <c r="N45" s="788">
        <v>23</v>
      </c>
      <c r="O45" s="800">
        <f t="shared" si="0"/>
        <v>70</v>
      </c>
      <c r="P45" s="913">
        <f t="shared" si="1"/>
        <v>3.5</v>
      </c>
      <c r="Q45" s="788">
        <v>41</v>
      </c>
      <c r="R45" s="788">
        <v>24</v>
      </c>
      <c r="S45" s="800">
        <f t="shared" si="2"/>
        <v>65</v>
      </c>
      <c r="T45" s="913">
        <f t="shared" si="3"/>
        <v>3.25</v>
      </c>
      <c r="U45" s="788">
        <v>47</v>
      </c>
      <c r="V45" s="788">
        <v>23</v>
      </c>
      <c r="W45" s="800">
        <f t="shared" si="4"/>
        <v>70</v>
      </c>
      <c r="X45" s="913">
        <f t="shared" si="5"/>
        <v>3.5</v>
      </c>
      <c r="Y45" s="788">
        <v>39</v>
      </c>
      <c r="Z45" s="788">
        <v>22</v>
      </c>
      <c r="AA45" s="800">
        <f t="shared" si="6"/>
        <v>61</v>
      </c>
      <c r="AB45" s="913">
        <f t="shared" si="7"/>
        <v>3.05</v>
      </c>
      <c r="AC45" s="788">
        <v>49</v>
      </c>
      <c r="AD45" s="788">
        <v>22</v>
      </c>
      <c r="AE45" s="800">
        <f t="shared" si="8"/>
        <v>71</v>
      </c>
      <c r="AF45" s="913">
        <f t="shared" si="9"/>
        <v>3.55</v>
      </c>
      <c r="AG45" s="788">
        <v>47</v>
      </c>
      <c r="AH45" s="788">
        <v>23</v>
      </c>
      <c r="AI45" s="800">
        <f t="shared" si="10"/>
        <v>70</v>
      </c>
      <c r="AJ45" s="924">
        <f t="shared" si="11"/>
        <v>3.5</v>
      </c>
      <c r="AK45" s="789"/>
      <c r="AL45" s="788">
        <v>46</v>
      </c>
      <c r="AM45" s="788">
        <v>24</v>
      </c>
      <c r="AN45" s="935">
        <f t="shared" si="12"/>
        <v>70</v>
      </c>
      <c r="AO45" s="913">
        <f t="shared" si="13"/>
        <v>3.5</v>
      </c>
      <c r="AP45" s="788">
        <v>42</v>
      </c>
      <c r="AQ45" s="788">
        <v>23</v>
      </c>
      <c r="AR45" s="935">
        <f t="shared" si="14"/>
        <v>65</v>
      </c>
      <c r="AS45" s="913">
        <f t="shared" si="15"/>
        <v>3.25</v>
      </c>
      <c r="AT45" s="788">
        <v>46</v>
      </c>
      <c r="AU45" s="788">
        <v>23</v>
      </c>
      <c r="AV45" s="935">
        <f t="shared" si="16"/>
        <v>69</v>
      </c>
      <c r="AW45" s="913">
        <f t="shared" si="17"/>
        <v>3.45</v>
      </c>
      <c r="AX45" s="788">
        <v>41</v>
      </c>
      <c r="AY45" s="788">
        <v>24</v>
      </c>
      <c r="AZ45" s="935">
        <f t="shared" si="18"/>
        <v>65</v>
      </c>
      <c r="BA45" s="913">
        <f t="shared" si="19"/>
        <v>3.25</v>
      </c>
      <c r="BB45" s="788">
        <v>49</v>
      </c>
      <c r="BC45" s="788">
        <v>22</v>
      </c>
      <c r="BD45" s="935">
        <f t="shared" si="20"/>
        <v>71</v>
      </c>
      <c r="BE45" s="913">
        <f t="shared" si="21"/>
        <v>3.55</v>
      </c>
      <c r="BF45" s="788">
        <v>48</v>
      </c>
      <c r="BG45" s="788">
        <v>21</v>
      </c>
      <c r="BH45" s="935">
        <f t="shared" si="22"/>
        <v>69</v>
      </c>
      <c r="BI45" s="913">
        <f t="shared" si="23"/>
        <v>3.45</v>
      </c>
      <c r="BJ45" s="590"/>
      <c r="BK45" s="788">
        <v>41</v>
      </c>
      <c r="BL45" s="788">
        <v>23</v>
      </c>
      <c r="BM45" s="788">
        <f t="shared" si="24"/>
        <v>13.799999999999999</v>
      </c>
      <c r="BN45" s="913">
        <v>14</v>
      </c>
      <c r="BO45" s="788">
        <v>48</v>
      </c>
      <c r="BP45" s="788">
        <v>24</v>
      </c>
      <c r="BQ45" s="788">
        <f t="shared" si="25"/>
        <v>14.399999999999999</v>
      </c>
      <c r="BR45" s="913">
        <v>14</v>
      </c>
      <c r="BS45" s="788">
        <v>46</v>
      </c>
      <c r="BT45" s="788">
        <v>23</v>
      </c>
      <c r="BU45" s="788">
        <f t="shared" si="26"/>
        <v>13.799999999999999</v>
      </c>
      <c r="BV45" s="913">
        <v>14</v>
      </c>
      <c r="BW45" s="788">
        <v>42</v>
      </c>
      <c r="BX45" s="788">
        <v>20</v>
      </c>
      <c r="BY45" s="788">
        <f t="shared" si="27"/>
        <v>12</v>
      </c>
      <c r="BZ45" s="913">
        <v>12</v>
      </c>
      <c r="CA45" s="788">
        <v>32</v>
      </c>
      <c r="CB45" s="788">
        <v>20</v>
      </c>
      <c r="CC45" s="788">
        <f t="shared" si="28"/>
        <v>12</v>
      </c>
      <c r="CD45" s="913">
        <v>12</v>
      </c>
      <c r="CE45" s="788">
        <v>42</v>
      </c>
      <c r="CF45" s="788">
        <v>23</v>
      </c>
      <c r="CG45" s="788">
        <f t="shared" si="29"/>
        <v>13.799999999999999</v>
      </c>
      <c r="CH45" s="913">
        <v>14</v>
      </c>
      <c r="CI45" s="935">
        <f t="shared" si="30"/>
        <v>516</v>
      </c>
    </row>
    <row r="46" spans="1:87" s="795" customFormat="1" ht="22.4" customHeight="1" thickBot="1">
      <c r="A46" s="791">
        <v>9042</v>
      </c>
      <c r="B46" s="792" t="s">
        <v>3436</v>
      </c>
      <c r="C46" s="792" t="s">
        <v>2840</v>
      </c>
      <c r="D46" s="792" t="s">
        <v>2857</v>
      </c>
      <c r="E46" s="792" t="s">
        <v>2866</v>
      </c>
      <c r="F46" s="796">
        <v>40550</v>
      </c>
      <c r="G46" s="791">
        <v>189105287</v>
      </c>
      <c r="H46" s="791">
        <v>649</v>
      </c>
      <c r="I46" s="793" t="s">
        <v>2901</v>
      </c>
      <c r="J46" s="794" t="s">
        <v>2204</v>
      </c>
      <c r="K46" s="793" t="s">
        <v>2059</v>
      </c>
      <c r="L46" s="917"/>
      <c r="M46" s="927">
        <v>50</v>
      </c>
      <c r="N46" s="928">
        <v>24</v>
      </c>
      <c r="O46" s="929">
        <f t="shared" si="0"/>
        <v>74</v>
      </c>
      <c r="P46" s="930">
        <f t="shared" si="1"/>
        <v>3.7</v>
      </c>
      <c r="Q46" s="928">
        <v>49</v>
      </c>
      <c r="R46" s="928">
        <v>25</v>
      </c>
      <c r="S46" s="929">
        <f t="shared" si="2"/>
        <v>74</v>
      </c>
      <c r="T46" s="930">
        <f t="shared" si="3"/>
        <v>3.7</v>
      </c>
      <c r="U46" s="928">
        <v>54</v>
      </c>
      <c r="V46" s="928">
        <v>24</v>
      </c>
      <c r="W46" s="929">
        <f t="shared" si="4"/>
        <v>78</v>
      </c>
      <c r="X46" s="930">
        <f t="shared" si="5"/>
        <v>3.9</v>
      </c>
      <c r="Y46" s="928">
        <v>46</v>
      </c>
      <c r="Z46" s="928">
        <v>24</v>
      </c>
      <c r="AA46" s="929">
        <f t="shared" si="6"/>
        <v>70</v>
      </c>
      <c r="AB46" s="930">
        <f t="shared" si="7"/>
        <v>3.5</v>
      </c>
      <c r="AC46" s="928">
        <v>50</v>
      </c>
      <c r="AD46" s="928">
        <v>24</v>
      </c>
      <c r="AE46" s="929">
        <f t="shared" si="8"/>
        <v>74</v>
      </c>
      <c r="AF46" s="930">
        <f t="shared" si="9"/>
        <v>3.7</v>
      </c>
      <c r="AG46" s="928">
        <v>53</v>
      </c>
      <c r="AH46" s="928">
        <v>24</v>
      </c>
      <c r="AI46" s="929">
        <f t="shared" si="10"/>
        <v>77</v>
      </c>
      <c r="AJ46" s="931">
        <f t="shared" si="11"/>
        <v>3.85</v>
      </c>
      <c r="AK46" s="789"/>
      <c r="AL46" s="590">
        <v>49</v>
      </c>
      <c r="AM46" s="590">
        <v>24</v>
      </c>
      <c r="AN46" s="935">
        <f t="shared" si="12"/>
        <v>73</v>
      </c>
      <c r="AO46" s="913">
        <f t="shared" si="13"/>
        <v>3.65</v>
      </c>
      <c r="AP46" s="590">
        <v>45</v>
      </c>
      <c r="AQ46" s="590">
        <v>24</v>
      </c>
      <c r="AR46" s="935">
        <f t="shared" si="14"/>
        <v>69</v>
      </c>
      <c r="AS46" s="913">
        <f t="shared" si="15"/>
        <v>3.45</v>
      </c>
      <c r="AT46" s="590">
        <v>52</v>
      </c>
      <c r="AU46" s="590">
        <v>24</v>
      </c>
      <c r="AV46" s="935">
        <f t="shared" si="16"/>
        <v>76</v>
      </c>
      <c r="AW46" s="913">
        <f t="shared" si="17"/>
        <v>3.8</v>
      </c>
      <c r="AX46" s="590">
        <v>42</v>
      </c>
      <c r="AY46" s="590">
        <v>23</v>
      </c>
      <c r="AZ46" s="935">
        <f t="shared" si="18"/>
        <v>65</v>
      </c>
      <c r="BA46" s="913">
        <f t="shared" si="19"/>
        <v>3.25</v>
      </c>
      <c r="BB46" s="590">
        <v>48</v>
      </c>
      <c r="BC46" s="590">
        <v>24</v>
      </c>
      <c r="BD46" s="935">
        <f t="shared" si="20"/>
        <v>72</v>
      </c>
      <c r="BE46" s="913">
        <f t="shared" si="21"/>
        <v>3.6</v>
      </c>
      <c r="BF46" s="590">
        <v>50</v>
      </c>
      <c r="BG46" s="590">
        <v>23</v>
      </c>
      <c r="BH46" s="935">
        <f t="shared" si="22"/>
        <v>73</v>
      </c>
      <c r="BI46" s="913">
        <f t="shared" si="23"/>
        <v>3.65</v>
      </c>
      <c r="BJ46" s="590"/>
      <c r="BK46" s="590">
        <v>49</v>
      </c>
      <c r="BL46" s="590">
        <v>24</v>
      </c>
      <c r="BM46" s="788">
        <f t="shared" si="24"/>
        <v>14.399999999999999</v>
      </c>
      <c r="BN46" s="913">
        <v>14</v>
      </c>
      <c r="BO46" s="590">
        <v>56</v>
      </c>
      <c r="BP46" s="590">
        <v>25</v>
      </c>
      <c r="BQ46" s="788">
        <f t="shared" si="25"/>
        <v>15</v>
      </c>
      <c r="BR46" s="938">
        <v>15</v>
      </c>
      <c r="BS46" s="590">
        <v>61</v>
      </c>
      <c r="BT46" s="590">
        <v>24</v>
      </c>
      <c r="BU46" s="788">
        <f t="shared" si="26"/>
        <v>14.399999999999999</v>
      </c>
      <c r="BV46" s="938">
        <v>14</v>
      </c>
      <c r="BW46" s="590">
        <v>43</v>
      </c>
      <c r="BX46" s="590">
        <v>23</v>
      </c>
      <c r="BY46" s="788">
        <f t="shared" si="27"/>
        <v>13.799999999999999</v>
      </c>
      <c r="BZ46" s="938">
        <v>14</v>
      </c>
      <c r="CA46" s="590">
        <v>35</v>
      </c>
      <c r="CB46" s="590">
        <v>22</v>
      </c>
      <c r="CC46" s="788">
        <f t="shared" si="28"/>
        <v>13.2</v>
      </c>
      <c r="CD46" s="938">
        <v>13</v>
      </c>
      <c r="CE46" s="590">
        <v>45</v>
      </c>
      <c r="CF46" s="590">
        <v>23</v>
      </c>
      <c r="CG46" s="788">
        <f t="shared" si="29"/>
        <v>13.799999999999999</v>
      </c>
      <c r="CH46" s="938">
        <v>14</v>
      </c>
      <c r="CI46" s="935">
        <f t="shared" si="30"/>
        <v>570.79999999999995</v>
      </c>
    </row>
    <row r="47" spans="1:87" ht="15.5" thickTop="1">
      <c r="C47" s="371"/>
      <c r="N47" s="491"/>
      <c r="O47" s="909"/>
      <c r="P47" s="914"/>
      <c r="AM47" s="491"/>
      <c r="AN47" s="936"/>
      <c r="AO47" s="914"/>
    </row>
  </sheetData>
  <mergeCells count="4">
    <mergeCell ref="A1:J1"/>
    <mergeCell ref="A2:J2"/>
    <mergeCell ref="M2:AH2"/>
    <mergeCell ref="AL2:BG2"/>
  </mergeCells>
  <phoneticPr fontId="77" type="noConversion"/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0">
    <tabColor rgb="FFC00000"/>
  </sheetPr>
  <dimension ref="A1:AI121"/>
  <sheetViews>
    <sheetView topLeftCell="M1" workbookViewId="0">
      <selection activeCell="Z10" sqref="Z10"/>
    </sheetView>
  </sheetViews>
  <sheetFormatPr defaultRowHeight="18.5"/>
  <cols>
    <col min="1" max="1" width="6.1796875" style="12" customWidth="1"/>
    <col min="2" max="2" width="16.81640625" customWidth="1"/>
    <col min="3" max="3" width="12" customWidth="1"/>
    <col min="4" max="4" width="7.1796875" customWidth="1"/>
    <col min="5" max="5" width="24.1796875" customWidth="1"/>
    <col min="6" max="6" width="24.54296875" customWidth="1"/>
    <col min="7" max="7" width="19.453125" customWidth="1"/>
    <col min="8" max="8" width="13.54296875" customWidth="1"/>
    <col min="9" max="10" width="8" customWidth="1"/>
    <col min="11" max="11" width="8.81640625" style="2"/>
  </cols>
  <sheetData>
    <row r="1" spans="1:35" ht="21">
      <c r="A1" s="1217" t="s">
        <v>3023</v>
      </c>
      <c r="B1" s="1217"/>
      <c r="C1" s="1217"/>
      <c r="D1" s="1217"/>
      <c r="E1" s="1217"/>
      <c r="F1" s="1217"/>
      <c r="G1" s="1217"/>
      <c r="H1" s="1217"/>
      <c r="I1" s="1217"/>
      <c r="J1" s="1217"/>
    </row>
    <row r="2" spans="1:35" ht="21.5" thickBot="1">
      <c r="A2" s="1217" t="s">
        <v>3024</v>
      </c>
      <c r="B2" s="1217"/>
      <c r="C2" s="1217"/>
      <c r="D2" s="1217"/>
      <c r="E2" s="1217"/>
      <c r="F2" s="1217"/>
      <c r="G2" s="1217"/>
      <c r="H2" s="1217"/>
      <c r="I2" s="1217"/>
      <c r="J2" s="1217"/>
      <c r="K2" s="1285" t="s">
        <v>3443</v>
      </c>
      <c r="L2" s="1285"/>
      <c r="M2" s="1285"/>
      <c r="N2" s="1285"/>
      <c r="O2" s="1285"/>
      <c r="P2" s="1285"/>
      <c r="Q2" s="1285"/>
      <c r="R2" s="1285"/>
      <c r="S2" s="1285"/>
      <c r="T2" s="1285"/>
      <c r="U2" s="1285"/>
      <c r="V2" s="1285"/>
      <c r="X2" s="1286" t="s">
        <v>3441</v>
      </c>
      <c r="Y2" s="1286"/>
      <c r="Z2" s="1286"/>
      <c r="AA2" s="1286"/>
      <c r="AB2" s="1286"/>
      <c r="AC2" s="1286"/>
      <c r="AD2" s="1286"/>
      <c r="AE2" s="1286"/>
      <c r="AF2" s="1286"/>
      <c r="AG2" s="1286"/>
      <c r="AH2" s="1286"/>
      <c r="AI2" s="1286"/>
    </row>
    <row r="3" spans="1:35" s="458" customFormat="1" ht="25.5" customHeight="1">
      <c r="A3" s="453" t="s">
        <v>2914</v>
      </c>
      <c r="B3" s="454" t="s">
        <v>2770</v>
      </c>
      <c r="C3" s="455" t="s">
        <v>5</v>
      </c>
      <c r="D3" s="455" t="s">
        <v>2915</v>
      </c>
      <c r="E3" s="455" t="s">
        <v>2916</v>
      </c>
      <c r="F3" s="455" t="s">
        <v>45</v>
      </c>
      <c r="G3" s="455" t="s">
        <v>2917</v>
      </c>
      <c r="H3" s="456" t="s">
        <v>2918</v>
      </c>
      <c r="I3" s="457" t="s">
        <v>7</v>
      </c>
      <c r="J3" s="457" t="s">
        <v>8</v>
      </c>
      <c r="K3" s="495" t="s">
        <v>9</v>
      </c>
      <c r="L3" s="495" t="s">
        <v>3438</v>
      </c>
      <c r="M3" s="495" t="s">
        <v>10</v>
      </c>
      <c r="N3" s="495" t="s">
        <v>3438</v>
      </c>
      <c r="O3" s="495" t="s">
        <v>77</v>
      </c>
      <c r="P3" s="495" t="s">
        <v>3438</v>
      </c>
      <c r="Q3" s="495" t="s">
        <v>3251</v>
      </c>
      <c r="R3" s="495" t="s">
        <v>3438</v>
      </c>
      <c r="S3" s="495" t="s">
        <v>12</v>
      </c>
      <c r="T3" s="495" t="s">
        <v>3438</v>
      </c>
      <c r="U3" s="495" t="s">
        <v>3258</v>
      </c>
      <c r="V3" s="495" t="s">
        <v>3438</v>
      </c>
      <c r="X3" s="500" t="s">
        <v>9</v>
      </c>
      <c r="Y3" s="501" t="s">
        <v>3438</v>
      </c>
      <c r="Z3" s="501" t="s">
        <v>10</v>
      </c>
      <c r="AA3" s="501" t="s">
        <v>3438</v>
      </c>
      <c r="AB3" s="501" t="s">
        <v>77</v>
      </c>
      <c r="AC3" s="501" t="s">
        <v>3438</v>
      </c>
      <c r="AD3" s="501" t="s">
        <v>3251</v>
      </c>
      <c r="AE3" s="501" t="s">
        <v>3438</v>
      </c>
      <c r="AF3" s="501" t="s">
        <v>12</v>
      </c>
      <c r="AG3" s="501" t="s">
        <v>3438</v>
      </c>
      <c r="AH3" s="501" t="s">
        <v>3258</v>
      </c>
      <c r="AI3" s="502" t="s">
        <v>3438</v>
      </c>
    </row>
    <row r="4" spans="1:35" s="465" customFormat="1" ht="32.15" customHeight="1">
      <c r="A4" s="459">
        <v>1001</v>
      </c>
      <c r="B4" s="460" t="s">
        <v>2919</v>
      </c>
      <c r="C4" s="460">
        <v>107354393</v>
      </c>
      <c r="D4" s="460">
        <v>663</v>
      </c>
      <c r="E4" s="461" t="s">
        <v>2920</v>
      </c>
      <c r="F4" s="461" t="s">
        <v>2921</v>
      </c>
      <c r="G4" s="461" t="s">
        <v>2922</v>
      </c>
      <c r="H4" s="462">
        <v>40439</v>
      </c>
      <c r="I4" s="463" t="s">
        <v>2205</v>
      </c>
      <c r="J4" s="464" t="s">
        <v>2059</v>
      </c>
      <c r="K4" s="497">
        <v>50</v>
      </c>
      <c r="L4" s="492">
        <v>22</v>
      </c>
      <c r="M4" s="492">
        <v>30</v>
      </c>
      <c r="N4" s="492">
        <v>22</v>
      </c>
      <c r="O4" s="492">
        <v>49</v>
      </c>
      <c r="P4" s="492">
        <v>22</v>
      </c>
      <c r="Q4" s="492">
        <v>30</v>
      </c>
      <c r="R4" s="492">
        <v>22</v>
      </c>
      <c r="S4" s="492">
        <v>39</v>
      </c>
      <c r="T4" s="492">
        <v>23</v>
      </c>
      <c r="U4" s="492">
        <v>33</v>
      </c>
      <c r="V4" s="492">
        <v>22</v>
      </c>
      <c r="X4" s="505"/>
      <c r="Y4" s="503"/>
      <c r="Z4" s="503"/>
      <c r="AA4" s="503"/>
      <c r="AB4" s="503"/>
      <c r="AC4" s="503"/>
      <c r="AD4" s="503"/>
      <c r="AE4" s="503"/>
      <c r="AF4" s="503"/>
      <c r="AG4" s="503"/>
      <c r="AH4" s="503"/>
      <c r="AI4" s="506"/>
    </row>
    <row r="5" spans="1:35" s="5" customFormat="1" ht="32.15" customHeight="1">
      <c r="A5" s="459">
        <v>1002</v>
      </c>
      <c r="B5" s="466" t="s">
        <v>2923</v>
      </c>
      <c r="C5" s="466">
        <v>107114652</v>
      </c>
      <c r="D5" s="466">
        <v>1196</v>
      </c>
      <c r="E5" s="467" t="s">
        <v>2924</v>
      </c>
      <c r="F5" s="467" t="s">
        <v>2698</v>
      </c>
      <c r="G5" s="467" t="s">
        <v>2699</v>
      </c>
      <c r="H5" s="468">
        <v>40172</v>
      </c>
      <c r="I5" s="463" t="s">
        <v>2205</v>
      </c>
      <c r="J5" s="464" t="s">
        <v>2059</v>
      </c>
      <c r="K5" s="230">
        <v>67</v>
      </c>
      <c r="L5" s="245">
        <v>25</v>
      </c>
      <c r="M5" s="245">
        <v>56</v>
      </c>
      <c r="N5" s="245">
        <v>25</v>
      </c>
      <c r="O5" s="245">
        <v>71</v>
      </c>
      <c r="P5" s="245">
        <v>23</v>
      </c>
      <c r="Q5" s="245">
        <v>59</v>
      </c>
      <c r="R5" s="245">
        <v>25</v>
      </c>
      <c r="S5" s="245">
        <v>61</v>
      </c>
      <c r="T5" s="245">
        <v>23</v>
      </c>
      <c r="U5" s="245">
        <v>64</v>
      </c>
      <c r="V5" s="245">
        <v>25</v>
      </c>
      <c r="X5" s="507"/>
      <c r="Y5" s="504"/>
      <c r="Z5" s="504"/>
      <c r="AA5" s="504"/>
      <c r="AB5" s="504"/>
      <c r="AC5" s="504"/>
      <c r="AD5" s="504"/>
      <c r="AE5" s="504"/>
      <c r="AF5" s="504"/>
      <c r="AG5" s="504"/>
      <c r="AH5" s="504"/>
      <c r="AI5" s="508"/>
    </row>
    <row r="6" spans="1:35" s="465" customFormat="1" ht="32.15" customHeight="1">
      <c r="A6" s="459">
        <v>1003</v>
      </c>
      <c r="B6" s="469" t="s">
        <v>2925</v>
      </c>
      <c r="C6" s="469">
        <v>105015096</v>
      </c>
      <c r="D6" s="469">
        <v>428</v>
      </c>
      <c r="E6" s="470" t="s">
        <v>2926</v>
      </c>
      <c r="F6" s="470" t="s">
        <v>2927</v>
      </c>
      <c r="G6" s="470" t="s">
        <v>2928</v>
      </c>
      <c r="H6" s="471">
        <v>40439</v>
      </c>
      <c r="I6" s="463" t="s">
        <v>2205</v>
      </c>
      <c r="J6" s="464" t="s">
        <v>2059</v>
      </c>
      <c r="K6" s="497">
        <v>30</v>
      </c>
      <c r="L6" s="492">
        <v>23</v>
      </c>
      <c r="M6" s="492">
        <v>30</v>
      </c>
      <c r="N6" s="492">
        <v>23</v>
      </c>
      <c r="O6" s="492">
        <v>36</v>
      </c>
      <c r="P6" s="492">
        <v>23</v>
      </c>
      <c r="Q6" s="492">
        <v>31</v>
      </c>
      <c r="R6" s="492">
        <v>23</v>
      </c>
      <c r="S6" s="492">
        <v>36</v>
      </c>
      <c r="T6" s="492">
        <v>24</v>
      </c>
      <c r="U6" s="492">
        <v>30</v>
      </c>
      <c r="V6" s="492">
        <v>23</v>
      </c>
      <c r="X6" s="505"/>
      <c r="Y6" s="503"/>
      <c r="Z6" s="503"/>
      <c r="AA6" s="503"/>
      <c r="AB6" s="503"/>
      <c r="AC6" s="503"/>
      <c r="AD6" s="503"/>
      <c r="AE6" s="503"/>
      <c r="AF6" s="503"/>
      <c r="AG6" s="503"/>
      <c r="AH6" s="503"/>
      <c r="AI6" s="506"/>
    </row>
    <row r="7" spans="1:35" s="5" customFormat="1" ht="32.15" customHeight="1">
      <c r="A7" s="459">
        <v>1004</v>
      </c>
      <c r="B7" s="466" t="s">
        <v>2929</v>
      </c>
      <c r="C7" s="466">
        <v>124522280</v>
      </c>
      <c r="D7" s="466">
        <v>414</v>
      </c>
      <c r="E7" s="467" t="s">
        <v>2930</v>
      </c>
      <c r="F7" s="467" t="s">
        <v>2642</v>
      </c>
      <c r="G7" s="467" t="s">
        <v>2931</v>
      </c>
      <c r="H7" s="468">
        <v>40363</v>
      </c>
      <c r="I7" s="463" t="s">
        <v>2205</v>
      </c>
      <c r="J7" s="464" t="s">
        <v>2059</v>
      </c>
      <c r="K7" s="230">
        <v>54</v>
      </c>
      <c r="L7" s="245">
        <v>25</v>
      </c>
      <c r="M7" s="245">
        <v>30</v>
      </c>
      <c r="N7" s="245">
        <v>25</v>
      </c>
      <c r="O7" s="245">
        <v>50</v>
      </c>
      <c r="P7" s="245">
        <v>23</v>
      </c>
      <c r="Q7" s="245">
        <v>32</v>
      </c>
      <c r="R7" s="245">
        <v>25</v>
      </c>
      <c r="S7" s="245">
        <v>39</v>
      </c>
      <c r="T7" s="245">
        <v>23</v>
      </c>
      <c r="U7" s="245">
        <v>36</v>
      </c>
      <c r="V7" s="245">
        <v>25</v>
      </c>
      <c r="X7" s="507"/>
      <c r="Y7" s="504"/>
      <c r="Z7" s="504"/>
      <c r="AA7" s="504"/>
      <c r="AB7" s="504"/>
      <c r="AC7" s="504"/>
      <c r="AD7" s="504"/>
      <c r="AE7" s="504"/>
      <c r="AF7" s="504"/>
      <c r="AG7" s="504"/>
      <c r="AH7" s="504"/>
      <c r="AI7" s="508"/>
    </row>
    <row r="8" spans="1:35" s="465" customFormat="1" ht="32.15" customHeight="1">
      <c r="A8" s="459">
        <v>1005</v>
      </c>
      <c r="B8" s="460" t="s">
        <v>2932</v>
      </c>
      <c r="C8" s="460">
        <v>118717876</v>
      </c>
      <c r="D8" s="460">
        <v>419</v>
      </c>
      <c r="E8" s="461" t="s">
        <v>2933</v>
      </c>
      <c r="F8" s="461" t="s">
        <v>2934</v>
      </c>
      <c r="G8" s="461" t="s">
        <v>2935</v>
      </c>
      <c r="H8" s="462">
        <v>39884</v>
      </c>
      <c r="I8" s="463" t="s">
        <v>2205</v>
      </c>
      <c r="J8" s="464" t="s">
        <v>2059</v>
      </c>
      <c r="K8" s="497">
        <v>31</v>
      </c>
      <c r="L8" s="492">
        <v>23</v>
      </c>
      <c r="M8" s="492">
        <v>31</v>
      </c>
      <c r="N8" s="492">
        <v>23</v>
      </c>
      <c r="O8" s="492">
        <v>35</v>
      </c>
      <c r="P8" s="492">
        <v>23</v>
      </c>
      <c r="Q8" s="492">
        <v>30</v>
      </c>
      <c r="R8" s="492">
        <v>23</v>
      </c>
      <c r="S8" s="492">
        <v>30</v>
      </c>
      <c r="T8" s="492">
        <v>24</v>
      </c>
      <c r="U8" s="492">
        <v>30</v>
      </c>
      <c r="V8" s="492">
        <v>23</v>
      </c>
      <c r="X8" s="505"/>
      <c r="Y8" s="503"/>
      <c r="Z8" s="503"/>
      <c r="AA8" s="503"/>
      <c r="AB8" s="503"/>
      <c r="AC8" s="503"/>
      <c r="AD8" s="503"/>
      <c r="AE8" s="503"/>
      <c r="AF8" s="503"/>
      <c r="AG8" s="503"/>
      <c r="AH8" s="503"/>
      <c r="AI8" s="506"/>
    </row>
    <row r="9" spans="1:35" s="5" customFormat="1" ht="32.15" customHeight="1">
      <c r="A9" s="459">
        <v>1006</v>
      </c>
      <c r="B9" s="460" t="s">
        <v>2936</v>
      </c>
      <c r="C9" s="460">
        <v>168655752</v>
      </c>
      <c r="D9" s="460">
        <v>1550</v>
      </c>
      <c r="E9" s="461" t="s">
        <v>3044</v>
      </c>
      <c r="F9" s="461" t="s">
        <v>48</v>
      </c>
      <c r="G9" s="461" t="s">
        <v>2937</v>
      </c>
      <c r="H9" s="462">
        <v>40498</v>
      </c>
      <c r="I9" s="463" t="s">
        <v>2205</v>
      </c>
      <c r="J9" s="464" t="s">
        <v>2059</v>
      </c>
      <c r="K9" s="230">
        <v>30</v>
      </c>
      <c r="L9" s="245">
        <v>24</v>
      </c>
      <c r="M9" s="245">
        <v>33</v>
      </c>
      <c r="N9" s="245">
        <v>24</v>
      </c>
      <c r="O9" s="245">
        <v>48</v>
      </c>
      <c r="P9" s="245">
        <v>22</v>
      </c>
      <c r="Q9" s="245">
        <v>32</v>
      </c>
      <c r="R9" s="245">
        <v>24</v>
      </c>
      <c r="S9" s="245">
        <v>32</v>
      </c>
      <c r="T9" s="245">
        <v>23</v>
      </c>
      <c r="U9" s="245">
        <v>30</v>
      </c>
      <c r="V9" s="245">
        <v>24</v>
      </c>
      <c r="X9" s="507"/>
      <c r="Y9" s="504"/>
      <c r="Z9" s="504"/>
      <c r="AA9" s="504"/>
      <c r="AB9" s="504"/>
      <c r="AC9" s="504"/>
      <c r="AD9" s="504"/>
      <c r="AF9" s="504"/>
      <c r="AG9" s="504"/>
      <c r="AH9" s="504"/>
      <c r="AI9" s="508"/>
    </row>
    <row r="10" spans="1:35" s="5" customFormat="1" ht="32.9" customHeight="1">
      <c r="A10" s="459">
        <v>1007</v>
      </c>
      <c r="B10" s="466" t="s">
        <v>2938</v>
      </c>
      <c r="C10" s="466">
        <v>132372203</v>
      </c>
      <c r="D10" s="466">
        <v>432</v>
      </c>
      <c r="E10" s="467" t="s">
        <v>2939</v>
      </c>
      <c r="F10" s="467" t="s">
        <v>49</v>
      </c>
      <c r="G10" s="467" t="s">
        <v>50</v>
      </c>
      <c r="H10" s="468">
        <v>40752</v>
      </c>
      <c r="I10" s="463" t="s">
        <v>2205</v>
      </c>
      <c r="J10" s="464" t="s">
        <v>2059</v>
      </c>
      <c r="K10" s="497">
        <v>55</v>
      </c>
      <c r="L10" s="492">
        <v>24</v>
      </c>
      <c r="M10" s="492">
        <v>35</v>
      </c>
      <c r="N10" s="492">
        <v>24</v>
      </c>
      <c r="O10" s="492">
        <v>50</v>
      </c>
      <c r="P10" s="492">
        <v>22</v>
      </c>
      <c r="Q10" s="492">
        <v>32</v>
      </c>
      <c r="R10" s="492">
        <v>24</v>
      </c>
      <c r="S10" s="492">
        <v>35</v>
      </c>
      <c r="T10" s="492">
        <v>24</v>
      </c>
      <c r="U10" s="492">
        <v>38</v>
      </c>
      <c r="V10" s="492">
        <v>24</v>
      </c>
      <c r="X10" s="507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8"/>
    </row>
    <row r="11" spans="1:35" s="465" customFormat="1" ht="32.15" customHeight="1">
      <c r="A11" s="459">
        <v>1008</v>
      </c>
      <c r="B11" s="469" t="s">
        <v>2940</v>
      </c>
      <c r="C11" s="469">
        <v>131894537</v>
      </c>
      <c r="D11" s="469">
        <v>489</v>
      </c>
      <c r="E11" s="470" t="s">
        <v>2941</v>
      </c>
      <c r="F11" s="470" t="s">
        <v>2942</v>
      </c>
      <c r="G11" s="470" t="s">
        <v>2943</v>
      </c>
      <c r="H11" s="471">
        <v>40442</v>
      </c>
      <c r="I11" s="463" t="s">
        <v>2205</v>
      </c>
      <c r="J11" s="464" t="s">
        <v>2059</v>
      </c>
      <c r="K11" s="230">
        <v>60</v>
      </c>
      <c r="L11" s="245">
        <v>24</v>
      </c>
      <c r="M11" s="245">
        <v>38</v>
      </c>
      <c r="N11" s="245">
        <v>24</v>
      </c>
      <c r="O11" s="245">
        <v>56</v>
      </c>
      <c r="P11" s="245">
        <v>24</v>
      </c>
      <c r="Q11" s="245">
        <v>34</v>
      </c>
      <c r="R11" s="245">
        <v>24</v>
      </c>
      <c r="S11" s="245">
        <v>48</v>
      </c>
      <c r="T11" s="245">
        <v>23</v>
      </c>
      <c r="U11" s="245">
        <v>40</v>
      </c>
      <c r="V11" s="245">
        <v>24</v>
      </c>
      <c r="X11" s="505"/>
      <c r="Y11" s="503"/>
      <c r="Z11" s="503"/>
      <c r="AA11" s="503"/>
      <c r="AB11" s="503"/>
      <c r="AC11" s="503"/>
      <c r="AD11" s="503"/>
      <c r="AE11" s="503"/>
      <c r="AF11" s="503"/>
      <c r="AG11" s="503"/>
      <c r="AH11" s="503"/>
      <c r="AI11" s="506"/>
    </row>
    <row r="12" spans="1:35" s="5" customFormat="1" ht="32.15" customHeight="1">
      <c r="A12" s="459">
        <v>1009</v>
      </c>
      <c r="B12" s="472" t="s">
        <v>2944</v>
      </c>
      <c r="C12" s="472">
        <v>128398037</v>
      </c>
      <c r="D12" s="472">
        <v>688</v>
      </c>
      <c r="E12" s="473" t="s">
        <v>2945</v>
      </c>
      <c r="F12" s="473" t="s">
        <v>2946</v>
      </c>
      <c r="G12" s="473" t="s">
        <v>2947</v>
      </c>
      <c r="H12" s="474">
        <v>40362</v>
      </c>
      <c r="I12" s="463" t="s">
        <v>2205</v>
      </c>
      <c r="J12" s="464" t="s">
        <v>2059</v>
      </c>
      <c r="K12" s="497">
        <v>71</v>
      </c>
      <c r="L12" s="492">
        <v>25</v>
      </c>
      <c r="M12" s="492">
        <v>65</v>
      </c>
      <c r="N12" s="492">
        <v>25</v>
      </c>
      <c r="O12" s="492">
        <v>68</v>
      </c>
      <c r="P12" s="492">
        <v>23</v>
      </c>
      <c r="Q12" s="492">
        <v>45</v>
      </c>
      <c r="R12" s="492">
        <v>25</v>
      </c>
      <c r="S12" s="492">
        <v>54</v>
      </c>
      <c r="T12" s="492">
        <v>24</v>
      </c>
      <c r="U12" s="492">
        <v>55</v>
      </c>
      <c r="V12" s="492">
        <v>25</v>
      </c>
      <c r="X12" s="507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8"/>
    </row>
    <row r="13" spans="1:35" s="465" customFormat="1" ht="32.15" customHeight="1">
      <c r="A13" s="459">
        <v>1010</v>
      </c>
      <c r="B13" s="469" t="s">
        <v>2948</v>
      </c>
      <c r="C13" s="469">
        <v>156728166</v>
      </c>
      <c r="D13" s="469">
        <v>433</v>
      </c>
      <c r="E13" s="470" t="s">
        <v>2949</v>
      </c>
      <c r="F13" s="470" t="s">
        <v>47</v>
      </c>
      <c r="G13" s="470" t="s">
        <v>2950</v>
      </c>
      <c r="H13" s="471">
        <v>40588</v>
      </c>
      <c r="I13" s="463" t="s">
        <v>2205</v>
      </c>
      <c r="J13" s="464" t="s">
        <v>2059</v>
      </c>
      <c r="K13" s="230">
        <v>42</v>
      </c>
      <c r="L13" s="245">
        <v>22</v>
      </c>
      <c r="M13" s="245">
        <v>36</v>
      </c>
      <c r="N13" s="245">
        <v>22</v>
      </c>
      <c r="O13" s="245">
        <v>54</v>
      </c>
      <c r="P13" s="245">
        <v>24</v>
      </c>
      <c r="Q13" s="245">
        <v>30</v>
      </c>
      <c r="R13" s="245">
        <v>22</v>
      </c>
      <c r="S13" s="245">
        <v>35</v>
      </c>
      <c r="T13" s="245">
        <v>24</v>
      </c>
      <c r="U13" s="245">
        <v>36</v>
      </c>
      <c r="V13" s="245">
        <v>22</v>
      </c>
      <c r="X13" s="505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6"/>
    </row>
    <row r="14" spans="1:35" s="5" customFormat="1" ht="32.15" customHeight="1">
      <c r="A14" s="459">
        <v>1011</v>
      </c>
      <c r="B14" s="460" t="s">
        <v>2951</v>
      </c>
      <c r="C14" s="460">
        <v>122946988</v>
      </c>
      <c r="D14" s="460">
        <v>820</v>
      </c>
      <c r="E14" s="461" t="s">
        <v>2952</v>
      </c>
      <c r="F14" s="461" t="s">
        <v>51</v>
      </c>
      <c r="G14" s="461" t="s">
        <v>2953</v>
      </c>
      <c r="H14" s="462">
        <v>40325</v>
      </c>
      <c r="I14" s="463" t="s">
        <v>2205</v>
      </c>
      <c r="J14" s="464" t="s">
        <v>2059</v>
      </c>
      <c r="K14" s="497">
        <v>63</v>
      </c>
      <c r="L14" s="492">
        <v>25</v>
      </c>
      <c r="M14" s="492">
        <v>43</v>
      </c>
      <c r="N14" s="492">
        <v>25</v>
      </c>
      <c r="O14" s="492">
        <v>60</v>
      </c>
      <c r="P14" s="492">
        <v>22</v>
      </c>
      <c r="Q14" s="492">
        <v>32</v>
      </c>
      <c r="R14" s="492">
        <v>25</v>
      </c>
      <c r="S14" s="492">
        <v>47</v>
      </c>
      <c r="T14" s="492">
        <v>24</v>
      </c>
      <c r="U14" s="492">
        <v>36</v>
      </c>
      <c r="V14" s="492">
        <v>25</v>
      </c>
      <c r="X14" s="507"/>
      <c r="Y14" s="504"/>
      <c r="Z14" s="504"/>
      <c r="AA14" s="504"/>
      <c r="AB14" s="504"/>
      <c r="AC14" s="504"/>
      <c r="AD14" s="504"/>
      <c r="AE14" s="504"/>
      <c r="AF14" s="504"/>
      <c r="AG14" s="504"/>
      <c r="AH14" s="504"/>
      <c r="AI14" s="508"/>
    </row>
    <row r="15" spans="1:35" s="465" customFormat="1" ht="32.15" customHeight="1">
      <c r="A15" s="459">
        <v>1012</v>
      </c>
      <c r="B15" s="469" t="s">
        <v>2954</v>
      </c>
      <c r="C15" s="469">
        <v>110355499</v>
      </c>
      <c r="D15" s="469">
        <v>493</v>
      </c>
      <c r="E15" s="470" t="s">
        <v>2955</v>
      </c>
      <c r="F15" s="470" t="s">
        <v>2956</v>
      </c>
      <c r="G15" s="470" t="s">
        <v>2957</v>
      </c>
      <c r="H15" s="471">
        <v>40414</v>
      </c>
      <c r="I15" s="463" t="s">
        <v>2205</v>
      </c>
      <c r="J15" s="464" t="s">
        <v>2059</v>
      </c>
      <c r="K15" s="230">
        <v>56</v>
      </c>
      <c r="L15" s="245">
        <v>25</v>
      </c>
      <c r="M15" s="245">
        <v>45</v>
      </c>
      <c r="N15" s="245">
        <v>25</v>
      </c>
      <c r="O15" s="245">
        <v>59</v>
      </c>
      <c r="P15" s="245">
        <v>23</v>
      </c>
      <c r="Q15" s="245">
        <v>32</v>
      </c>
      <c r="R15" s="245">
        <v>25</v>
      </c>
      <c r="S15" s="245">
        <v>55</v>
      </c>
      <c r="T15" s="245">
        <v>23</v>
      </c>
      <c r="U15" s="245">
        <v>34</v>
      </c>
      <c r="V15" s="245">
        <v>25</v>
      </c>
      <c r="X15" s="505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6"/>
    </row>
    <row r="16" spans="1:35" s="5" customFormat="1" ht="32.15" customHeight="1">
      <c r="A16" s="459">
        <v>1013</v>
      </c>
      <c r="B16" s="472" t="s">
        <v>2958</v>
      </c>
      <c r="C16" s="472">
        <v>109825112</v>
      </c>
      <c r="D16" s="472">
        <v>1632</v>
      </c>
      <c r="E16" s="473" t="s">
        <v>2959</v>
      </c>
      <c r="F16" s="473" t="s">
        <v>2960</v>
      </c>
      <c r="G16" s="473" t="s">
        <v>2961</v>
      </c>
      <c r="H16" s="474">
        <v>39836</v>
      </c>
      <c r="I16" s="463" t="s">
        <v>2205</v>
      </c>
      <c r="J16" s="464" t="s">
        <v>2059</v>
      </c>
      <c r="K16" s="497">
        <v>33</v>
      </c>
      <c r="L16" s="492">
        <v>23</v>
      </c>
      <c r="M16" s="492">
        <v>30</v>
      </c>
      <c r="N16" s="492">
        <v>23</v>
      </c>
      <c r="O16" s="492">
        <v>55</v>
      </c>
      <c r="P16" s="492">
        <v>24</v>
      </c>
      <c r="Q16" s="492">
        <v>34</v>
      </c>
      <c r="R16" s="492">
        <v>23</v>
      </c>
      <c r="S16" s="492">
        <v>32</v>
      </c>
      <c r="T16" s="492">
        <v>24</v>
      </c>
      <c r="U16" s="492">
        <v>33</v>
      </c>
      <c r="V16" s="492">
        <v>23</v>
      </c>
      <c r="X16" s="507"/>
      <c r="Y16" s="504"/>
      <c r="Z16" s="504"/>
      <c r="AA16" s="504"/>
      <c r="AB16" s="504"/>
      <c r="AC16" s="504"/>
      <c r="AD16" s="504"/>
      <c r="AE16" s="504"/>
      <c r="AF16" s="504"/>
      <c r="AG16" s="504"/>
      <c r="AH16" s="504"/>
      <c r="AI16" s="508"/>
    </row>
    <row r="17" spans="1:35" s="465" customFormat="1" ht="32.15" customHeight="1">
      <c r="A17" s="459">
        <v>1014</v>
      </c>
      <c r="B17" s="469" t="s">
        <v>2962</v>
      </c>
      <c r="C17" s="469">
        <v>105772489</v>
      </c>
      <c r="D17" s="469">
        <v>1314</v>
      </c>
      <c r="E17" s="470" t="s">
        <v>3043</v>
      </c>
      <c r="F17" s="470" t="s">
        <v>2963</v>
      </c>
      <c r="G17" s="470" t="s">
        <v>2964</v>
      </c>
      <c r="H17" s="471">
        <v>40803</v>
      </c>
      <c r="I17" s="463" t="s">
        <v>2205</v>
      </c>
      <c r="J17" s="464" t="s">
        <v>2059</v>
      </c>
      <c r="K17" s="230">
        <v>41</v>
      </c>
      <c r="L17" s="245">
        <v>23</v>
      </c>
      <c r="M17" s="245">
        <v>31</v>
      </c>
      <c r="N17" s="245">
        <v>23</v>
      </c>
      <c r="O17" s="245">
        <v>45</v>
      </c>
      <c r="P17" s="245">
        <v>23</v>
      </c>
      <c r="Q17" s="245">
        <v>37</v>
      </c>
      <c r="R17" s="245">
        <v>23</v>
      </c>
      <c r="S17" s="245">
        <v>41</v>
      </c>
      <c r="T17" s="245">
        <v>23</v>
      </c>
      <c r="U17" s="245">
        <v>32</v>
      </c>
      <c r="V17" s="245">
        <v>23</v>
      </c>
      <c r="X17" s="505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6"/>
    </row>
    <row r="18" spans="1:35" s="5" customFormat="1" ht="32.15" customHeight="1">
      <c r="A18" s="459">
        <v>1015</v>
      </c>
      <c r="B18" s="460" t="s">
        <v>2965</v>
      </c>
      <c r="C18" s="460">
        <v>193371675</v>
      </c>
      <c r="D18" s="460">
        <v>1603</v>
      </c>
      <c r="E18" s="461" t="s">
        <v>2966</v>
      </c>
      <c r="F18" s="461" t="s">
        <v>2967</v>
      </c>
      <c r="G18" s="461" t="s">
        <v>2968</v>
      </c>
      <c r="H18" s="462">
        <v>40179</v>
      </c>
      <c r="I18" s="463" t="s">
        <v>2205</v>
      </c>
      <c r="J18" s="464" t="s">
        <v>2059</v>
      </c>
      <c r="K18" s="497">
        <v>28</v>
      </c>
      <c r="L18" s="492">
        <v>23</v>
      </c>
      <c r="M18" s="492">
        <v>30</v>
      </c>
      <c r="N18" s="492">
        <v>23</v>
      </c>
      <c r="O18" s="492">
        <v>39</v>
      </c>
      <c r="P18" s="492">
        <v>22</v>
      </c>
      <c r="Q18" s="492">
        <v>30</v>
      </c>
      <c r="R18" s="492">
        <v>23</v>
      </c>
      <c r="S18" s="492">
        <v>30</v>
      </c>
      <c r="T18" s="492">
        <v>24</v>
      </c>
      <c r="U18" s="492">
        <v>30</v>
      </c>
      <c r="V18" s="492">
        <v>23</v>
      </c>
      <c r="X18" s="507"/>
      <c r="Y18" s="504"/>
      <c r="Z18" s="504"/>
      <c r="AA18" s="504"/>
      <c r="AB18" s="504"/>
      <c r="AC18" s="504"/>
      <c r="AD18" s="504"/>
      <c r="AE18" s="504"/>
      <c r="AF18" s="504"/>
      <c r="AG18" s="504"/>
      <c r="AH18" s="504"/>
      <c r="AI18" s="508"/>
    </row>
    <row r="19" spans="1:35" s="465" customFormat="1" ht="32.15" customHeight="1">
      <c r="A19" s="459">
        <v>1016</v>
      </c>
      <c r="B19" s="460" t="s">
        <v>2969</v>
      </c>
      <c r="C19" s="460">
        <v>188641080</v>
      </c>
      <c r="D19" s="460">
        <v>442</v>
      </c>
      <c r="E19" s="461" t="s">
        <v>2970</v>
      </c>
      <c r="F19" s="461" t="s">
        <v>2971</v>
      </c>
      <c r="G19" s="461" t="s">
        <v>2972</v>
      </c>
      <c r="H19" s="462">
        <v>39837</v>
      </c>
      <c r="I19" s="463" t="s">
        <v>2205</v>
      </c>
      <c r="J19" s="464" t="s">
        <v>2059</v>
      </c>
      <c r="K19" s="230">
        <v>28</v>
      </c>
      <c r="L19" s="245">
        <v>23</v>
      </c>
      <c r="M19" s="245">
        <v>31</v>
      </c>
      <c r="N19" s="245">
        <v>23</v>
      </c>
      <c r="O19" s="245">
        <v>35</v>
      </c>
      <c r="P19" s="245">
        <v>24</v>
      </c>
      <c r="Q19" s="245">
        <v>35</v>
      </c>
      <c r="R19" s="245">
        <v>23</v>
      </c>
      <c r="S19" s="245">
        <v>30</v>
      </c>
      <c r="T19" s="245">
        <v>23</v>
      </c>
      <c r="U19" s="245">
        <v>32</v>
      </c>
      <c r="V19" s="245">
        <v>23</v>
      </c>
      <c r="X19" s="505"/>
      <c r="Y19" s="503"/>
      <c r="Z19" s="503"/>
      <c r="AA19" s="503"/>
      <c r="AB19" s="503"/>
      <c r="AC19" s="503"/>
      <c r="AD19" s="503"/>
      <c r="AE19" s="503"/>
      <c r="AF19" s="503"/>
      <c r="AG19" s="503"/>
      <c r="AH19" s="503"/>
      <c r="AI19" s="506"/>
    </row>
    <row r="20" spans="1:35" s="5" customFormat="1" ht="32.15" customHeight="1">
      <c r="A20" s="459">
        <v>1017</v>
      </c>
      <c r="B20" s="466" t="s">
        <v>2973</v>
      </c>
      <c r="C20" s="466">
        <v>136683103</v>
      </c>
      <c r="D20" s="466">
        <v>1042</v>
      </c>
      <c r="E20" s="467" t="s">
        <v>3045</v>
      </c>
      <c r="F20" s="467" t="s">
        <v>3046</v>
      </c>
      <c r="G20" s="467" t="s">
        <v>3047</v>
      </c>
      <c r="H20" s="468">
        <v>40194</v>
      </c>
      <c r="I20" s="463" t="s">
        <v>2205</v>
      </c>
      <c r="J20" s="464" t="s">
        <v>2059</v>
      </c>
      <c r="K20" s="497">
        <v>64</v>
      </c>
      <c r="L20" s="492">
        <v>24</v>
      </c>
      <c r="M20" s="492">
        <v>52</v>
      </c>
      <c r="N20" s="492">
        <v>24</v>
      </c>
      <c r="O20" s="492">
        <v>69</v>
      </c>
      <c r="P20" s="492">
        <v>22</v>
      </c>
      <c r="Q20" s="492">
        <v>31</v>
      </c>
      <c r="R20" s="492">
        <v>24</v>
      </c>
      <c r="S20" s="492">
        <v>60</v>
      </c>
      <c r="T20" s="492">
        <v>22</v>
      </c>
      <c r="U20" s="492">
        <v>50</v>
      </c>
      <c r="V20" s="492">
        <v>24</v>
      </c>
      <c r="X20" s="507"/>
      <c r="Y20" s="504"/>
      <c r="Z20" s="504"/>
      <c r="AA20" s="504"/>
      <c r="AB20" s="504"/>
      <c r="AC20" s="504"/>
      <c r="AD20" s="504"/>
      <c r="AE20" s="504"/>
      <c r="AF20" s="504"/>
      <c r="AG20" s="504"/>
      <c r="AH20" s="504"/>
      <c r="AI20" s="508"/>
    </row>
    <row r="21" spans="1:35" s="465" customFormat="1" ht="32.15" customHeight="1">
      <c r="A21" s="459">
        <v>1018</v>
      </c>
      <c r="B21" s="472" t="s">
        <v>2974</v>
      </c>
      <c r="C21" s="472">
        <v>188830849</v>
      </c>
      <c r="D21" s="472">
        <v>1160</v>
      </c>
      <c r="E21" s="473" t="s">
        <v>2975</v>
      </c>
      <c r="F21" s="473" t="s">
        <v>2976</v>
      </c>
      <c r="G21" s="473" t="s">
        <v>2977</v>
      </c>
      <c r="H21" s="474">
        <v>40184</v>
      </c>
      <c r="I21" s="463" t="s">
        <v>2205</v>
      </c>
      <c r="J21" s="464" t="s">
        <v>2059</v>
      </c>
      <c r="K21" s="230">
        <v>50</v>
      </c>
      <c r="L21" s="245">
        <v>23</v>
      </c>
      <c r="M21" s="245">
        <v>37</v>
      </c>
      <c r="N21" s="245">
        <v>23</v>
      </c>
      <c r="O21" s="245">
        <v>45</v>
      </c>
      <c r="P21" s="245">
        <v>23</v>
      </c>
      <c r="Q21" s="245">
        <v>31</v>
      </c>
      <c r="R21" s="245">
        <v>23</v>
      </c>
      <c r="S21" s="245">
        <v>48</v>
      </c>
      <c r="T21" s="245">
        <v>23</v>
      </c>
      <c r="U21" s="245">
        <v>33</v>
      </c>
      <c r="V21" s="245">
        <v>23</v>
      </c>
      <c r="X21" s="505"/>
      <c r="Y21" s="503"/>
      <c r="Z21" s="503"/>
      <c r="AA21" s="503"/>
      <c r="AB21" s="503"/>
      <c r="AC21" s="503"/>
      <c r="AD21" s="503"/>
      <c r="AE21" s="503"/>
      <c r="AF21" s="503"/>
      <c r="AG21" s="503"/>
      <c r="AH21" s="503"/>
      <c r="AI21" s="506"/>
    </row>
    <row r="22" spans="1:35" s="5" customFormat="1" ht="32.15" customHeight="1">
      <c r="A22" s="459">
        <v>1019</v>
      </c>
      <c r="B22" s="469" t="s">
        <v>2978</v>
      </c>
      <c r="C22" s="469">
        <v>108194915</v>
      </c>
      <c r="D22" s="469">
        <v>425</v>
      </c>
      <c r="E22" s="470" t="s">
        <v>2979</v>
      </c>
      <c r="F22" s="470" t="s">
        <v>2638</v>
      </c>
      <c r="G22" s="470" t="s">
        <v>2980</v>
      </c>
      <c r="H22" s="471">
        <v>40500</v>
      </c>
      <c r="I22" s="463" t="s">
        <v>2205</v>
      </c>
      <c r="J22" s="464" t="s">
        <v>2059</v>
      </c>
      <c r="K22" s="497">
        <v>50</v>
      </c>
      <c r="L22" s="492">
        <v>22</v>
      </c>
      <c r="M22" s="492">
        <v>37</v>
      </c>
      <c r="N22" s="492">
        <v>22</v>
      </c>
      <c r="O22" s="492">
        <v>33</v>
      </c>
      <c r="P22" s="492">
        <v>22</v>
      </c>
      <c r="Q22" s="492">
        <v>35</v>
      </c>
      <c r="R22" s="492">
        <v>22</v>
      </c>
      <c r="S22" s="492">
        <v>27</v>
      </c>
      <c r="T22" s="492">
        <v>24</v>
      </c>
      <c r="U22" s="492">
        <v>38</v>
      </c>
      <c r="V22" s="492">
        <v>22</v>
      </c>
      <c r="X22" s="507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8"/>
    </row>
    <row r="23" spans="1:35" s="465" customFormat="1" ht="32.15" customHeight="1">
      <c r="A23" s="459">
        <v>1020</v>
      </c>
      <c r="B23" s="466" t="s">
        <v>2981</v>
      </c>
      <c r="C23" s="466">
        <v>104857398</v>
      </c>
      <c r="D23" s="466">
        <v>467</v>
      </c>
      <c r="E23" s="467" t="s">
        <v>2982</v>
      </c>
      <c r="F23" s="467" t="s">
        <v>2983</v>
      </c>
      <c r="G23" s="467" t="s">
        <v>2984</v>
      </c>
      <c r="H23" s="468">
        <v>40255</v>
      </c>
      <c r="I23" s="463" t="s">
        <v>2205</v>
      </c>
      <c r="J23" s="464" t="s">
        <v>2059</v>
      </c>
      <c r="K23" s="230">
        <v>46</v>
      </c>
      <c r="L23" s="245">
        <v>22</v>
      </c>
      <c r="M23" s="245">
        <v>36</v>
      </c>
      <c r="N23" s="245">
        <v>22</v>
      </c>
      <c r="O23" s="245">
        <v>40</v>
      </c>
      <c r="P23" s="245">
        <v>23</v>
      </c>
      <c r="Q23" s="245">
        <v>48</v>
      </c>
      <c r="R23" s="245">
        <v>22</v>
      </c>
      <c r="S23" s="245">
        <v>27</v>
      </c>
      <c r="T23" s="245">
        <v>23</v>
      </c>
      <c r="U23" s="245">
        <v>31</v>
      </c>
      <c r="V23" s="245">
        <v>22</v>
      </c>
      <c r="X23" s="505"/>
      <c r="Y23" s="503"/>
      <c r="Z23" s="503"/>
      <c r="AA23" s="503"/>
      <c r="AB23" s="503"/>
      <c r="AC23" s="503"/>
      <c r="AD23" s="503"/>
      <c r="AE23" s="503"/>
      <c r="AF23" s="503"/>
      <c r="AG23" s="503"/>
      <c r="AH23" s="503"/>
      <c r="AI23" s="506"/>
    </row>
    <row r="24" spans="1:35" s="5" customFormat="1" ht="32.15" customHeight="1">
      <c r="A24" s="459">
        <v>1021</v>
      </c>
      <c r="B24" s="460" t="s">
        <v>2985</v>
      </c>
      <c r="C24" s="460">
        <v>149761194</v>
      </c>
      <c r="D24" s="460">
        <v>472</v>
      </c>
      <c r="E24" s="461" t="s">
        <v>2986</v>
      </c>
      <c r="F24" s="461" t="s">
        <v>2987</v>
      </c>
      <c r="G24" s="461" t="s">
        <v>2988</v>
      </c>
      <c r="H24" s="462">
        <v>40037</v>
      </c>
      <c r="I24" s="463" t="s">
        <v>2205</v>
      </c>
      <c r="J24" s="464" t="s">
        <v>2059</v>
      </c>
      <c r="K24" s="497">
        <v>30</v>
      </c>
      <c r="L24" s="492">
        <v>23</v>
      </c>
      <c r="M24" s="492">
        <v>35</v>
      </c>
      <c r="N24" s="492">
        <v>23</v>
      </c>
      <c r="O24" s="492">
        <v>35</v>
      </c>
      <c r="P24" s="492">
        <v>24</v>
      </c>
      <c r="Q24" s="492">
        <v>34</v>
      </c>
      <c r="R24" s="492">
        <v>23</v>
      </c>
      <c r="S24" s="492">
        <v>34</v>
      </c>
      <c r="T24" s="492">
        <v>24</v>
      </c>
      <c r="U24" s="492">
        <v>30</v>
      </c>
      <c r="V24" s="492">
        <v>23</v>
      </c>
      <c r="X24" s="507"/>
      <c r="Y24" s="504"/>
      <c r="Z24" s="504"/>
      <c r="AA24" s="504"/>
      <c r="AB24" s="504"/>
      <c r="AC24" s="504"/>
      <c r="AD24" s="504"/>
      <c r="AE24" s="504"/>
      <c r="AF24" s="504"/>
      <c r="AG24" s="504"/>
      <c r="AH24" s="504"/>
      <c r="AI24" s="508"/>
    </row>
    <row r="25" spans="1:35" s="465" customFormat="1" ht="32.15" customHeight="1">
      <c r="A25" s="459">
        <v>1022</v>
      </c>
      <c r="B25" s="466" t="s">
        <v>2989</v>
      </c>
      <c r="C25" s="466">
        <v>117628074</v>
      </c>
      <c r="D25" s="466">
        <v>453</v>
      </c>
      <c r="E25" s="467" t="s">
        <v>2990</v>
      </c>
      <c r="F25" s="467" t="s">
        <v>2991</v>
      </c>
      <c r="G25" s="467" t="s">
        <v>2928</v>
      </c>
      <c r="H25" s="468">
        <v>39889</v>
      </c>
      <c r="I25" s="463" t="s">
        <v>2205</v>
      </c>
      <c r="J25" s="464" t="s">
        <v>2059</v>
      </c>
      <c r="K25" s="230">
        <v>28</v>
      </c>
      <c r="L25" s="245">
        <v>23</v>
      </c>
      <c r="M25" s="245">
        <v>34</v>
      </c>
      <c r="N25" s="245">
        <v>23</v>
      </c>
      <c r="O25" s="245">
        <v>33</v>
      </c>
      <c r="P25" s="245">
        <v>23</v>
      </c>
      <c r="Q25" s="245">
        <v>30</v>
      </c>
      <c r="R25" s="245">
        <v>23</v>
      </c>
      <c r="S25" s="245">
        <v>30</v>
      </c>
      <c r="T25" s="245">
        <v>23</v>
      </c>
      <c r="U25" s="245">
        <v>30</v>
      </c>
      <c r="V25" s="245">
        <v>23</v>
      </c>
      <c r="X25" s="505"/>
      <c r="Y25" s="503"/>
      <c r="Z25" s="503"/>
      <c r="AA25" s="503"/>
      <c r="AB25" s="503"/>
      <c r="AC25" s="503"/>
      <c r="AD25" s="503"/>
      <c r="AE25" s="503"/>
      <c r="AF25" s="503"/>
      <c r="AG25" s="503"/>
      <c r="AH25" s="503"/>
      <c r="AI25" s="506"/>
    </row>
    <row r="26" spans="1:35" s="5" customFormat="1" ht="32.15" customHeight="1">
      <c r="A26" s="459">
        <v>1023</v>
      </c>
      <c r="B26" s="460" t="s">
        <v>2992</v>
      </c>
      <c r="C26" s="460">
        <v>106154984</v>
      </c>
      <c r="D26" s="460">
        <v>471</v>
      </c>
      <c r="E26" s="461" t="s">
        <v>2993</v>
      </c>
      <c r="F26" s="461" t="s">
        <v>2994</v>
      </c>
      <c r="G26" s="461" t="s">
        <v>2995</v>
      </c>
      <c r="H26" s="462">
        <v>40074</v>
      </c>
      <c r="I26" s="463" t="s">
        <v>2205</v>
      </c>
      <c r="J26" s="464" t="s">
        <v>2059</v>
      </c>
      <c r="K26" s="497">
        <v>29</v>
      </c>
      <c r="L26" s="492">
        <v>23</v>
      </c>
      <c r="M26" s="492">
        <v>33</v>
      </c>
      <c r="N26" s="492">
        <v>23</v>
      </c>
      <c r="O26" s="492">
        <v>32</v>
      </c>
      <c r="P26" s="492">
        <v>23</v>
      </c>
      <c r="Q26" s="492">
        <v>30</v>
      </c>
      <c r="R26" s="492">
        <v>23</v>
      </c>
      <c r="S26" s="492">
        <v>33</v>
      </c>
      <c r="T26" s="492">
        <v>22</v>
      </c>
      <c r="U26" s="492">
        <v>31</v>
      </c>
      <c r="V26" s="492">
        <v>23</v>
      </c>
      <c r="X26" s="507"/>
      <c r="Y26" s="504"/>
      <c r="Z26" s="504"/>
      <c r="AA26" s="504"/>
      <c r="AB26" s="504"/>
      <c r="AC26" s="504"/>
      <c r="AD26" s="504"/>
      <c r="AE26" s="504"/>
      <c r="AF26" s="504"/>
      <c r="AG26" s="504"/>
      <c r="AH26" s="504"/>
      <c r="AI26" s="508"/>
    </row>
    <row r="27" spans="1:35" s="465" customFormat="1" ht="32.15" customHeight="1">
      <c r="A27" s="459">
        <v>1024</v>
      </c>
      <c r="B27" s="472" t="s">
        <v>2996</v>
      </c>
      <c r="C27" s="472">
        <v>198482476</v>
      </c>
      <c r="D27" s="472">
        <v>1671</v>
      </c>
      <c r="E27" s="473" t="s">
        <v>2997</v>
      </c>
      <c r="F27" s="473" t="s">
        <v>52</v>
      </c>
      <c r="G27" s="473" t="s">
        <v>2998</v>
      </c>
      <c r="H27" s="474">
        <v>40298</v>
      </c>
      <c r="I27" s="463" t="s">
        <v>2205</v>
      </c>
      <c r="J27" s="464" t="s">
        <v>2059</v>
      </c>
      <c r="K27" s="230">
        <v>49</v>
      </c>
      <c r="L27" s="245">
        <v>22</v>
      </c>
      <c r="M27" s="493">
        <v>33</v>
      </c>
      <c r="N27" s="245">
        <v>22</v>
      </c>
      <c r="O27" s="493">
        <v>48</v>
      </c>
      <c r="P27" s="493">
        <v>24</v>
      </c>
      <c r="Q27" s="493">
        <v>31</v>
      </c>
      <c r="R27" s="245">
        <v>22</v>
      </c>
      <c r="S27" s="493">
        <v>32</v>
      </c>
      <c r="T27" s="493">
        <v>23</v>
      </c>
      <c r="U27" s="493">
        <v>32</v>
      </c>
      <c r="V27" s="245">
        <v>22</v>
      </c>
      <c r="X27" s="505"/>
      <c r="Y27" s="503"/>
      <c r="Z27" s="503"/>
      <c r="AA27" s="503"/>
      <c r="AB27" s="503"/>
      <c r="AC27" s="503"/>
      <c r="AD27" s="503"/>
      <c r="AE27" s="503"/>
      <c r="AF27" s="503"/>
      <c r="AG27" s="503"/>
      <c r="AH27" s="503"/>
      <c r="AI27" s="506"/>
    </row>
    <row r="28" spans="1:35" s="465" customFormat="1" ht="32.15" customHeight="1">
      <c r="A28" s="459">
        <v>1025</v>
      </c>
      <c r="B28" s="472" t="s">
        <v>2999</v>
      </c>
      <c r="C28" s="472">
        <v>118446341</v>
      </c>
      <c r="D28" s="472">
        <v>457</v>
      </c>
      <c r="E28" s="473" t="s">
        <v>46</v>
      </c>
      <c r="F28" s="473" t="s">
        <v>3000</v>
      </c>
      <c r="G28" s="473" t="s">
        <v>3001</v>
      </c>
      <c r="H28" s="474">
        <v>40531</v>
      </c>
      <c r="I28" s="463" t="s">
        <v>2205</v>
      </c>
      <c r="J28" s="464" t="s">
        <v>2059</v>
      </c>
      <c r="K28" s="230">
        <v>45</v>
      </c>
      <c r="L28" s="494">
        <v>22</v>
      </c>
      <c r="M28" s="492">
        <v>35</v>
      </c>
      <c r="N28" s="494">
        <v>22</v>
      </c>
      <c r="O28" s="492">
        <v>40</v>
      </c>
      <c r="P28" s="492">
        <v>25</v>
      </c>
      <c r="Q28" s="492">
        <v>31</v>
      </c>
      <c r="R28" s="494">
        <v>22</v>
      </c>
      <c r="S28" s="492">
        <v>36</v>
      </c>
      <c r="T28" s="492">
        <v>24</v>
      </c>
      <c r="U28" s="492">
        <v>32</v>
      </c>
      <c r="V28" s="494">
        <v>22</v>
      </c>
      <c r="X28" s="505"/>
      <c r="Y28" s="503"/>
      <c r="Z28" s="503"/>
      <c r="AA28" s="503"/>
      <c r="AB28" s="503"/>
      <c r="AC28" s="503"/>
      <c r="AD28" s="503"/>
      <c r="AE28" s="503"/>
      <c r="AF28" s="503"/>
      <c r="AG28" s="503"/>
      <c r="AH28" s="503"/>
      <c r="AI28" s="506"/>
    </row>
    <row r="29" spans="1:35" s="5" customFormat="1" ht="32.15" customHeight="1">
      <c r="A29" s="459">
        <v>1026</v>
      </c>
      <c r="B29" s="466" t="s">
        <v>3002</v>
      </c>
      <c r="C29" s="466">
        <v>109654633</v>
      </c>
      <c r="D29" s="466">
        <v>481</v>
      </c>
      <c r="E29" s="467" t="s">
        <v>2366</v>
      </c>
      <c r="F29" s="467" t="s">
        <v>3003</v>
      </c>
      <c r="G29" s="467" t="s">
        <v>2373</v>
      </c>
      <c r="H29" s="468">
        <v>40458</v>
      </c>
      <c r="I29" s="463" t="s">
        <v>2205</v>
      </c>
      <c r="J29" s="464" t="s">
        <v>2059</v>
      </c>
      <c r="K29" s="497">
        <v>40</v>
      </c>
      <c r="L29" s="245">
        <v>23</v>
      </c>
      <c r="M29" s="245">
        <v>38</v>
      </c>
      <c r="N29" s="245">
        <v>23</v>
      </c>
      <c r="O29" s="245">
        <v>48</v>
      </c>
      <c r="P29" s="245">
        <v>24</v>
      </c>
      <c r="Q29" s="245">
        <v>32</v>
      </c>
      <c r="R29" s="245">
        <v>23</v>
      </c>
      <c r="S29" s="245">
        <v>37</v>
      </c>
      <c r="T29" s="245">
        <v>23</v>
      </c>
      <c r="U29" s="245">
        <v>33</v>
      </c>
      <c r="V29" s="245">
        <v>23</v>
      </c>
      <c r="X29" s="507"/>
      <c r="Y29" s="504"/>
      <c r="Z29" s="504"/>
      <c r="AA29" s="504"/>
      <c r="AB29" s="504"/>
      <c r="AC29" s="504"/>
      <c r="AD29" s="504"/>
      <c r="AE29" s="504"/>
      <c r="AF29" s="504"/>
      <c r="AG29" s="504"/>
      <c r="AH29" s="504"/>
      <c r="AI29" s="508"/>
    </row>
    <row r="30" spans="1:35" s="465" customFormat="1" ht="32.15" customHeight="1">
      <c r="A30" s="459">
        <v>1027</v>
      </c>
      <c r="B30" s="472" t="s">
        <v>3004</v>
      </c>
      <c r="C30" s="472">
        <v>103367213</v>
      </c>
      <c r="D30" s="472">
        <v>486</v>
      </c>
      <c r="E30" s="473" t="s">
        <v>3041</v>
      </c>
      <c r="F30" s="473" t="s">
        <v>2854</v>
      </c>
      <c r="G30" s="473" t="s">
        <v>3005</v>
      </c>
      <c r="H30" s="474">
        <v>39853</v>
      </c>
      <c r="I30" s="463" t="s">
        <v>2205</v>
      </c>
      <c r="J30" s="464" t="s">
        <v>2059</v>
      </c>
      <c r="K30" s="230">
        <v>52</v>
      </c>
      <c r="L30" s="492">
        <v>22</v>
      </c>
      <c r="M30" s="492">
        <v>45</v>
      </c>
      <c r="N30" s="492">
        <v>22</v>
      </c>
      <c r="O30" s="492">
        <v>63</v>
      </c>
      <c r="P30" s="492">
        <v>23</v>
      </c>
      <c r="Q30" s="492">
        <v>33</v>
      </c>
      <c r="R30" s="492">
        <v>22</v>
      </c>
      <c r="S30" s="492">
        <v>49</v>
      </c>
      <c r="T30" s="492">
        <v>24</v>
      </c>
      <c r="U30" s="492">
        <v>36</v>
      </c>
      <c r="V30" s="492">
        <v>22</v>
      </c>
      <c r="X30" s="505"/>
      <c r="Y30" s="503"/>
      <c r="Z30" s="503"/>
      <c r="AA30" s="503"/>
      <c r="AB30" s="503"/>
      <c r="AC30" s="503"/>
      <c r="AD30" s="503"/>
      <c r="AE30" s="503"/>
      <c r="AF30" s="503"/>
      <c r="AG30" s="503"/>
      <c r="AH30" s="503"/>
      <c r="AI30" s="506"/>
    </row>
    <row r="31" spans="1:35" s="5" customFormat="1" ht="32.15" customHeight="1">
      <c r="A31" s="459">
        <v>1028</v>
      </c>
      <c r="B31" s="469" t="s">
        <v>3006</v>
      </c>
      <c r="C31" s="469">
        <v>118483841</v>
      </c>
      <c r="D31" s="469">
        <v>484</v>
      </c>
      <c r="E31" s="470" t="s">
        <v>3007</v>
      </c>
      <c r="F31" s="470" t="s">
        <v>3008</v>
      </c>
      <c r="G31" s="470" t="s">
        <v>3009</v>
      </c>
      <c r="H31" s="471">
        <v>40101</v>
      </c>
      <c r="I31" s="463" t="s">
        <v>2205</v>
      </c>
      <c r="J31" s="464" t="s">
        <v>2059</v>
      </c>
      <c r="K31" s="497">
        <v>43</v>
      </c>
      <c r="L31" s="245">
        <v>23</v>
      </c>
      <c r="M31" s="245">
        <v>45</v>
      </c>
      <c r="N31" s="245">
        <v>23</v>
      </c>
      <c r="O31" s="245">
        <v>66</v>
      </c>
      <c r="P31" s="245">
        <v>23</v>
      </c>
      <c r="Q31" s="245">
        <v>33</v>
      </c>
      <c r="R31" s="245">
        <v>23</v>
      </c>
      <c r="S31" s="245">
        <v>62</v>
      </c>
      <c r="T31" s="245">
        <v>23</v>
      </c>
      <c r="U31" s="245">
        <v>58</v>
      </c>
      <c r="V31" s="245">
        <v>23</v>
      </c>
      <c r="X31" s="507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8"/>
    </row>
    <row r="32" spans="1:35" s="465" customFormat="1" ht="32.15" customHeight="1">
      <c r="A32" s="459">
        <v>1029</v>
      </c>
      <c r="B32" s="472" t="s">
        <v>3010</v>
      </c>
      <c r="C32" s="472">
        <v>105204749</v>
      </c>
      <c r="D32" s="472">
        <v>461</v>
      </c>
      <c r="E32" s="473" t="s">
        <v>3011</v>
      </c>
      <c r="F32" s="473" t="s">
        <v>3012</v>
      </c>
      <c r="G32" s="473" t="s">
        <v>3013</v>
      </c>
      <c r="H32" s="474">
        <v>40363</v>
      </c>
      <c r="I32" s="463" t="s">
        <v>2205</v>
      </c>
      <c r="J32" s="464" t="s">
        <v>2059</v>
      </c>
      <c r="K32" s="230">
        <v>40</v>
      </c>
      <c r="L32" s="492">
        <v>23</v>
      </c>
      <c r="M32" s="492">
        <v>36</v>
      </c>
      <c r="N32" s="492">
        <v>23</v>
      </c>
      <c r="O32" s="492">
        <v>41</v>
      </c>
      <c r="P32" s="492">
        <v>22</v>
      </c>
      <c r="Q32" s="492">
        <v>38</v>
      </c>
      <c r="R32" s="492">
        <v>23</v>
      </c>
      <c r="S32" s="492">
        <v>34</v>
      </c>
      <c r="T32" s="492">
        <v>23</v>
      </c>
      <c r="U32" s="492">
        <v>37</v>
      </c>
      <c r="V32" s="492">
        <v>23</v>
      </c>
      <c r="X32" s="505"/>
      <c r="Y32" s="503"/>
      <c r="Z32" s="503"/>
      <c r="AA32" s="503"/>
      <c r="AB32" s="503"/>
      <c r="AC32" s="503"/>
      <c r="AD32" s="503"/>
      <c r="AE32" s="503"/>
      <c r="AF32" s="503"/>
      <c r="AG32" s="503"/>
      <c r="AH32" s="503"/>
      <c r="AI32" s="506"/>
    </row>
    <row r="33" spans="1:35" s="5" customFormat="1" ht="32.15" customHeight="1">
      <c r="A33" s="459">
        <v>1030</v>
      </c>
      <c r="B33" s="472" t="s">
        <v>3014</v>
      </c>
      <c r="C33" s="472">
        <v>111725859</v>
      </c>
      <c r="D33" s="472">
        <v>491</v>
      </c>
      <c r="E33" s="473" t="s">
        <v>3015</v>
      </c>
      <c r="F33" s="473" t="s">
        <v>2682</v>
      </c>
      <c r="G33" s="473" t="s">
        <v>3016</v>
      </c>
      <c r="H33" s="474">
        <v>40500</v>
      </c>
      <c r="I33" s="463" t="s">
        <v>2205</v>
      </c>
      <c r="J33" s="464" t="s">
        <v>2059</v>
      </c>
      <c r="K33" s="497">
        <v>32</v>
      </c>
      <c r="L33" s="245">
        <v>23</v>
      </c>
      <c r="M33" s="245">
        <v>30</v>
      </c>
      <c r="N33" s="245">
        <v>23</v>
      </c>
      <c r="O33" s="245">
        <v>35</v>
      </c>
      <c r="P33" s="245">
        <v>23</v>
      </c>
      <c r="Q33" s="245">
        <v>39</v>
      </c>
      <c r="R33" s="245">
        <v>23</v>
      </c>
      <c r="S33" s="245">
        <v>30</v>
      </c>
      <c r="T33" s="245">
        <v>24</v>
      </c>
      <c r="U33" s="245">
        <v>31</v>
      </c>
      <c r="V33" s="245">
        <v>23</v>
      </c>
      <c r="X33" s="507"/>
      <c r="Y33" s="504"/>
      <c r="Z33" s="504"/>
      <c r="AA33" s="504"/>
      <c r="AB33" s="504"/>
      <c r="AC33" s="504"/>
      <c r="AD33" s="504"/>
      <c r="AE33" s="504"/>
      <c r="AF33" s="504"/>
      <c r="AG33" s="504"/>
      <c r="AH33" s="504"/>
      <c r="AI33" s="508"/>
    </row>
    <row r="34" spans="1:35" s="465" customFormat="1" ht="32.15" customHeight="1">
      <c r="A34" s="459">
        <v>1031</v>
      </c>
      <c r="B34" s="460" t="s">
        <v>3017</v>
      </c>
      <c r="C34" s="460">
        <v>140273110</v>
      </c>
      <c r="D34" s="460">
        <v>1343</v>
      </c>
      <c r="E34" s="461" t="s">
        <v>3018</v>
      </c>
      <c r="F34" s="461" t="s">
        <v>3019</v>
      </c>
      <c r="G34" s="461" t="s">
        <v>3020</v>
      </c>
      <c r="H34" s="462">
        <v>40358</v>
      </c>
      <c r="I34" s="463" t="s">
        <v>2205</v>
      </c>
      <c r="J34" s="464" t="s">
        <v>2059</v>
      </c>
      <c r="K34" s="230">
        <v>28</v>
      </c>
      <c r="L34" s="492">
        <v>23</v>
      </c>
      <c r="M34" s="492">
        <v>30</v>
      </c>
      <c r="N34" s="492">
        <v>23</v>
      </c>
      <c r="O34" s="492">
        <v>34</v>
      </c>
      <c r="P34" s="492">
        <v>24</v>
      </c>
      <c r="Q34" s="492">
        <v>34</v>
      </c>
      <c r="R34" s="492">
        <v>23</v>
      </c>
      <c r="S34" s="492">
        <v>30</v>
      </c>
      <c r="T34" s="492">
        <v>23</v>
      </c>
      <c r="U34" s="492">
        <v>30</v>
      </c>
      <c r="V34" s="492">
        <v>23</v>
      </c>
      <c r="X34" s="505"/>
      <c r="Y34" s="503"/>
      <c r="Z34" s="503"/>
      <c r="AA34" s="503"/>
      <c r="AB34" s="503"/>
      <c r="AC34" s="503"/>
      <c r="AD34" s="503"/>
      <c r="AE34" s="503"/>
      <c r="AF34" s="503"/>
      <c r="AG34" s="503"/>
      <c r="AH34" s="503"/>
      <c r="AI34" s="506"/>
    </row>
    <row r="35" spans="1:35" s="465" customFormat="1" ht="32.15" customHeight="1" thickBot="1">
      <c r="A35" s="459">
        <v>1032</v>
      </c>
      <c r="B35" s="466" t="s">
        <v>3021</v>
      </c>
      <c r="C35" s="466">
        <v>117479980</v>
      </c>
      <c r="D35" s="466">
        <v>462</v>
      </c>
      <c r="E35" s="467" t="s">
        <v>3040</v>
      </c>
      <c r="F35" s="467" t="s">
        <v>3042</v>
      </c>
      <c r="G35" s="467" t="s">
        <v>3022</v>
      </c>
      <c r="H35" s="496">
        <v>40408</v>
      </c>
      <c r="I35" s="463" t="s">
        <v>2205</v>
      </c>
      <c r="J35" s="464" t="s">
        <v>2059</v>
      </c>
      <c r="K35" s="497">
        <v>50</v>
      </c>
      <c r="L35" s="245">
        <v>22</v>
      </c>
      <c r="M35" s="245">
        <v>33</v>
      </c>
      <c r="N35" s="245">
        <v>22</v>
      </c>
      <c r="O35" s="245">
        <v>50</v>
      </c>
      <c r="P35" s="245">
        <v>24</v>
      </c>
      <c r="Q35" s="245">
        <v>34</v>
      </c>
      <c r="R35" s="245">
        <v>22</v>
      </c>
      <c r="S35" s="245">
        <v>49</v>
      </c>
      <c r="T35" s="245">
        <v>23</v>
      </c>
      <c r="U35" s="245">
        <v>38</v>
      </c>
      <c r="V35" s="245">
        <v>22</v>
      </c>
      <c r="X35" s="509"/>
      <c r="Y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1"/>
    </row>
    <row r="36" spans="1:35" s="8" customFormat="1" ht="14">
      <c r="A36" s="250"/>
    </row>
    <row r="37" spans="1:35" s="8" customFormat="1" ht="14">
      <c r="A37" s="250"/>
    </row>
    <row r="38" spans="1:35" s="8" customFormat="1" ht="14">
      <c r="A38" s="250"/>
    </row>
    <row r="39" spans="1:35" s="8" customFormat="1" ht="14">
      <c r="A39" s="250"/>
    </row>
    <row r="40" spans="1:35" s="8" customFormat="1" ht="14">
      <c r="A40" s="250"/>
    </row>
    <row r="41" spans="1:35" s="8" customFormat="1" ht="14">
      <c r="A41" s="250"/>
    </row>
    <row r="42" spans="1:35" s="8" customFormat="1" ht="14">
      <c r="A42" s="250"/>
    </row>
    <row r="43" spans="1:35" s="8" customFormat="1" ht="14">
      <c r="A43" s="250"/>
    </row>
    <row r="44" spans="1:35" s="8" customFormat="1" ht="14">
      <c r="A44" s="250"/>
    </row>
    <row r="45" spans="1:35" s="8" customFormat="1" ht="14">
      <c r="A45" s="250"/>
    </row>
    <row r="46" spans="1:35" s="8" customFormat="1" ht="17.5">
      <c r="A46" s="250"/>
      <c r="K46" s="32"/>
    </row>
    <row r="47" spans="1:35" s="8" customFormat="1" ht="17.5">
      <c r="A47" s="250"/>
      <c r="K47" s="32"/>
    </row>
    <row r="48" spans="1:35" s="8" customFormat="1" ht="17.5">
      <c r="A48" s="250"/>
      <c r="K48" s="32"/>
    </row>
    <row r="49" spans="1:11" s="8" customFormat="1" ht="17.5">
      <c r="A49" s="250"/>
      <c r="K49" s="32"/>
    </row>
    <row r="50" spans="1:11" s="8" customFormat="1" ht="17.5">
      <c r="A50" s="250"/>
      <c r="K50" s="32"/>
    </row>
    <row r="51" spans="1:11" s="8" customFormat="1" ht="17.5">
      <c r="A51" s="250"/>
      <c r="K51" s="32"/>
    </row>
    <row r="52" spans="1:11" s="8" customFormat="1" ht="17.5">
      <c r="A52" s="250"/>
      <c r="K52" s="32"/>
    </row>
    <row r="53" spans="1:11" s="8" customFormat="1" ht="17.5">
      <c r="A53" s="250"/>
      <c r="K53" s="32"/>
    </row>
    <row r="54" spans="1:11" s="8" customFormat="1" ht="17.5">
      <c r="A54" s="250"/>
      <c r="K54" s="32"/>
    </row>
    <row r="55" spans="1:11" s="8" customFormat="1" ht="17.5">
      <c r="A55" s="250"/>
      <c r="K55" s="32"/>
    </row>
    <row r="56" spans="1:11" s="8" customFormat="1" ht="17.5">
      <c r="A56" s="250"/>
      <c r="K56" s="32"/>
    </row>
    <row r="57" spans="1:11" s="8" customFormat="1" ht="17.5">
      <c r="A57" s="250"/>
      <c r="K57" s="32"/>
    </row>
    <row r="58" spans="1:11" s="8" customFormat="1" ht="17.5">
      <c r="A58" s="250"/>
      <c r="K58" s="32"/>
    </row>
    <row r="59" spans="1:11" s="8" customFormat="1" ht="17.5">
      <c r="A59" s="250"/>
      <c r="K59" s="32"/>
    </row>
    <row r="60" spans="1:11" s="8" customFormat="1" ht="17.5">
      <c r="A60" s="250"/>
      <c r="K60" s="32"/>
    </row>
    <row r="61" spans="1:11" s="8" customFormat="1" ht="17.5">
      <c r="A61" s="250"/>
      <c r="K61" s="32"/>
    </row>
    <row r="62" spans="1:11" s="8" customFormat="1" ht="17.5">
      <c r="A62" s="250"/>
      <c r="K62" s="32"/>
    </row>
    <row r="63" spans="1:11" s="8" customFormat="1" ht="17.5">
      <c r="A63" s="250"/>
      <c r="K63" s="32"/>
    </row>
    <row r="64" spans="1:11" s="8" customFormat="1" ht="17.5">
      <c r="A64" s="250"/>
      <c r="K64" s="32"/>
    </row>
    <row r="65" spans="1:11" s="8" customFormat="1" ht="17.5">
      <c r="A65" s="250"/>
      <c r="K65" s="32"/>
    </row>
    <row r="66" spans="1:11" s="8" customFormat="1" ht="17.5">
      <c r="A66" s="250"/>
      <c r="K66" s="32"/>
    </row>
    <row r="67" spans="1:11" s="8" customFormat="1" ht="17.5">
      <c r="A67" s="250"/>
      <c r="K67" s="32"/>
    </row>
    <row r="68" spans="1:11" s="8" customFormat="1" ht="17.5">
      <c r="A68" s="250"/>
      <c r="K68" s="32"/>
    </row>
    <row r="69" spans="1:11" s="8" customFormat="1" ht="17.5">
      <c r="A69" s="250"/>
      <c r="K69" s="32"/>
    </row>
    <row r="70" spans="1:11" s="8" customFormat="1" ht="17.5">
      <c r="A70" s="250"/>
      <c r="K70" s="32"/>
    </row>
    <row r="71" spans="1:11" s="8" customFormat="1" ht="17.5">
      <c r="A71" s="250"/>
      <c r="K71" s="32"/>
    </row>
    <row r="72" spans="1:11" s="8" customFormat="1" ht="17.5">
      <c r="A72" s="250"/>
      <c r="K72" s="32"/>
    </row>
    <row r="73" spans="1:11" s="8" customFormat="1" ht="17.5">
      <c r="A73" s="250"/>
      <c r="K73" s="32"/>
    </row>
    <row r="74" spans="1:11" s="8" customFormat="1" ht="17.5">
      <c r="A74" s="250"/>
      <c r="K74" s="32"/>
    </row>
    <row r="75" spans="1:11" s="8" customFormat="1" ht="17.5">
      <c r="A75" s="250"/>
      <c r="K75" s="32"/>
    </row>
    <row r="76" spans="1:11" s="8" customFormat="1" ht="17.5">
      <c r="A76" s="250"/>
      <c r="K76" s="32"/>
    </row>
    <row r="77" spans="1:11" s="8" customFormat="1" ht="17.5">
      <c r="A77" s="250"/>
      <c r="K77" s="32"/>
    </row>
    <row r="78" spans="1:11" s="8" customFormat="1" ht="17.5">
      <c r="A78" s="250"/>
      <c r="K78" s="32"/>
    </row>
    <row r="79" spans="1:11" s="8" customFormat="1" ht="17.5">
      <c r="A79" s="250"/>
      <c r="K79" s="32"/>
    </row>
    <row r="80" spans="1:11" s="8" customFormat="1" ht="17.5">
      <c r="A80" s="250"/>
      <c r="K80" s="32"/>
    </row>
    <row r="81" spans="1:11" s="8" customFormat="1" ht="17.5">
      <c r="A81" s="250"/>
      <c r="K81" s="32"/>
    </row>
    <row r="82" spans="1:11" s="8" customFormat="1" ht="17.5">
      <c r="A82" s="250"/>
      <c r="K82" s="32"/>
    </row>
    <row r="83" spans="1:11" s="8" customFormat="1" ht="17.5">
      <c r="A83" s="250"/>
      <c r="K83" s="32"/>
    </row>
    <row r="84" spans="1:11" s="8" customFormat="1" ht="17.5">
      <c r="A84" s="250"/>
      <c r="K84" s="32"/>
    </row>
    <row r="85" spans="1:11" s="8" customFormat="1" ht="17.5">
      <c r="A85" s="250"/>
      <c r="K85" s="32"/>
    </row>
    <row r="86" spans="1:11" s="8" customFormat="1" ht="17.5">
      <c r="A86" s="250"/>
      <c r="K86" s="32"/>
    </row>
    <row r="87" spans="1:11" s="8" customFormat="1" ht="17.5">
      <c r="A87" s="250"/>
      <c r="K87" s="32"/>
    </row>
    <row r="88" spans="1:11" s="8" customFormat="1" ht="17.5">
      <c r="A88" s="250"/>
      <c r="K88" s="32"/>
    </row>
    <row r="89" spans="1:11" s="8" customFormat="1" ht="17.5">
      <c r="A89" s="250"/>
      <c r="K89" s="32"/>
    </row>
    <row r="90" spans="1:11" s="8" customFormat="1" ht="17.5">
      <c r="A90" s="250"/>
      <c r="K90" s="32"/>
    </row>
    <row r="91" spans="1:11" s="8" customFormat="1" ht="17.5">
      <c r="A91" s="250"/>
      <c r="K91" s="32"/>
    </row>
    <row r="92" spans="1:11" s="8" customFormat="1" ht="17.5">
      <c r="A92" s="250"/>
      <c r="K92" s="32"/>
    </row>
    <row r="93" spans="1:11" s="8" customFormat="1" ht="17.5">
      <c r="A93" s="250"/>
      <c r="K93" s="32"/>
    </row>
    <row r="94" spans="1:11" s="8" customFormat="1" ht="17.5">
      <c r="A94" s="250"/>
      <c r="K94" s="32"/>
    </row>
    <row r="95" spans="1:11" s="8" customFormat="1" ht="17.5">
      <c r="A95" s="250"/>
      <c r="K95" s="32"/>
    </row>
    <row r="96" spans="1:11" s="8" customFormat="1" ht="17.5">
      <c r="A96" s="250"/>
      <c r="K96" s="32"/>
    </row>
    <row r="97" spans="1:11" s="8" customFormat="1" ht="17.5">
      <c r="A97" s="250"/>
      <c r="K97" s="32"/>
    </row>
    <row r="98" spans="1:11" s="8" customFormat="1" ht="17.5">
      <c r="A98" s="250"/>
      <c r="K98" s="32"/>
    </row>
    <row r="99" spans="1:11" s="8" customFormat="1" ht="17.5">
      <c r="A99" s="250"/>
      <c r="K99" s="32"/>
    </row>
    <row r="100" spans="1:11" s="8" customFormat="1" ht="17.5">
      <c r="A100" s="250"/>
      <c r="K100" s="32"/>
    </row>
    <row r="101" spans="1:11" s="8" customFormat="1" ht="17.5">
      <c r="A101" s="250"/>
      <c r="K101" s="32"/>
    </row>
    <row r="102" spans="1:11" s="8" customFormat="1" ht="17.5">
      <c r="A102" s="250"/>
      <c r="K102" s="32"/>
    </row>
    <row r="103" spans="1:11" s="8" customFormat="1" ht="17.5">
      <c r="A103" s="250"/>
      <c r="K103" s="32"/>
    </row>
    <row r="104" spans="1:11" s="8" customFormat="1" ht="17.5">
      <c r="A104" s="250"/>
      <c r="K104" s="32"/>
    </row>
    <row r="105" spans="1:11" s="8" customFormat="1" ht="17.5">
      <c r="A105" s="250"/>
      <c r="K105" s="32"/>
    </row>
    <row r="106" spans="1:11" s="8" customFormat="1" ht="17.5">
      <c r="A106" s="250"/>
      <c r="K106" s="32"/>
    </row>
    <row r="107" spans="1:11" s="8" customFormat="1" ht="17.5">
      <c r="A107" s="250"/>
      <c r="K107" s="32"/>
    </row>
    <row r="108" spans="1:11" s="8" customFormat="1" ht="17.5">
      <c r="A108" s="250"/>
      <c r="K108" s="32"/>
    </row>
    <row r="109" spans="1:11" s="8" customFormat="1" ht="17.5">
      <c r="A109" s="250"/>
      <c r="K109" s="32"/>
    </row>
    <row r="110" spans="1:11" s="8" customFormat="1" ht="17.5">
      <c r="A110" s="250"/>
      <c r="K110" s="32"/>
    </row>
    <row r="111" spans="1:11" s="8" customFormat="1" ht="17.5">
      <c r="A111" s="250"/>
      <c r="K111" s="32"/>
    </row>
    <row r="112" spans="1:11" s="8" customFormat="1" ht="17.5">
      <c r="A112" s="250"/>
      <c r="K112" s="32"/>
    </row>
    <row r="113" spans="1:11" s="8" customFormat="1" ht="17.5">
      <c r="A113" s="250"/>
      <c r="K113" s="32"/>
    </row>
    <row r="114" spans="1:11" s="8" customFormat="1" ht="17.5">
      <c r="A114" s="250"/>
      <c r="K114" s="32"/>
    </row>
    <row r="115" spans="1:11" s="8" customFormat="1" ht="17.5">
      <c r="A115" s="250"/>
      <c r="K115" s="32"/>
    </row>
    <row r="116" spans="1:11" s="8" customFormat="1" ht="17.5">
      <c r="A116" s="250"/>
      <c r="K116" s="32"/>
    </row>
    <row r="117" spans="1:11" s="8" customFormat="1" ht="17.5">
      <c r="A117" s="250"/>
      <c r="K117" s="32"/>
    </row>
    <row r="118" spans="1:11" s="8" customFormat="1" ht="17.5">
      <c r="A118" s="250"/>
      <c r="K118" s="32"/>
    </row>
    <row r="119" spans="1:11" s="8" customFormat="1" ht="17.5">
      <c r="A119" s="250"/>
      <c r="K119" s="32"/>
    </row>
    <row r="120" spans="1:11" s="8" customFormat="1" ht="17.5">
      <c r="A120" s="250"/>
      <c r="K120" s="32"/>
    </row>
    <row r="121" spans="1:11" s="8" customFormat="1" ht="17.5">
      <c r="A121" s="250"/>
      <c r="K121" s="32"/>
    </row>
  </sheetData>
  <mergeCells count="4">
    <mergeCell ref="A2:J2"/>
    <mergeCell ref="A1:J1"/>
    <mergeCell ref="K2:V2"/>
    <mergeCell ref="X2:AI2"/>
  </mergeCells>
  <phoneticPr fontId="77" type="noConversion"/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1">
    <tabColor rgb="FF002060"/>
  </sheetPr>
  <dimension ref="B1:K16"/>
  <sheetViews>
    <sheetView workbookViewId="0">
      <selection activeCell="M28" sqref="M28"/>
    </sheetView>
  </sheetViews>
  <sheetFormatPr defaultRowHeight="14.5"/>
  <cols>
    <col min="1" max="1" width="2.81640625" customWidth="1"/>
    <col min="4" max="5" width="18.1796875" customWidth="1"/>
    <col min="6" max="6" width="21.81640625" customWidth="1"/>
    <col min="7" max="9" width="18.1796875" customWidth="1"/>
  </cols>
  <sheetData>
    <row r="1" spans="2:11" ht="21">
      <c r="B1" s="1293" t="s">
        <v>2237</v>
      </c>
      <c r="C1" s="1293"/>
      <c r="D1" s="1293"/>
      <c r="E1" s="1293"/>
      <c r="F1" s="1293"/>
      <c r="G1" s="1293"/>
      <c r="H1" s="1293"/>
      <c r="I1" s="1293"/>
    </row>
    <row r="2" spans="2:11" ht="18.5">
      <c r="B2" s="1285" t="s">
        <v>3259</v>
      </c>
      <c r="C2" s="1285"/>
      <c r="D2" s="1285"/>
      <c r="E2" s="1285"/>
      <c r="F2" s="1285"/>
      <c r="G2" s="1285"/>
      <c r="H2" s="1285"/>
      <c r="I2" s="1285"/>
    </row>
    <row r="3" spans="2:11" ht="17.5" customHeight="1">
      <c r="B3" s="1296" t="s">
        <v>2875</v>
      </c>
      <c r="C3" s="1294" t="s">
        <v>7</v>
      </c>
      <c r="D3" s="1287" t="s">
        <v>3246</v>
      </c>
      <c r="E3" s="1287" t="s">
        <v>3277</v>
      </c>
      <c r="F3" s="1287" t="s">
        <v>3247</v>
      </c>
      <c r="G3" s="1287" t="s">
        <v>3248</v>
      </c>
      <c r="H3" s="1287" t="s">
        <v>3249</v>
      </c>
      <c r="I3" s="1287" t="s">
        <v>3250</v>
      </c>
    </row>
    <row r="4" spans="2:11" ht="17.5" customHeight="1">
      <c r="B4" s="1297"/>
      <c r="C4" s="1295"/>
      <c r="D4" s="1288"/>
      <c r="E4" s="1288"/>
      <c r="F4" s="1288"/>
      <c r="G4" s="1288"/>
      <c r="H4" s="1288"/>
      <c r="I4" s="1288"/>
    </row>
    <row r="5" spans="2:11" s="383" customFormat="1" ht="18.649999999999999" customHeight="1">
      <c r="B5" s="1291" t="s">
        <v>1652</v>
      </c>
      <c r="C5" s="1292"/>
      <c r="D5" s="441"/>
      <c r="E5" s="441" t="s">
        <v>9</v>
      </c>
      <c r="F5" s="441" t="s">
        <v>3251</v>
      </c>
      <c r="G5" s="441" t="s">
        <v>3252</v>
      </c>
      <c r="H5" s="441"/>
      <c r="I5" s="441" t="s">
        <v>10</v>
      </c>
    </row>
    <row r="6" spans="2:11" s="383" customFormat="1" ht="18.649999999999999" customHeight="1">
      <c r="B6" s="1289" t="s">
        <v>2876</v>
      </c>
      <c r="C6" s="1290"/>
      <c r="D6" s="14" t="s">
        <v>3251</v>
      </c>
      <c r="E6" s="14"/>
      <c r="F6" s="14" t="s">
        <v>10</v>
      </c>
      <c r="G6" s="14" t="s">
        <v>9</v>
      </c>
      <c r="H6" s="14" t="s">
        <v>3252</v>
      </c>
      <c r="I6" s="14"/>
    </row>
    <row r="7" spans="2:11" s="383" customFormat="1" ht="18.649999999999999" customHeight="1">
      <c r="B7" s="1291" t="s">
        <v>2877</v>
      </c>
      <c r="C7" s="1292"/>
      <c r="D7" s="441" t="s">
        <v>10</v>
      </c>
      <c r="E7" s="441" t="s">
        <v>3251</v>
      </c>
      <c r="F7" s="441"/>
      <c r="G7" s="441" t="s">
        <v>9</v>
      </c>
      <c r="H7" s="441" t="s">
        <v>3253</v>
      </c>
      <c r="I7" s="441" t="s">
        <v>3254</v>
      </c>
    </row>
    <row r="8" spans="2:11" s="383" customFormat="1" ht="18.649999999999999" customHeight="1">
      <c r="B8" s="1289" t="s">
        <v>1649</v>
      </c>
      <c r="C8" s="1290"/>
      <c r="D8" s="14" t="s">
        <v>9</v>
      </c>
      <c r="E8" s="14" t="s">
        <v>624</v>
      </c>
      <c r="F8" s="383" t="s">
        <v>10</v>
      </c>
      <c r="G8" s="14"/>
      <c r="H8" s="14" t="s">
        <v>3251</v>
      </c>
      <c r="I8" s="14" t="s">
        <v>14</v>
      </c>
    </row>
    <row r="9" spans="2:11" s="383" customFormat="1" ht="18.649999999999999" customHeight="1">
      <c r="B9" s="1291" t="s">
        <v>489</v>
      </c>
      <c r="C9" s="1292"/>
      <c r="D9" s="441" t="s">
        <v>3254</v>
      </c>
      <c r="E9" s="441" t="s">
        <v>10</v>
      </c>
      <c r="F9" s="441" t="s">
        <v>9</v>
      </c>
      <c r="G9" s="441" t="s">
        <v>3251</v>
      </c>
      <c r="H9" s="441"/>
      <c r="I9" s="441" t="s">
        <v>14</v>
      </c>
    </row>
    <row r="10" spans="2:11" s="383" customFormat="1" ht="18.649999999999999" customHeight="1">
      <c r="B10" s="1289" t="s">
        <v>2878</v>
      </c>
      <c r="C10" s="1290"/>
      <c r="D10" s="14" t="s">
        <v>10</v>
      </c>
      <c r="E10" s="14" t="s">
        <v>3251</v>
      </c>
      <c r="F10" s="14" t="s">
        <v>9</v>
      </c>
      <c r="G10" s="14" t="s">
        <v>3253</v>
      </c>
      <c r="H10" s="14" t="s">
        <v>3254</v>
      </c>
      <c r="I10" s="14"/>
      <c r="K10" s="383" t="s">
        <v>1676</v>
      </c>
    </row>
    <row r="11" spans="2:11" s="383" customFormat="1" ht="18.649999999999999" customHeight="1">
      <c r="B11" s="1291" t="s">
        <v>2879</v>
      </c>
      <c r="C11" s="1292"/>
      <c r="D11" s="441" t="s">
        <v>9</v>
      </c>
      <c r="E11" s="441" t="s">
        <v>624</v>
      </c>
      <c r="F11" s="441" t="s">
        <v>3251</v>
      </c>
      <c r="G11" s="441"/>
      <c r="H11" s="441" t="s">
        <v>10</v>
      </c>
      <c r="I11" s="441" t="s">
        <v>14</v>
      </c>
    </row>
    <row r="12" spans="2:11" s="383" customFormat="1" ht="18.649999999999999" customHeight="1">
      <c r="B12" s="1289" t="s">
        <v>2202</v>
      </c>
      <c r="C12" s="1290"/>
      <c r="D12" s="14" t="s">
        <v>3255</v>
      </c>
      <c r="E12" s="14" t="s">
        <v>10</v>
      </c>
      <c r="F12" s="14" t="s">
        <v>9</v>
      </c>
      <c r="G12" s="14" t="s">
        <v>3256</v>
      </c>
      <c r="H12" s="383" t="s">
        <v>3251</v>
      </c>
      <c r="I12" s="14" t="s">
        <v>3257</v>
      </c>
    </row>
    <row r="13" spans="2:11" s="383" customFormat="1" ht="18.649999999999999" customHeight="1">
      <c r="B13" s="1291" t="s">
        <v>29</v>
      </c>
      <c r="C13" s="1292"/>
      <c r="D13" s="441" t="s">
        <v>77</v>
      </c>
      <c r="E13" s="441" t="s">
        <v>3251</v>
      </c>
      <c r="F13" s="441" t="s">
        <v>10</v>
      </c>
      <c r="G13" s="441" t="s">
        <v>9</v>
      </c>
      <c r="H13" s="441" t="s">
        <v>3256</v>
      </c>
      <c r="I13" s="441" t="s">
        <v>12</v>
      </c>
    </row>
    <row r="14" spans="2:11" s="383" customFormat="1" ht="18.649999999999999" customHeight="1">
      <c r="B14" s="1289" t="s">
        <v>2880</v>
      </c>
      <c r="C14" s="1290"/>
      <c r="D14" s="14" t="s">
        <v>3256</v>
      </c>
      <c r="E14" s="14" t="s">
        <v>3251</v>
      </c>
      <c r="F14" s="14" t="s">
        <v>77</v>
      </c>
      <c r="G14" s="14" t="s">
        <v>10</v>
      </c>
      <c r="H14" s="14" t="s">
        <v>3255</v>
      </c>
      <c r="I14" s="14" t="s">
        <v>9</v>
      </c>
    </row>
    <row r="15" spans="2:11" s="383" customFormat="1" ht="18.649999999999999" customHeight="1">
      <c r="B15" s="1291" t="s">
        <v>2881</v>
      </c>
      <c r="C15" s="1292"/>
      <c r="D15" s="441" t="s">
        <v>9</v>
      </c>
      <c r="E15" s="441" t="s">
        <v>77</v>
      </c>
      <c r="F15" s="441" t="s">
        <v>3255</v>
      </c>
      <c r="G15" s="441" t="s">
        <v>3256</v>
      </c>
      <c r="H15" s="441" t="s">
        <v>3251</v>
      </c>
      <c r="I15" s="441" t="s">
        <v>10</v>
      </c>
    </row>
    <row r="16" spans="2:11" ht="18.649999999999999" customHeight="1">
      <c r="B16" s="1289" t="s">
        <v>2882</v>
      </c>
      <c r="C16" s="1290"/>
      <c r="D16" s="14" t="s">
        <v>3255</v>
      </c>
      <c r="E16" s="14" t="s">
        <v>3251</v>
      </c>
      <c r="F16" s="14" t="s">
        <v>10</v>
      </c>
      <c r="G16" s="14" t="s">
        <v>77</v>
      </c>
      <c r="H16" s="14" t="s">
        <v>9</v>
      </c>
      <c r="I16" s="14" t="s">
        <v>3258</v>
      </c>
    </row>
  </sheetData>
  <mergeCells count="22">
    <mergeCell ref="B1:I1"/>
    <mergeCell ref="B2:I2"/>
    <mergeCell ref="B11:C11"/>
    <mergeCell ref="B10:C10"/>
    <mergeCell ref="B9:C9"/>
    <mergeCell ref="G3:G4"/>
    <mergeCell ref="F3:F4"/>
    <mergeCell ref="E3:E4"/>
    <mergeCell ref="D3:D4"/>
    <mergeCell ref="B8:C8"/>
    <mergeCell ref="B7:C7"/>
    <mergeCell ref="B6:C6"/>
    <mergeCell ref="B5:C5"/>
    <mergeCell ref="H3:H4"/>
    <mergeCell ref="C3:C4"/>
    <mergeCell ref="B3:B4"/>
    <mergeCell ref="I3:I4"/>
    <mergeCell ref="B16:C16"/>
    <mergeCell ref="B15:C15"/>
    <mergeCell ref="B14:C14"/>
    <mergeCell ref="B13:C13"/>
    <mergeCell ref="B12:C12"/>
  </mergeCells>
  <pageMargins left="0.25" right="0.25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K41"/>
  <sheetViews>
    <sheetView topLeftCell="A20" workbookViewId="0">
      <selection activeCell="I28" sqref="I28"/>
    </sheetView>
  </sheetViews>
  <sheetFormatPr defaultRowHeight="14.5"/>
  <cols>
    <col min="2" max="2" width="7.81640625" customWidth="1"/>
    <col min="3" max="4" width="14.453125" customWidth="1"/>
    <col min="5" max="5" width="27.1796875" customWidth="1"/>
    <col min="6" max="6" width="20.54296875" customWidth="1"/>
  </cols>
  <sheetData>
    <row r="1" spans="1:11" ht="21" customHeight="1">
      <c r="A1" s="1304" t="s">
        <v>2887</v>
      </c>
      <c r="B1" s="1305"/>
      <c r="C1" s="1305"/>
      <c r="D1" s="1305"/>
      <c r="E1" s="1305"/>
      <c r="F1" s="1305"/>
      <c r="G1" s="1306"/>
      <c r="H1" s="442"/>
      <c r="I1" s="442"/>
      <c r="J1" s="442"/>
      <c r="K1" s="442"/>
    </row>
    <row r="2" spans="1:11" ht="15" customHeight="1">
      <c r="A2" s="1307" t="s">
        <v>2889</v>
      </c>
      <c r="B2" s="1308"/>
      <c r="C2" s="1308"/>
      <c r="D2" s="1308"/>
      <c r="E2" s="1308"/>
      <c r="F2" s="1308"/>
      <c r="G2" s="1309"/>
      <c r="H2" s="443"/>
      <c r="I2" s="443"/>
      <c r="J2" s="443"/>
      <c r="K2" s="443"/>
    </row>
    <row r="3" spans="1:11" ht="15" customHeight="1">
      <c r="A3" s="1301" t="s">
        <v>2888</v>
      </c>
      <c r="B3" s="1302"/>
      <c r="C3" s="1302"/>
      <c r="D3" s="1302"/>
      <c r="E3" s="1302"/>
      <c r="F3" s="1302"/>
      <c r="G3" s="1303"/>
      <c r="H3" s="443"/>
      <c r="I3" s="443"/>
      <c r="J3" s="443"/>
      <c r="K3" s="443"/>
    </row>
    <row r="4" spans="1:11" ht="15" customHeight="1">
      <c r="A4" s="1301" t="s">
        <v>2895</v>
      </c>
      <c r="B4" s="1302"/>
      <c r="C4" s="1302"/>
      <c r="D4" s="1302"/>
      <c r="E4" s="1302"/>
      <c r="F4" s="444" t="s">
        <v>2186</v>
      </c>
      <c r="G4" s="446"/>
      <c r="H4" s="443"/>
      <c r="I4" s="443"/>
      <c r="J4" s="443"/>
      <c r="K4" s="443"/>
    </row>
    <row r="5" spans="1:11" ht="15" customHeight="1">
      <c r="A5" s="1301" t="s">
        <v>45</v>
      </c>
      <c r="B5" s="1302"/>
      <c r="C5" s="1302"/>
      <c r="D5" s="1302"/>
      <c r="E5" s="1302"/>
      <c r="F5" s="444" t="s">
        <v>2896</v>
      </c>
      <c r="G5" s="446"/>
      <c r="H5" s="443"/>
      <c r="I5" s="443"/>
      <c r="J5" s="443"/>
      <c r="K5" s="443"/>
    </row>
    <row r="6" spans="1:11" ht="17.5">
      <c r="A6" s="447"/>
      <c r="B6" s="477" t="s">
        <v>2890</v>
      </c>
      <c r="C6" s="477" t="s">
        <v>2891</v>
      </c>
      <c r="D6" s="477" t="s">
        <v>2892</v>
      </c>
      <c r="E6" s="477" t="s">
        <v>2893</v>
      </c>
      <c r="F6" s="477" t="s">
        <v>2894</v>
      </c>
      <c r="G6" s="448"/>
    </row>
    <row r="7" spans="1:11" ht="17.5">
      <c r="A7" s="447"/>
      <c r="B7" s="445">
        <v>1</v>
      </c>
      <c r="C7" s="445" t="s">
        <v>1676</v>
      </c>
      <c r="D7" s="445" t="s">
        <v>1676</v>
      </c>
      <c r="E7" s="445"/>
      <c r="F7" s="1298"/>
      <c r="G7" s="448"/>
    </row>
    <row r="8" spans="1:11" ht="17.5">
      <c r="A8" s="447"/>
      <c r="B8" s="445">
        <v>2</v>
      </c>
      <c r="C8" s="445"/>
      <c r="D8" s="445"/>
      <c r="E8" s="445"/>
      <c r="F8" s="1299"/>
      <c r="G8" s="448"/>
    </row>
    <row r="9" spans="1:11" ht="17.5">
      <c r="A9" s="447"/>
      <c r="B9" s="445">
        <v>3</v>
      </c>
      <c r="C9" s="445"/>
      <c r="D9" s="445"/>
      <c r="E9" s="445"/>
      <c r="F9" s="1299"/>
      <c r="G9" s="448"/>
    </row>
    <row r="10" spans="1:11" ht="17.5">
      <c r="A10" s="447"/>
      <c r="B10" s="445">
        <v>4</v>
      </c>
      <c r="C10" s="445"/>
      <c r="D10" s="445"/>
      <c r="E10" s="445"/>
      <c r="F10" s="1299"/>
      <c r="G10" s="448"/>
    </row>
    <row r="11" spans="1:11" ht="17.5">
      <c r="A11" s="447"/>
      <c r="B11" s="445">
        <v>5</v>
      </c>
      <c r="C11" s="445"/>
      <c r="D11" s="445"/>
      <c r="E11" s="445"/>
      <c r="F11" s="1299"/>
      <c r="G11" s="448"/>
    </row>
    <row r="12" spans="1:11" ht="17.5">
      <c r="A12" s="447"/>
      <c r="B12" s="445">
        <v>6</v>
      </c>
      <c r="C12" s="445"/>
      <c r="D12" s="445"/>
      <c r="E12" s="445"/>
      <c r="F12" s="1300"/>
      <c r="G12" s="448"/>
    </row>
    <row r="13" spans="1:11" ht="15" thickBot="1">
      <c r="A13" s="449"/>
      <c r="B13" s="450"/>
      <c r="C13" s="451"/>
      <c r="D13" s="451"/>
      <c r="E13" s="451"/>
      <c r="F13" s="451"/>
      <c r="G13" s="452"/>
    </row>
    <row r="14" spans="1:11" ht="26.5" customHeight="1" thickBot="1"/>
    <row r="15" spans="1:11" ht="24.5">
      <c r="A15" s="1304" t="s">
        <v>2887</v>
      </c>
      <c r="B15" s="1305"/>
      <c r="C15" s="1305"/>
      <c r="D15" s="1305"/>
      <c r="E15" s="1305"/>
      <c r="F15" s="1305"/>
      <c r="G15" s="1306"/>
    </row>
    <row r="16" spans="1:11" ht="17.5">
      <c r="A16" s="1307" t="s">
        <v>2889</v>
      </c>
      <c r="B16" s="1308"/>
      <c r="C16" s="1308"/>
      <c r="D16" s="1308"/>
      <c r="E16" s="1308"/>
      <c r="F16" s="1308"/>
      <c r="G16" s="1309"/>
    </row>
    <row r="17" spans="1:7" ht="17.5">
      <c r="A17" s="1301" t="s">
        <v>2888</v>
      </c>
      <c r="B17" s="1302"/>
      <c r="C17" s="1302"/>
      <c r="D17" s="1302"/>
      <c r="E17" s="1302"/>
      <c r="F17" s="1302"/>
      <c r="G17" s="1303"/>
    </row>
    <row r="18" spans="1:7" ht="15.65" customHeight="1">
      <c r="A18" s="1301" t="s">
        <v>2895</v>
      </c>
      <c r="B18" s="1302"/>
      <c r="C18" s="1302"/>
      <c r="D18" s="1302"/>
      <c r="E18" s="1302"/>
      <c r="F18" s="444" t="s">
        <v>2186</v>
      </c>
      <c r="G18" s="446"/>
    </row>
    <row r="19" spans="1:7" ht="15.65" customHeight="1">
      <c r="A19" s="1301" t="s">
        <v>45</v>
      </c>
      <c r="B19" s="1302"/>
      <c r="C19" s="1302"/>
      <c r="D19" s="1302"/>
      <c r="E19" s="1302"/>
      <c r="F19" s="444" t="s">
        <v>2896</v>
      </c>
      <c r="G19" s="446"/>
    </row>
    <row r="20" spans="1:7" ht="17.5">
      <c r="A20" s="447"/>
      <c r="B20" s="477" t="s">
        <v>2890</v>
      </c>
      <c r="C20" s="477" t="s">
        <v>2891</v>
      </c>
      <c r="D20" s="477" t="s">
        <v>2892</v>
      </c>
      <c r="E20" s="477" t="s">
        <v>2893</v>
      </c>
      <c r="F20" s="477" t="s">
        <v>2894</v>
      </c>
      <c r="G20" s="448"/>
    </row>
    <row r="21" spans="1:7" ht="21" customHeight="1">
      <c r="A21" s="447"/>
      <c r="B21" s="445">
        <v>1</v>
      </c>
      <c r="C21" s="445" t="s">
        <v>1676</v>
      </c>
      <c r="D21" s="445" t="s">
        <v>1676</v>
      </c>
      <c r="E21" s="445"/>
      <c r="F21" s="1298"/>
      <c r="G21" s="448"/>
    </row>
    <row r="22" spans="1:7" ht="21" customHeight="1">
      <c r="A22" s="447"/>
      <c r="B22" s="445">
        <v>2</v>
      </c>
      <c r="C22" s="445"/>
      <c r="D22" s="445"/>
      <c r="E22" s="445"/>
      <c r="F22" s="1299"/>
      <c r="G22" s="448"/>
    </row>
    <row r="23" spans="1:7" ht="21" customHeight="1">
      <c r="A23" s="447"/>
      <c r="B23" s="445">
        <v>3</v>
      </c>
      <c r="C23" s="445"/>
      <c r="D23" s="445"/>
      <c r="E23" s="445"/>
      <c r="F23" s="1299"/>
      <c r="G23" s="448"/>
    </row>
    <row r="24" spans="1:7" ht="17.5">
      <c r="A24" s="447"/>
      <c r="B24" s="445">
        <v>4</v>
      </c>
      <c r="C24" s="445"/>
      <c r="D24" s="445"/>
      <c r="E24" s="445"/>
      <c r="F24" s="1299"/>
      <c r="G24" s="448"/>
    </row>
    <row r="25" spans="1:7" ht="17.5">
      <c r="A25" s="447"/>
      <c r="B25" s="445">
        <v>5</v>
      </c>
      <c r="C25" s="445"/>
      <c r="D25" s="445"/>
      <c r="E25" s="445"/>
      <c r="F25" s="1299"/>
      <c r="G25" s="448"/>
    </row>
    <row r="26" spans="1:7" ht="17.5">
      <c r="A26" s="447"/>
      <c r="B26" s="445">
        <v>6</v>
      </c>
      <c r="C26" s="445"/>
      <c r="D26" s="445"/>
      <c r="E26" s="445"/>
      <c r="F26" s="1300"/>
      <c r="G26" s="448"/>
    </row>
    <row r="27" spans="1:7" ht="15" thickBot="1">
      <c r="A27" s="449"/>
      <c r="B27" s="450"/>
      <c r="C27" s="451"/>
      <c r="D27" s="451"/>
      <c r="E27" s="451"/>
      <c r="F27" s="451"/>
      <c r="G27" s="452"/>
    </row>
    <row r="28" spans="1:7" ht="24.65" customHeight="1" thickBot="1"/>
    <row r="29" spans="1:7" ht="24.5">
      <c r="A29" s="1304" t="s">
        <v>2887</v>
      </c>
      <c r="B29" s="1305"/>
      <c r="C29" s="1305"/>
      <c r="D29" s="1305"/>
      <c r="E29" s="1305"/>
      <c r="F29" s="1305"/>
      <c r="G29" s="1306"/>
    </row>
    <row r="30" spans="1:7" ht="17.5">
      <c r="A30" s="1307" t="s">
        <v>2889</v>
      </c>
      <c r="B30" s="1308"/>
      <c r="C30" s="1308"/>
      <c r="D30" s="1308"/>
      <c r="E30" s="1308"/>
      <c r="F30" s="1308"/>
      <c r="G30" s="1309"/>
    </row>
    <row r="31" spans="1:7" ht="17.5">
      <c r="A31" s="1301" t="s">
        <v>2888</v>
      </c>
      <c r="B31" s="1302"/>
      <c r="C31" s="1302"/>
      <c r="D31" s="1302"/>
      <c r="E31" s="1302"/>
      <c r="F31" s="1302"/>
      <c r="G31" s="1303"/>
    </row>
    <row r="32" spans="1:7" ht="17.5">
      <c r="A32" s="1301" t="s">
        <v>2895</v>
      </c>
      <c r="B32" s="1302"/>
      <c r="C32" s="1302"/>
      <c r="D32" s="1302"/>
      <c r="E32" s="1302"/>
      <c r="F32" s="444" t="s">
        <v>2186</v>
      </c>
      <c r="G32" s="446"/>
    </row>
    <row r="33" spans="1:7" ht="17.5">
      <c r="A33" s="1301" t="s">
        <v>45</v>
      </c>
      <c r="B33" s="1302"/>
      <c r="C33" s="1302"/>
      <c r="D33" s="1302"/>
      <c r="E33" s="1302"/>
      <c r="F33" s="444" t="s">
        <v>2896</v>
      </c>
      <c r="G33" s="446"/>
    </row>
    <row r="34" spans="1:7" ht="17.5">
      <c r="A34" s="447"/>
      <c r="B34" s="477" t="s">
        <v>2890</v>
      </c>
      <c r="C34" s="477" t="s">
        <v>2891</v>
      </c>
      <c r="D34" s="477" t="s">
        <v>2892</v>
      </c>
      <c r="E34" s="477" t="s">
        <v>2893</v>
      </c>
      <c r="F34" s="477" t="s">
        <v>2894</v>
      </c>
      <c r="G34" s="448"/>
    </row>
    <row r="35" spans="1:7" ht="17.5">
      <c r="A35" s="447"/>
      <c r="B35" s="445">
        <v>1</v>
      </c>
      <c r="C35" s="445" t="s">
        <v>1676</v>
      </c>
      <c r="D35" s="445" t="s">
        <v>1676</v>
      </c>
      <c r="E35" s="445"/>
      <c r="F35" s="1298"/>
      <c r="G35" s="448"/>
    </row>
    <row r="36" spans="1:7" ht="17.5">
      <c r="A36" s="447"/>
      <c r="B36" s="445">
        <v>2</v>
      </c>
      <c r="C36" s="445"/>
      <c r="D36" s="445"/>
      <c r="E36" s="445"/>
      <c r="F36" s="1299"/>
      <c r="G36" s="448"/>
    </row>
    <row r="37" spans="1:7" ht="22.4" customHeight="1">
      <c r="A37" s="447"/>
      <c r="B37" s="445">
        <v>3</v>
      </c>
      <c r="C37" s="445"/>
      <c r="D37" s="445"/>
      <c r="E37" s="445"/>
      <c r="F37" s="1299"/>
      <c r="G37" s="448"/>
    </row>
    <row r="38" spans="1:7" ht="22.4" customHeight="1">
      <c r="A38" s="447"/>
      <c r="B38" s="445">
        <v>4</v>
      </c>
      <c r="C38" s="445"/>
      <c r="D38" s="445"/>
      <c r="E38" s="445"/>
      <c r="F38" s="1299"/>
      <c r="G38" s="448"/>
    </row>
    <row r="39" spans="1:7" ht="17.5">
      <c r="A39" s="447"/>
      <c r="B39" s="445">
        <v>5</v>
      </c>
      <c r="C39" s="445"/>
      <c r="D39" s="445"/>
      <c r="E39" s="445"/>
      <c r="F39" s="1299"/>
      <c r="G39" s="448"/>
    </row>
    <row r="40" spans="1:7" ht="17.5">
      <c r="A40" s="447"/>
      <c r="B40" s="445">
        <v>6</v>
      </c>
      <c r="C40" s="445"/>
      <c r="D40" s="445"/>
      <c r="E40" s="445"/>
      <c r="F40" s="1300"/>
      <c r="G40" s="448"/>
    </row>
    <row r="41" spans="1:7" ht="15" thickBot="1">
      <c r="A41" s="449"/>
      <c r="B41" s="450"/>
      <c r="C41" s="451"/>
      <c r="D41" s="451"/>
      <c r="E41" s="451"/>
      <c r="F41" s="451"/>
      <c r="G41" s="452"/>
    </row>
  </sheetData>
  <mergeCells count="24">
    <mergeCell ref="A1:G1"/>
    <mergeCell ref="A2:G2"/>
    <mergeCell ref="A3:G3"/>
    <mergeCell ref="F7:F12"/>
    <mergeCell ref="A4:C4"/>
    <mergeCell ref="D4:E4"/>
    <mergeCell ref="A5:C5"/>
    <mergeCell ref="D5:E5"/>
    <mergeCell ref="A15:G15"/>
    <mergeCell ref="A16:G16"/>
    <mergeCell ref="A17:G17"/>
    <mergeCell ref="A18:C18"/>
    <mergeCell ref="D18:E18"/>
    <mergeCell ref="A19:C19"/>
    <mergeCell ref="D19:E19"/>
    <mergeCell ref="F21:F26"/>
    <mergeCell ref="A29:G29"/>
    <mergeCell ref="A30:G30"/>
    <mergeCell ref="F35:F40"/>
    <mergeCell ref="A31:G31"/>
    <mergeCell ref="A32:C32"/>
    <mergeCell ref="D32:E32"/>
    <mergeCell ref="A33:C33"/>
    <mergeCell ref="D33:E33"/>
  </mergeCells>
  <pageMargins left="0" right="0" top="0" bottom="0" header="0" footer="0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>
    <tabColor rgb="FFFFFF00"/>
  </sheetPr>
  <dimension ref="B1:T34"/>
  <sheetViews>
    <sheetView topLeftCell="A2" workbookViewId="0">
      <selection activeCell="S11" sqref="S11"/>
    </sheetView>
  </sheetViews>
  <sheetFormatPr defaultRowHeight="14.5"/>
  <cols>
    <col min="1" max="1" width="2.54296875" customWidth="1"/>
    <col min="2" max="2" width="6.81640625" style="12" customWidth="1"/>
    <col min="4" max="4" width="9.453125" bestFit="1" customWidth="1"/>
    <col min="16" max="16" width="12" customWidth="1"/>
  </cols>
  <sheetData>
    <row r="1" spans="2:16" ht="24.5">
      <c r="B1" s="1315" t="s">
        <v>2237</v>
      </c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</row>
    <row r="2" spans="2:16" ht="22.5" thickBot="1">
      <c r="B2" s="1316" t="s">
        <v>2184</v>
      </c>
      <c r="C2" s="1316"/>
      <c r="D2" s="1316"/>
      <c r="E2" s="1316"/>
      <c r="F2" s="1316"/>
      <c r="G2" s="1316"/>
      <c r="H2" s="1316"/>
      <c r="I2" s="1316"/>
      <c r="J2" s="1316"/>
      <c r="K2" s="1316"/>
      <c r="L2" s="1316"/>
      <c r="M2" s="1316"/>
      <c r="N2" s="1316"/>
      <c r="O2" s="1316"/>
      <c r="P2" s="1316"/>
    </row>
    <row r="3" spans="2:16" ht="18" thickTop="1">
      <c r="B3" s="1321" t="s">
        <v>2185</v>
      </c>
      <c r="C3" s="1319" t="s">
        <v>2186</v>
      </c>
      <c r="D3" s="1311" t="s">
        <v>2180</v>
      </c>
      <c r="E3" s="1311"/>
      <c r="F3" s="1311"/>
      <c r="G3" s="1311" t="s">
        <v>2181</v>
      </c>
      <c r="H3" s="1311"/>
      <c r="I3" s="1311"/>
      <c r="J3" s="1311" t="s">
        <v>2182</v>
      </c>
      <c r="K3" s="1311"/>
      <c r="L3" s="1311"/>
      <c r="M3" s="1311" t="s">
        <v>2183</v>
      </c>
      <c r="N3" s="1311"/>
      <c r="O3" s="1311"/>
      <c r="P3" s="1313" t="s">
        <v>2187</v>
      </c>
    </row>
    <row r="4" spans="2:16" ht="18" thickBot="1">
      <c r="B4" s="1322"/>
      <c r="C4" s="1320"/>
      <c r="D4" s="346" t="s">
        <v>2178</v>
      </c>
      <c r="E4" s="347" t="s">
        <v>2179</v>
      </c>
      <c r="F4" s="348" t="s">
        <v>513</v>
      </c>
      <c r="G4" s="346" t="s">
        <v>2178</v>
      </c>
      <c r="H4" s="347" t="s">
        <v>2179</v>
      </c>
      <c r="I4" s="348" t="s">
        <v>513</v>
      </c>
      <c r="J4" s="346" t="s">
        <v>2178</v>
      </c>
      <c r="K4" s="347" t="s">
        <v>2179</v>
      </c>
      <c r="L4" s="348" t="s">
        <v>513</v>
      </c>
      <c r="M4" s="346" t="s">
        <v>2178</v>
      </c>
      <c r="N4" s="347" t="s">
        <v>2179</v>
      </c>
      <c r="O4" s="348" t="s">
        <v>513</v>
      </c>
      <c r="P4" s="1314"/>
    </row>
    <row r="5" spans="2:16" ht="18" thickTop="1">
      <c r="B5" s="349">
        <v>1</v>
      </c>
      <c r="C5" s="337" t="s">
        <v>2188</v>
      </c>
      <c r="D5" s="338" t="s">
        <v>2206</v>
      </c>
      <c r="E5" s="339" t="s">
        <v>2209</v>
      </c>
      <c r="F5" s="340" t="s">
        <v>2210</v>
      </c>
      <c r="G5" s="338" t="s">
        <v>2207</v>
      </c>
      <c r="H5" s="339" t="s">
        <v>2206</v>
      </c>
      <c r="I5" s="340" t="s">
        <v>2208</v>
      </c>
      <c r="J5" s="338" t="s">
        <v>2215</v>
      </c>
      <c r="K5" s="339" t="s">
        <v>2216</v>
      </c>
      <c r="L5" s="340" t="s">
        <v>2218</v>
      </c>
      <c r="M5" s="338" t="s">
        <v>2207</v>
      </c>
      <c r="N5" s="339" t="s">
        <v>2219</v>
      </c>
      <c r="O5" s="392" t="s">
        <v>2207</v>
      </c>
      <c r="P5" s="395">
        <f>F5+I5+L5+O5</f>
        <v>40</v>
      </c>
    </row>
    <row r="6" spans="2:16" ht="17.5">
      <c r="B6" s="350">
        <v>2</v>
      </c>
      <c r="C6" s="341" t="s">
        <v>2189</v>
      </c>
      <c r="D6" s="342" t="s">
        <v>2207</v>
      </c>
      <c r="E6" s="343" t="s">
        <v>2219</v>
      </c>
      <c r="F6" s="344" t="s">
        <v>2207</v>
      </c>
      <c r="G6" s="342" t="s">
        <v>2219</v>
      </c>
      <c r="H6" s="343" t="s">
        <v>2219</v>
      </c>
      <c r="I6" s="344" t="s">
        <v>2219</v>
      </c>
      <c r="J6" s="342" t="s">
        <v>2220</v>
      </c>
      <c r="K6" s="343" t="s">
        <v>2215</v>
      </c>
      <c r="L6" s="344" t="s">
        <v>2221</v>
      </c>
      <c r="M6" s="342" t="s">
        <v>2207</v>
      </c>
      <c r="N6" s="343" t="s">
        <v>2210</v>
      </c>
      <c r="O6" s="393" t="s">
        <v>2212</v>
      </c>
      <c r="P6" s="395">
        <f t="shared" ref="P6:P26" si="0">F6+I6+L6+O6</f>
        <v>40</v>
      </c>
    </row>
    <row r="7" spans="2:16" ht="17.5">
      <c r="B7" s="350">
        <v>3</v>
      </c>
      <c r="C7" s="341" t="s">
        <v>2190</v>
      </c>
      <c r="D7" s="342" t="s">
        <v>2207</v>
      </c>
      <c r="E7" s="343" t="s">
        <v>2206</v>
      </c>
      <c r="F7" s="344" t="s">
        <v>2208</v>
      </c>
      <c r="G7" s="342" t="s">
        <v>2208</v>
      </c>
      <c r="H7" s="343" t="s">
        <v>2219</v>
      </c>
      <c r="I7" s="344" t="s">
        <v>2208</v>
      </c>
      <c r="J7" s="342" t="s">
        <v>2222</v>
      </c>
      <c r="K7" s="343" t="s">
        <v>2223</v>
      </c>
      <c r="L7" s="344" t="s">
        <v>2224</v>
      </c>
      <c r="M7" s="342" t="s">
        <v>2209</v>
      </c>
      <c r="N7" s="343" t="s">
        <v>2206</v>
      </c>
      <c r="O7" s="393" t="s">
        <v>2210</v>
      </c>
      <c r="P7" s="395">
        <f t="shared" si="0"/>
        <v>48</v>
      </c>
    </row>
    <row r="8" spans="2:16" ht="18" thickBot="1">
      <c r="B8" s="350">
        <v>4</v>
      </c>
      <c r="C8" s="354" t="s">
        <v>2191</v>
      </c>
      <c r="D8" s="355" t="s">
        <v>2209</v>
      </c>
      <c r="E8" s="356" t="s">
        <v>2209</v>
      </c>
      <c r="F8" s="357" t="s">
        <v>2213</v>
      </c>
      <c r="G8" s="355" t="s">
        <v>2206</v>
      </c>
      <c r="H8" s="356" t="s">
        <v>2209</v>
      </c>
      <c r="I8" s="357" t="s">
        <v>2210</v>
      </c>
      <c r="J8" s="355" t="s">
        <v>2220</v>
      </c>
      <c r="K8" s="356" t="s">
        <v>2215</v>
      </c>
      <c r="L8" s="357" t="s">
        <v>2221</v>
      </c>
      <c r="M8" s="355" t="s">
        <v>2207</v>
      </c>
      <c r="N8" s="356" t="s">
        <v>2207</v>
      </c>
      <c r="O8" s="394" t="s">
        <v>2209</v>
      </c>
      <c r="P8" s="395">
        <f t="shared" si="0"/>
        <v>48</v>
      </c>
    </row>
    <row r="9" spans="2:16" s="345" customFormat="1" ht="18.5" thickTop="1" thickBot="1">
      <c r="B9" s="351"/>
      <c r="C9" s="359" t="s">
        <v>513</v>
      </c>
      <c r="D9" s="360" t="s">
        <v>2214</v>
      </c>
      <c r="E9" s="360" t="s">
        <v>2214</v>
      </c>
      <c r="F9" s="360">
        <f t="shared" ref="F9:P9" si="1">F5+F6+F7+F8</f>
        <v>18</v>
      </c>
      <c r="G9" s="360" t="s">
        <v>2211</v>
      </c>
      <c r="H9" s="360" t="s">
        <v>2210</v>
      </c>
      <c r="I9" s="360">
        <f t="shared" si="1"/>
        <v>11</v>
      </c>
      <c r="J9" s="360">
        <f t="shared" si="1"/>
        <v>72</v>
      </c>
      <c r="K9" s="360">
        <f t="shared" si="1"/>
        <v>57</v>
      </c>
      <c r="L9" s="360">
        <f t="shared" si="1"/>
        <v>129</v>
      </c>
      <c r="M9" s="360">
        <f t="shared" si="1"/>
        <v>10</v>
      </c>
      <c r="N9" s="360" t="s">
        <v>2213</v>
      </c>
      <c r="O9" s="360">
        <f t="shared" si="1"/>
        <v>18</v>
      </c>
      <c r="P9" s="399">
        <f t="shared" si="1"/>
        <v>176</v>
      </c>
    </row>
    <row r="10" spans="2:16" ht="18" thickTop="1">
      <c r="B10" s="350">
        <v>5</v>
      </c>
      <c r="C10" s="358" t="s">
        <v>2192</v>
      </c>
      <c r="D10" s="363" t="s">
        <v>2206</v>
      </c>
      <c r="E10" s="364" t="s">
        <v>2207</v>
      </c>
      <c r="F10" s="365" t="s">
        <v>2208</v>
      </c>
      <c r="G10" s="363" t="s">
        <v>2206</v>
      </c>
      <c r="H10" s="364" t="s">
        <v>2219</v>
      </c>
      <c r="I10" s="365" t="s">
        <v>2206</v>
      </c>
      <c r="J10" s="363" t="s">
        <v>2226</v>
      </c>
      <c r="K10" s="364" t="s">
        <v>2217</v>
      </c>
      <c r="L10" s="365">
        <f>J10+K10</f>
        <v>46</v>
      </c>
      <c r="M10" s="363" t="s">
        <v>2208</v>
      </c>
      <c r="N10" s="364" t="s">
        <v>2206</v>
      </c>
      <c r="O10" s="396" t="s">
        <v>2209</v>
      </c>
      <c r="P10" s="400">
        <f t="shared" si="0"/>
        <v>54</v>
      </c>
    </row>
    <row r="11" spans="2:16" ht="17.5">
      <c r="B11" s="350">
        <v>6</v>
      </c>
      <c r="C11" s="341" t="s">
        <v>2193</v>
      </c>
      <c r="D11" s="361" t="s">
        <v>2208</v>
      </c>
      <c r="E11" s="362" t="s">
        <v>2206</v>
      </c>
      <c r="F11" s="353" t="s">
        <v>2209</v>
      </c>
      <c r="G11" s="361" t="s">
        <v>2207</v>
      </c>
      <c r="H11" s="362" t="s">
        <v>2206</v>
      </c>
      <c r="I11" s="353" t="s">
        <v>2208</v>
      </c>
      <c r="J11" s="361" t="s">
        <v>2217</v>
      </c>
      <c r="K11" s="362" t="s">
        <v>2216</v>
      </c>
      <c r="L11" s="353">
        <f t="shared" ref="L11:L26" si="2">J11+K11</f>
        <v>42</v>
      </c>
      <c r="M11" s="361" t="s">
        <v>2210</v>
      </c>
      <c r="N11" s="362" t="s">
        <v>2210</v>
      </c>
      <c r="O11" s="397" t="s">
        <v>2227</v>
      </c>
      <c r="P11" s="400">
        <f t="shared" si="0"/>
        <v>59</v>
      </c>
    </row>
    <row r="12" spans="2:16" ht="17.5">
      <c r="B12" s="350">
        <v>7</v>
      </c>
      <c r="C12" s="341" t="s">
        <v>2194</v>
      </c>
      <c r="D12" s="361" t="s">
        <v>2206</v>
      </c>
      <c r="E12" s="362" t="s">
        <v>2207</v>
      </c>
      <c r="F12" s="353" t="s">
        <v>2208</v>
      </c>
      <c r="G12" s="361" t="s">
        <v>2219</v>
      </c>
      <c r="H12" s="362" t="s">
        <v>2207</v>
      </c>
      <c r="I12" s="353" t="s">
        <v>2207</v>
      </c>
      <c r="J12" s="361" t="s">
        <v>2215</v>
      </c>
      <c r="K12" s="362" t="s">
        <v>2225</v>
      </c>
      <c r="L12" s="353">
        <f t="shared" si="2"/>
        <v>41</v>
      </c>
      <c r="M12" s="361" t="s">
        <v>2207</v>
      </c>
      <c r="N12" s="362" t="s">
        <v>2219</v>
      </c>
      <c r="O12" s="397" t="s">
        <v>2207</v>
      </c>
      <c r="P12" s="400">
        <f t="shared" si="0"/>
        <v>48</v>
      </c>
    </row>
    <row r="13" spans="2:16" ht="17.5">
      <c r="B13" s="350">
        <v>8</v>
      </c>
      <c r="C13" s="341" t="s">
        <v>2195</v>
      </c>
      <c r="D13" s="361" t="s">
        <v>2219</v>
      </c>
      <c r="E13" s="362" t="s">
        <v>2207</v>
      </c>
      <c r="F13" s="353" t="s">
        <v>2207</v>
      </c>
      <c r="G13" s="361" t="s">
        <v>2219</v>
      </c>
      <c r="H13" s="362" t="s">
        <v>2206</v>
      </c>
      <c r="I13" s="353" t="s">
        <v>2206</v>
      </c>
      <c r="J13" s="361" t="s">
        <v>2228</v>
      </c>
      <c r="K13" s="362" t="s">
        <v>2216</v>
      </c>
      <c r="L13" s="353">
        <f t="shared" si="2"/>
        <v>39</v>
      </c>
      <c r="M13" s="361" t="s">
        <v>2209</v>
      </c>
      <c r="N13" s="362" t="s">
        <v>2219</v>
      </c>
      <c r="O13" s="397" t="s">
        <v>2209</v>
      </c>
      <c r="P13" s="400">
        <f t="shared" si="0"/>
        <v>46</v>
      </c>
    </row>
    <row r="14" spans="2:16" ht="17.5">
      <c r="B14" s="350">
        <v>9</v>
      </c>
      <c r="C14" s="341" t="s">
        <v>2196</v>
      </c>
      <c r="D14" s="361" t="s">
        <v>2219</v>
      </c>
      <c r="E14" s="362" t="s">
        <v>2207</v>
      </c>
      <c r="F14" s="353" t="s">
        <v>2207</v>
      </c>
      <c r="G14" s="361" t="s">
        <v>2219</v>
      </c>
      <c r="H14" s="362" t="s">
        <v>2219</v>
      </c>
      <c r="I14" s="353" t="s">
        <v>2219</v>
      </c>
      <c r="J14" s="361" t="s">
        <v>2227</v>
      </c>
      <c r="K14" s="362" t="s">
        <v>2222</v>
      </c>
      <c r="L14" s="353">
        <f t="shared" si="2"/>
        <v>34</v>
      </c>
      <c r="M14" s="361" t="s">
        <v>2208</v>
      </c>
      <c r="N14" s="362" t="s">
        <v>2207</v>
      </c>
      <c r="O14" s="397" t="s">
        <v>2210</v>
      </c>
      <c r="P14" s="400">
        <f t="shared" si="0"/>
        <v>41</v>
      </c>
    </row>
    <row r="15" spans="2:16" ht="17.5">
      <c r="B15" s="350">
        <v>10</v>
      </c>
      <c r="C15" s="341" t="s">
        <v>2197</v>
      </c>
      <c r="D15" s="361" t="s">
        <v>2206</v>
      </c>
      <c r="E15" s="362" t="s">
        <v>2219</v>
      </c>
      <c r="F15" s="353" t="s">
        <v>2206</v>
      </c>
      <c r="G15" s="361" t="s">
        <v>2206</v>
      </c>
      <c r="H15" s="362" t="s">
        <v>2206</v>
      </c>
      <c r="I15" s="353" t="s">
        <v>2207</v>
      </c>
      <c r="J15" s="361" t="s">
        <v>2216</v>
      </c>
      <c r="K15" s="362" t="s">
        <v>2229</v>
      </c>
      <c r="L15" s="353">
        <f t="shared" si="2"/>
        <v>27</v>
      </c>
      <c r="M15" s="361" t="s">
        <v>2207</v>
      </c>
      <c r="N15" s="362" t="s">
        <v>2219</v>
      </c>
      <c r="O15" s="397" t="s">
        <v>2207</v>
      </c>
      <c r="P15" s="400">
        <f t="shared" si="0"/>
        <v>32</v>
      </c>
    </row>
    <row r="16" spans="2:16" ht="17.5">
      <c r="B16" s="350">
        <v>11</v>
      </c>
      <c r="C16" s="341" t="s">
        <v>2198</v>
      </c>
      <c r="D16" s="361" t="s">
        <v>2206</v>
      </c>
      <c r="E16" s="362" t="s">
        <v>2219</v>
      </c>
      <c r="F16" s="353" t="s">
        <v>2206</v>
      </c>
      <c r="G16" s="361" t="s">
        <v>2219</v>
      </c>
      <c r="H16" s="362" t="s">
        <v>2219</v>
      </c>
      <c r="I16" s="353" t="s">
        <v>2219</v>
      </c>
      <c r="J16" s="361" t="s">
        <v>2215</v>
      </c>
      <c r="K16" s="362" t="s">
        <v>2230</v>
      </c>
      <c r="L16" s="353">
        <f t="shared" si="2"/>
        <v>29</v>
      </c>
      <c r="M16" s="361" t="s">
        <v>2207</v>
      </c>
      <c r="N16" s="362" t="s">
        <v>2210</v>
      </c>
      <c r="O16" s="397" t="s">
        <v>2212</v>
      </c>
      <c r="P16" s="400">
        <f t="shared" si="0"/>
        <v>37</v>
      </c>
    </row>
    <row r="17" spans="2:20" ht="17.5">
      <c r="B17" s="350">
        <v>12</v>
      </c>
      <c r="C17" s="341" t="s">
        <v>2199</v>
      </c>
      <c r="D17" s="361" t="s">
        <v>2206</v>
      </c>
      <c r="E17" s="362" t="s">
        <v>2206</v>
      </c>
      <c r="F17" s="353" t="s">
        <v>2207</v>
      </c>
      <c r="G17" s="361" t="s">
        <v>2219</v>
      </c>
      <c r="H17" s="362" t="s">
        <v>2206</v>
      </c>
      <c r="I17" s="353" t="s">
        <v>2206</v>
      </c>
      <c r="J17" s="361" t="s">
        <v>2230</v>
      </c>
      <c r="K17" s="362" t="s">
        <v>2215</v>
      </c>
      <c r="L17" s="353">
        <f t="shared" si="2"/>
        <v>29</v>
      </c>
      <c r="M17" s="361" t="s">
        <v>2206</v>
      </c>
      <c r="N17" s="362" t="s">
        <v>2208</v>
      </c>
      <c r="O17" s="397" t="s">
        <v>2209</v>
      </c>
      <c r="P17" s="400">
        <f t="shared" si="0"/>
        <v>36</v>
      </c>
      <c r="T17" t="s">
        <v>1676</v>
      </c>
    </row>
    <row r="18" spans="2:20" ht="17.5">
      <c r="B18" s="350">
        <v>13</v>
      </c>
      <c r="C18" s="341" t="s">
        <v>2200</v>
      </c>
      <c r="D18" s="361" t="s">
        <v>2208</v>
      </c>
      <c r="E18" s="362" t="s">
        <v>2219</v>
      </c>
      <c r="F18" s="353" t="s">
        <v>2208</v>
      </c>
      <c r="G18" s="361" t="s">
        <v>2207</v>
      </c>
      <c r="H18" s="362" t="s">
        <v>2206</v>
      </c>
      <c r="I18" s="353" t="s">
        <v>2208</v>
      </c>
      <c r="J18" s="361" t="s">
        <v>2229</v>
      </c>
      <c r="K18" s="362" t="s">
        <v>2216</v>
      </c>
      <c r="L18" s="353">
        <f t="shared" si="2"/>
        <v>27</v>
      </c>
      <c r="M18" s="361" t="s">
        <v>2207</v>
      </c>
      <c r="N18" s="362" t="s">
        <v>2210</v>
      </c>
      <c r="O18" s="397" t="s">
        <v>2212</v>
      </c>
      <c r="P18" s="400">
        <f t="shared" si="0"/>
        <v>40</v>
      </c>
    </row>
    <row r="19" spans="2:20" ht="18" thickBot="1">
      <c r="B19" s="350">
        <v>14</v>
      </c>
      <c r="C19" s="354" t="s">
        <v>2201</v>
      </c>
      <c r="D19" s="366" t="s">
        <v>2219</v>
      </c>
      <c r="E19" s="367" t="s">
        <v>2206</v>
      </c>
      <c r="F19" s="368" t="s">
        <v>2206</v>
      </c>
      <c r="G19" s="366" t="s">
        <v>2219</v>
      </c>
      <c r="H19" s="367" t="s">
        <v>2219</v>
      </c>
      <c r="I19" s="368" t="s">
        <v>2219</v>
      </c>
      <c r="J19" s="366" t="s">
        <v>2222</v>
      </c>
      <c r="K19" s="367" t="s">
        <v>2211</v>
      </c>
      <c r="L19" s="368">
        <f t="shared" si="2"/>
        <v>30</v>
      </c>
      <c r="M19" s="366" t="s">
        <v>2206</v>
      </c>
      <c r="N19" s="367" t="s">
        <v>2207</v>
      </c>
      <c r="O19" s="398" t="s">
        <v>2208</v>
      </c>
      <c r="P19" s="400">
        <f t="shared" si="0"/>
        <v>34</v>
      </c>
    </row>
    <row r="20" spans="2:20" s="371" customFormat="1" ht="18.5" thickTop="1" thickBot="1">
      <c r="B20" s="369"/>
      <c r="C20" s="370" t="s">
        <v>513</v>
      </c>
      <c r="D20" s="370">
        <f>D10+D11+D12+D13+D14+D15+D16+D17+D18+D19</f>
        <v>11</v>
      </c>
      <c r="E20" s="370">
        <f t="shared" ref="E20:P20" si="3">E10+E11+E12+E13+E14+E15+E16+E17+E18+E19</f>
        <v>11</v>
      </c>
      <c r="F20" s="370">
        <f t="shared" si="3"/>
        <v>22</v>
      </c>
      <c r="G20" s="372" t="s">
        <v>2211</v>
      </c>
      <c r="H20" s="372" t="s">
        <v>2212</v>
      </c>
      <c r="I20" s="370">
        <f t="shared" si="3"/>
        <v>13</v>
      </c>
      <c r="J20" s="370">
        <f t="shared" si="3"/>
        <v>173</v>
      </c>
      <c r="K20" s="370">
        <f t="shared" si="3"/>
        <v>171</v>
      </c>
      <c r="L20" s="370">
        <f t="shared" si="3"/>
        <v>344</v>
      </c>
      <c r="M20" s="370">
        <f t="shared" si="3"/>
        <v>25</v>
      </c>
      <c r="N20" s="370">
        <f t="shared" si="3"/>
        <v>23</v>
      </c>
      <c r="O20" s="370">
        <f t="shared" si="3"/>
        <v>48</v>
      </c>
      <c r="P20" s="402">
        <f t="shared" si="3"/>
        <v>427</v>
      </c>
    </row>
    <row r="21" spans="2:20" ht="18" thickTop="1">
      <c r="B21" s="350">
        <v>15</v>
      </c>
      <c r="C21" s="358" t="s">
        <v>2202</v>
      </c>
      <c r="D21" s="338" t="s">
        <v>2206</v>
      </c>
      <c r="E21" s="339" t="s">
        <v>2219</v>
      </c>
      <c r="F21" s="340" t="s">
        <v>2206</v>
      </c>
      <c r="G21" s="338" t="s">
        <v>2206</v>
      </c>
      <c r="H21" s="339" t="s">
        <v>2219</v>
      </c>
      <c r="I21" s="340" t="s">
        <v>2206</v>
      </c>
      <c r="J21" s="338" t="s">
        <v>2231</v>
      </c>
      <c r="K21" s="339" t="s">
        <v>2214</v>
      </c>
      <c r="L21" s="340">
        <f t="shared" si="2"/>
        <v>27</v>
      </c>
      <c r="M21" s="338" t="s">
        <v>2209</v>
      </c>
      <c r="N21" s="339" t="s">
        <v>2209</v>
      </c>
      <c r="O21" s="392" t="s">
        <v>2213</v>
      </c>
      <c r="P21" s="395">
        <f t="shared" si="0"/>
        <v>37</v>
      </c>
    </row>
    <row r="22" spans="2:20" ht="17.5">
      <c r="B22" s="350">
        <v>16</v>
      </c>
      <c r="C22" s="341" t="s">
        <v>29</v>
      </c>
      <c r="D22" s="342" t="s">
        <v>2206</v>
      </c>
      <c r="E22" s="343" t="s">
        <v>2219</v>
      </c>
      <c r="F22" s="344" t="s">
        <v>2206</v>
      </c>
      <c r="G22" s="342" t="s">
        <v>2206</v>
      </c>
      <c r="H22" s="343" t="s">
        <v>2206</v>
      </c>
      <c r="I22" s="344" t="s">
        <v>2207</v>
      </c>
      <c r="J22" s="342" t="s">
        <v>2223</v>
      </c>
      <c r="K22" s="343" t="s">
        <v>2230</v>
      </c>
      <c r="L22" s="344">
        <f t="shared" si="2"/>
        <v>28</v>
      </c>
      <c r="M22" s="342" t="s">
        <v>2209</v>
      </c>
      <c r="N22" s="343" t="s">
        <v>2208</v>
      </c>
      <c r="O22" s="393" t="s">
        <v>2212</v>
      </c>
      <c r="P22" s="395">
        <f t="shared" si="0"/>
        <v>38</v>
      </c>
    </row>
    <row r="23" spans="2:20" ht="18" thickBot="1">
      <c r="B23" s="350">
        <v>17</v>
      </c>
      <c r="C23" s="354" t="s">
        <v>2203</v>
      </c>
      <c r="D23" s="355" t="s">
        <v>2208</v>
      </c>
      <c r="E23" s="356" t="s">
        <v>2206</v>
      </c>
      <c r="F23" s="357" t="s">
        <v>2209</v>
      </c>
      <c r="G23" s="355" t="s">
        <v>2207</v>
      </c>
      <c r="H23" s="356" t="s">
        <v>2206</v>
      </c>
      <c r="I23" s="357" t="s">
        <v>2208</v>
      </c>
      <c r="J23" s="355" t="s">
        <v>2228</v>
      </c>
      <c r="K23" s="356" t="s">
        <v>2231</v>
      </c>
      <c r="L23" s="357">
        <f t="shared" si="2"/>
        <v>41</v>
      </c>
      <c r="M23" s="355" t="s">
        <v>2207</v>
      </c>
      <c r="N23" s="356" t="s">
        <v>2207</v>
      </c>
      <c r="O23" s="394" t="s">
        <v>2209</v>
      </c>
      <c r="P23" s="395">
        <f t="shared" si="0"/>
        <v>52</v>
      </c>
    </row>
    <row r="24" spans="2:20" s="345" customFormat="1" ht="18.5" thickTop="1" thickBot="1">
      <c r="B24" s="351"/>
      <c r="C24" s="359" t="s">
        <v>513</v>
      </c>
      <c r="D24" s="360" t="s">
        <v>2210</v>
      </c>
      <c r="E24" s="360" t="s">
        <v>2206</v>
      </c>
      <c r="F24" s="360" t="s">
        <v>2211</v>
      </c>
      <c r="G24" s="360" t="s">
        <v>2209</v>
      </c>
      <c r="H24" s="360" t="s">
        <v>2207</v>
      </c>
      <c r="I24" s="360" t="s">
        <v>2211</v>
      </c>
      <c r="J24" s="360">
        <f t="shared" ref="J24:P24" si="4">J21+J22+J23</f>
        <v>54</v>
      </c>
      <c r="K24" s="360">
        <f t="shared" si="4"/>
        <v>42</v>
      </c>
      <c r="L24" s="360">
        <f t="shared" si="4"/>
        <v>96</v>
      </c>
      <c r="M24" s="360">
        <f t="shared" si="4"/>
        <v>10</v>
      </c>
      <c r="N24" s="360" t="s">
        <v>2214</v>
      </c>
      <c r="O24" s="401">
        <f t="shared" si="4"/>
        <v>19</v>
      </c>
      <c r="P24" s="403">
        <f t="shared" si="4"/>
        <v>127</v>
      </c>
    </row>
    <row r="25" spans="2:20" ht="18" thickTop="1">
      <c r="B25" s="350">
        <v>18</v>
      </c>
      <c r="C25" s="358" t="s">
        <v>2204</v>
      </c>
      <c r="D25" s="338" t="s">
        <v>2219</v>
      </c>
      <c r="E25" s="339" t="s">
        <v>2206</v>
      </c>
      <c r="F25" s="340" t="s">
        <v>2206</v>
      </c>
      <c r="G25" s="338" t="s">
        <v>2219</v>
      </c>
      <c r="H25" s="339" t="s">
        <v>2211</v>
      </c>
      <c r="I25" s="340" t="s">
        <v>2211</v>
      </c>
      <c r="J25" s="338" t="s">
        <v>2231</v>
      </c>
      <c r="K25" s="339" t="s">
        <v>2215</v>
      </c>
      <c r="L25" s="340">
        <f t="shared" si="2"/>
        <v>32</v>
      </c>
      <c r="M25" s="338" t="s">
        <v>2219</v>
      </c>
      <c r="N25" s="339" t="s">
        <v>2208</v>
      </c>
      <c r="O25" s="392" t="s">
        <v>2208</v>
      </c>
      <c r="P25" s="395">
        <f t="shared" si="0"/>
        <v>42</v>
      </c>
    </row>
    <row r="26" spans="2:20" ht="18" thickBot="1">
      <c r="B26" s="350">
        <v>19</v>
      </c>
      <c r="C26" s="354" t="s">
        <v>2205</v>
      </c>
      <c r="D26" s="355" t="s">
        <v>2206</v>
      </c>
      <c r="E26" s="356" t="s">
        <v>2219</v>
      </c>
      <c r="F26" s="357" t="s">
        <v>2206</v>
      </c>
      <c r="G26" s="355" t="s">
        <v>2219</v>
      </c>
      <c r="H26" s="356" t="s">
        <v>2206</v>
      </c>
      <c r="I26" s="357" t="s">
        <v>2206</v>
      </c>
      <c r="J26" s="355" t="s">
        <v>2230</v>
      </c>
      <c r="K26" s="356" t="s">
        <v>2227</v>
      </c>
      <c r="L26" s="357">
        <f t="shared" si="2"/>
        <v>25</v>
      </c>
      <c r="M26" s="355" t="s">
        <v>2206</v>
      </c>
      <c r="N26" s="356" t="s">
        <v>2209</v>
      </c>
      <c r="O26" s="394" t="s">
        <v>2210</v>
      </c>
      <c r="P26" s="395">
        <f t="shared" si="0"/>
        <v>32</v>
      </c>
    </row>
    <row r="27" spans="2:20" s="345" customFormat="1" ht="18.5" thickTop="1" thickBot="1">
      <c r="B27" s="352" t="s">
        <v>1676</v>
      </c>
      <c r="C27" s="359" t="s">
        <v>513</v>
      </c>
      <c r="D27" s="360" t="s">
        <v>2206</v>
      </c>
      <c r="E27" s="360" t="s">
        <v>2206</v>
      </c>
      <c r="F27" s="360" t="s">
        <v>2207</v>
      </c>
      <c r="G27" s="360" t="s">
        <v>2219</v>
      </c>
      <c r="H27" s="360" t="s">
        <v>2212</v>
      </c>
      <c r="I27" s="360" t="s">
        <v>2212</v>
      </c>
      <c r="J27" s="360">
        <f t="shared" ref="J27:P27" si="5">J25+J26</f>
        <v>33</v>
      </c>
      <c r="K27" s="360">
        <f t="shared" si="5"/>
        <v>24</v>
      </c>
      <c r="L27" s="360">
        <f t="shared" si="5"/>
        <v>57</v>
      </c>
      <c r="M27" s="360" t="s">
        <v>2206</v>
      </c>
      <c r="N27" s="360" t="s">
        <v>2212</v>
      </c>
      <c r="O27" s="401" t="s">
        <v>2213</v>
      </c>
      <c r="P27" s="403">
        <f t="shared" si="5"/>
        <v>74</v>
      </c>
    </row>
    <row r="28" spans="2:20" ht="19.75" customHeight="1" thickTop="1" thickBot="1">
      <c r="B28" s="1317" t="s">
        <v>2236</v>
      </c>
      <c r="C28" s="1317"/>
      <c r="D28" s="1317"/>
      <c r="E28" s="1317"/>
      <c r="F28" s="1317"/>
      <c r="G28" s="1317"/>
      <c r="H28" s="1317"/>
      <c r="I28" s="1317"/>
      <c r="J28" s="1317"/>
      <c r="K28" s="1317"/>
      <c r="L28" s="1317"/>
      <c r="M28" s="1317"/>
      <c r="N28" s="1317"/>
      <c r="O28" s="1317"/>
      <c r="P28" s="1318"/>
      <c r="Q28" s="227"/>
    </row>
    <row r="29" spans="2:20" ht="19.5" thickTop="1" thickBot="1">
      <c r="G29" s="1312" t="s">
        <v>2232</v>
      </c>
      <c r="H29" s="1312"/>
      <c r="I29" s="1312"/>
      <c r="J29" s="1312">
        <v>176</v>
      </c>
      <c r="K29" s="1312"/>
    </row>
    <row r="30" spans="2:20" ht="19.5" thickTop="1" thickBot="1">
      <c r="G30" s="1312" t="s">
        <v>2233</v>
      </c>
      <c r="H30" s="1312"/>
      <c r="I30" s="1312"/>
      <c r="J30" s="1312">
        <v>427</v>
      </c>
      <c r="K30" s="1312"/>
    </row>
    <row r="31" spans="2:20" ht="19.5" thickTop="1" thickBot="1">
      <c r="G31" s="1312" t="s">
        <v>2234</v>
      </c>
      <c r="H31" s="1312"/>
      <c r="I31" s="1312"/>
      <c r="J31" s="1312">
        <v>127</v>
      </c>
      <c r="K31" s="1312"/>
    </row>
    <row r="32" spans="2:20" ht="19.5" thickTop="1" thickBot="1">
      <c r="G32" s="1312" t="s">
        <v>2235</v>
      </c>
      <c r="H32" s="1312"/>
      <c r="I32" s="1312"/>
      <c r="J32" s="1312">
        <v>74</v>
      </c>
      <c r="K32" s="1312"/>
    </row>
    <row r="33" spans="7:11" ht="19.5" thickTop="1" thickBot="1">
      <c r="G33" s="1310" t="s">
        <v>513</v>
      </c>
      <c r="H33" s="1310"/>
      <c r="I33" s="1310"/>
      <c r="J33" s="1310">
        <f>SUM(J29:J32)</f>
        <v>804</v>
      </c>
      <c r="K33" s="1310"/>
    </row>
    <row r="34" spans="7:11" ht="15" thickTop="1"/>
  </sheetData>
  <mergeCells count="20">
    <mergeCell ref="P3:P4"/>
    <mergeCell ref="B1:P1"/>
    <mergeCell ref="B2:P2"/>
    <mergeCell ref="B28:P28"/>
    <mergeCell ref="C3:C4"/>
    <mergeCell ref="B3:B4"/>
    <mergeCell ref="J33:K33"/>
    <mergeCell ref="D3:F3"/>
    <mergeCell ref="M3:O3"/>
    <mergeCell ref="J3:L3"/>
    <mergeCell ref="G3:I3"/>
    <mergeCell ref="J32:K32"/>
    <mergeCell ref="G33:I33"/>
    <mergeCell ref="G32:I32"/>
    <mergeCell ref="G31:I31"/>
    <mergeCell ref="G30:I30"/>
    <mergeCell ref="G29:I29"/>
    <mergeCell ref="J31:K31"/>
    <mergeCell ref="J30:K30"/>
    <mergeCell ref="J29:K29"/>
  </mergeCells>
  <pageMargins left="0" right="0" top="0" bottom="0" header="0.3" footer="0"/>
  <pageSetup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/>
  <dimension ref="A1:O51"/>
  <sheetViews>
    <sheetView workbookViewId="0">
      <selection activeCell="S6" sqref="S6"/>
    </sheetView>
  </sheetViews>
  <sheetFormatPr defaultRowHeight="14.5"/>
  <cols>
    <col min="1" max="1" width="3.54296875" customWidth="1"/>
    <col min="2" max="2" width="8.81640625" customWidth="1"/>
    <col min="3" max="3" width="9.54296875" customWidth="1"/>
    <col min="4" max="4" width="9.1796875" customWidth="1"/>
    <col min="6" max="6" width="11.81640625" customWidth="1"/>
    <col min="7" max="7" width="11.453125" customWidth="1"/>
    <col min="8" max="8" width="20.1796875" customWidth="1"/>
    <col min="11" max="11" width="5.81640625" customWidth="1"/>
    <col min="12" max="12" width="3.54296875" customWidth="1"/>
  </cols>
  <sheetData>
    <row r="1" spans="1:12" ht="28">
      <c r="A1" s="1325" t="s">
        <v>2887</v>
      </c>
      <c r="B1" s="1326"/>
      <c r="C1" s="1326"/>
      <c r="D1" s="1326"/>
      <c r="E1" s="1326"/>
      <c r="F1" s="1326"/>
      <c r="G1" s="1326"/>
      <c r="H1" s="1326"/>
      <c r="I1" s="1326"/>
      <c r="J1" s="1326"/>
      <c r="K1" s="1326"/>
      <c r="L1" s="479"/>
    </row>
    <row r="2" spans="1:12" ht="19.5">
      <c r="A2" s="1327" t="s">
        <v>3274</v>
      </c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448"/>
    </row>
    <row r="3" spans="1:12" ht="24.5">
      <c r="A3" s="1329" t="s">
        <v>3275</v>
      </c>
      <c r="B3" s="1330"/>
      <c r="C3" s="1330"/>
      <c r="D3" s="1330"/>
      <c r="E3" s="1330"/>
      <c r="F3" s="1330"/>
      <c r="G3" s="1330"/>
      <c r="H3" s="1330"/>
      <c r="I3" s="1330"/>
      <c r="J3" s="1330"/>
      <c r="K3" s="1330"/>
      <c r="L3" s="480"/>
    </row>
    <row r="4" spans="1:12" ht="16">
      <c r="A4" s="447"/>
      <c r="B4" s="481" t="s">
        <v>2916</v>
      </c>
      <c r="C4" s="481"/>
      <c r="D4" s="1331">
        <f>VLOOKUP(I5,ram,2,FALSE)</f>
        <v>2</v>
      </c>
      <c r="E4" s="1331"/>
      <c r="F4" s="1331"/>
      <c r="G4" s="481" t="s">
        <v>45</v>
      </c>
      <c r="H4" s="481"/>
      <c r="I4" s="1331">
        <f>VLOOKUP(I5,ram,3,FALSE)</f>
        <v>3</v>
      </c>
      <c r="J4" s="1331"/>
      <c r="K4" s="1331"/>
      <c r="L4" s="448"/>
    </row>
    <row r="5" spans="1:12" ht="16.5" thickBot="1">
      <c r="A5" s="447"/>
      <c r="B5" s="481" t="s">
        <v>2186</v>
      </c>
      <c r="C5" s="481"/>
      <c r="D5" s="1331">
        <f>VLOOKUP(I5,ram,4,FALSE)</f>
        <v>4</v>
      </c>
      <c r="E5" s="1331"/>
      <c r="F5" s="1331"/>
      <c r="G5" s="481" t="s">
        <v>2896</v>
      </c>
      <c r="H5" s="481"/>
      <c r="I5" s="1331">
        <v>1</v>
      </c>
      <c r="J5" s="1331"/>
      <c r="K5" s="1331"/>
      <c r="L5" s="448"/>
    </row>
    <row r="6" spans="1:12" ht="16" thickTop="1" thickBot="1">
      <c r="A6" s="447"/>
      <c r="B6" s="482" t="s">
        <v>2914</v>
      </c>
      <c r="C6" s="1323" t="s">
        <v>2891</v>
      </c>
      <c r="D6" s="1323"/>
      <c r="E6" s="1323" t="s">
        <v>2892</v>
      </c>
      <c r="F6" s="1323"/>
      <c r="G6" s="1332" t="s">
        <v>514</v>
      </c>
      <c r="H6" s="1333"/>
      <c r="I6" s="1323" t="s">
        <v>2894</v>
      </c>
      <c r="J6" s="1323"/>
      <c r="K6" s="1323"/>
      <c r="L6" s="448"/>
    </row>
    <row r="7" spans="1:12" ht="16" thickTop="1" thickBot="1">
      <c r="A7" s="447"/>
      <c r="B7" s="483">
        <v>1</v>
      </c>
      <c r="C7" s="1324">
        <v>45834</v>
      </c>
      <c r="D7" s="1154"/>
      <c r="E7" s="1154" t="str">
        <f>TEXT(C7,"dddd")</f>
        <v>Thursday</v>
      </c>
      <c r="F7" s="1154"/>
      <c r="G7" s="1154"/>
      <c r="H7" s="1154"/>
      <c r="I7" s="1154"/>
      <c r="J7" s="1154"/>
      <c r="K7" s="1154"/>
      <c r="L7" s="448"/>
    </row>
    <row r="8" spans="1:12" ht="16" thickTop="1" thickBot="1">
      <c r="A8" s="447"/>
      <c r="B8" s="483">
        <v>2</v>
      </c>
      <c r="C8" s="1324">
        <v>45906</v>
      </c>
      <c r="D8" s="1154"/>
      <c r="E8" s="1154" t="str">
        <f t="shared" ref="E8:E11" si="0">TEXT(C8,"dddd")</f>
        <v>Saturday</v>
      </c>
      <c r="F8" s="1154"/>
      <c r="G8" s="1154"/>
      <c r="H8" s="1154"/>
      <c r="I8" s="1154"/>
      <c r="J8" s="1154"/>
      <c r="K8" s="1154"/>
      <c r="L8" s="448"/>
    </row>
    <row r="9" spans="1:12" ht="16" thickTop="1" thickBot="1">
      <c r="A9" s="447"/>
      <c r="B9" s="483">
        <v>3</v>
      </c>
      <c r="C9" s="1154"/>
      <c r="D9" s="1154"/>
      <c r="E9" s="1154" t="str">
        <f t="shared" si="0"/>
        <v>Saturday</v>
      </c>
      <c r="F9" s="1154"/>
      <c r="G9" s="1154"/>
      <c r="H9" s="1154"/>
      <c r="I9" s="1154"/>
      <c r="J9" s="1154"/>
      <c r="K9" s="1154"/>
      <c r="L9" s="448"/>
    </row>
    <row r="10" spans="1:12" ht="16" thickTop="1" thickBot="1">
      <c r="A10" s="447"/>
      <c r="B10" s="483">
        <v>4</v>
      </c>
      <c r="C10" s="1154"/>
      <c r="D10" s="1154"/>
      <c r="E10" s="1154" t="str">
        <f t="shared" si="0"/>
        <v>Saturday</v>
      </c>
      <c r="F10" s="1154"/>
      <c r="G10" s="1154"/>
      <c r="H10" s="1154"/>
      <c r="I10" s="1154"/>
      <c r="J10" s="1154"/>
      <c r="K10" s="1154"/>
      <c r="L10" s="448"/>
    </row>
    <row r="11" spans="1:12" ht="16" thickTop="1" thickBot="1">
      <c r="A11" s="447"/>
      <c r="B11" s="483">
        <v>5</v>
      </c>
      <c r="C11" s="1154"/>
      <c r="D11" s="1154"/>
      <c r="E11" s="1154" t="str">
        <f t="shared" si="0"/>
        <v>Saturday</v>
      </c>
      <c r="F11" s="1154"/>
      <c r="G11" s="1154"/>
      <c r="H11" s="1154"/>
      <c r="I11" s="1154"/>
      <c r="J11" s="1154"/>
      <c r="K11" s="1154"/>
      <c r="L11" s="448"/>
    </row>
    <row r="12" spans="1:12" ht="15.5" thickTop="1" thickBot="1">
      <c r="A12" s="449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2"/>
    </row>
    <row r="13" spans="1:12" ht="7.5" customHeight="1" thickBot="1"/>
    <row r="14" spans="1:12" ht="28">
      <c r="A14" s="1325" t="s">
        <v>2887</v>
      </c>
      <c r="B14" s="1326"/>
      <c r="C14" s="1326"/>
      <c r="D14" s="1326"/>
      <c r="E14" s="1326"/>
      <c r="F14" s="1326"/>
      <c r="G14" s="1326"/>
      <c r="H14" s="1326"/>
      <c r="I14" s="1326"/>
      <c r="J14" s="1326"/>
      <c r="K14" s="1326"/>
      <c r="L14" s="479"/>
    </row>
    <row r="15" spans="1:12" ht="19.5">
      <c r="A15" s="1327" t="s">
        <v>3274</v>
      </c>
      <c r="B15" s="1328"/>
      <c r="C15" s="1328"/>
      <c r="D15" s="1328"/>
      <c r="E15" s="1328"/>
      <c r="F15" s="1328"/>
      <c r="G15" s="1328"/>
      <c r="H15" s="1328"/>
      <c r="I15" s="1328"/>
      <c r="J15" s="1328"/>
      <c r="K15" s="1328"/>
      <c r="L15" s="448"/>
    </row>
    <row r="16" spans="1:12" ht="24.5">
      <c r="A16" s="1329" t="s">
        <v>3275</v>
      </c>
      <c r="B16" s="1330"/>
      <c r="C16" s="1330"/>
      <c r="D16" s="1330"/>
      <c r="E16" s="1330"/>
      <c r="F16" s="1330"/>
      <c r="G16" s="1330"/>
      <c r="H16" s="1330"/>
      <c r="I16" s="1330"/>
      <c r="J16" s="1330"/>
      <c r="K16" s="1330"/>
      <c r="L16" s="480"/>
    </row>
    <row r="17" spans="1:12" ht="16">
      <c r="A17" s="447"/>
      <c r="B17" s="481" t="s">
        <v>2916</v>
      </c>
      <c r="C17" s="481"/>
      <c r="D17" s="1331">
        <f>VLOOKUP(I18,ram,2,FALSE)</f>
        <v>2</v>
      </c>
      <c r="E17" s="1331"/>
      <c r="F17" s="1331"/>
      <c r="G17" s="481" t="s">
        <v>45</v>
      </c>
      <c r="H17" s="481"/>
      <c r="I17" s="1331">
        <f>VLOOKUP(I18,ram,3,FALSE)</f>
        <v>3</v>
      </c>
      <c r="J17" s="1331"/>
      <c r="K17" s="1331"/>
      <c r="L17" s="448"/>
    </row>
    <row r="18" spans="1:12" ht="16.5" thickBot="1">
      <c r="A18" s="447"/>
      <c r="B18" s="481" t="s">
        <v>2186</v>
      </c>
      <c r="C18" s="481"/>
      <c r="D18" s="1331">
        <f>VLOOKUP(I18,ram,4,FALSE)</f>
        <v>4</v>
      </c>
      <c r="E18" s="1331"/>
      <c r="F18" s="1331"/>
      <c r="G18" s="481" t="s">
        <v>2896</v>
      </c>
      <c r="H18" s="481"/>
      <c r="I18" s="1331">
        <v>1</v>
      </c>
      <c r="J18" s="1331"/>
      <c r="K18" s="1331"/>
      <c r="L18" s="448"/>
    </row>
    <row r="19" spans="1:12" ht="16" thickTop="1" thickBot="1">
      <c r="A19" s="447"/>
      <c r="B19" s="482" t="s">
        <v>2914</v>
      </c>
      <c r="C19" s="1323" t="s">
        <v>2891</v>
      </c>
      <c r="D19" s="1323"/>
      <c r="E19" s="1323" t="s">
        <v>2892</v>
      </c>
      <c r="F19" s="1323"/>
      <c r="G19" s="1332" t="s">
        <v>514</v>
      </c>
      <c r="H19" s="1333"/>
      <c r="I19" s="1323" t="s">
        <v>2894</v>
      </c>
      <c r="J19" s="1323"/>
      <c r="K19" s="1323"/>
      <c r="L19" s="448"/>
    </row>
    <row r="20" spans="1:12" ht="16" thickTop="1" thickBot="1">
      <c r="A20" s="447"/>
      <c r="B20" s="483">
        <v>1</v>
      </c>
      <c r="C20" s="1324">
        <v>45834</v>
      </c>
      <c r="D20" s="1154"/>
      <c r="E20" s="1154" t="str">
        <f>TEXT(C20,"dddd")</f>
        <v>Thursday</v>
      </c>
      <c r="F20" s="1154"/>
      <c r="G20" s="1154"/>
      <c r="H20" s="1154"/>
      <c r="I20" s="1154"/>
      <c r="J20" s="1154"/>
      <c r="K20" s="1154"/>
      <c r="L20" s="448"/>
    </row>
    <row r="21" spans="1:12" ht="16" thickTop="1" thickBot="1">
      <c r="A21" s="447"/>
      <c r="B21" s="483">
        <v>2</v>
      </c>
      <c r="C21" s="1154"/>
      <c r="D21" s="1154"/>
      <c r="E21" s="1154" t="str">
        <f t="shared" ref="E21:E24" si="1">TEXT(C21,"dddd")</f>
        <v>Saturday</v>
      </c>
      <c r="F21" s="1154"/>
      <c r="G21" s="1154"/>
      <c r="H21" s="1154"/>
      <c r="I21" s="1154"/>
      <c r="J21" s="1154"/>
      <c r="K21" s="1154"/>
      <c r="L21" s="448"/>
    </row>
    <row r="22" spans="1:12" ht="16" thickTop="1" thickBot="1">
      <c r="A22" s="447"/>
      <c r="B22" s="483">
        <v>3</v>
      </c>
      <c r="C22" s="1154"/>
      <c r="D22" s="1154"/>
      <c r="E22" s="1154" t="str">
        <f t="shared" si="1"/>
        <v>Saturday</v>
      </c>
      <c r="F22" s="1154"/>
      <c r="G22" s="1154"/>
      <c r="H22" s="1154"/>
      <c r="I22" s="1154"/>
      <c r="J22" s="1154"/>
      <c r="K22" s="1154"/>
      <c r="L22" s="448"/>
    </row>
    <row r="23" spans="1:12" ht="16" thickTop="1" thickBot="1">
      <c r="A23" s="447"/>
      <c r="B23" s="483">
        <v>4</v>
      </c>
      <c r="C23" s="1154"/>
      <c r="D23" s="1154"/>
      <c r="E23" s="1154" t="str">
        <f t="shared" si="1"/>
        <v>Saturday</v>
      </c>
      <c r="F23" s="1154"/>
      <c r="G23" s="1154"/>
      <c r="H23" s="1154"/>
      <c r="I23" s="1154"/>
      <c r="J23" s="1154"/>
      <c r="K23" s="1154"/>
      <c r="L23" s="448"/>
    </row>
    <row r="24" spans="1:12" ht="16" thickTop="1" thickBot="1">
      <c r="A24" s="447"/>
      <c r="B24" s="483">
        <v>5</v>
      </c>
      <c r="C24" s="1154"/>
      <c r="D24" s="1154"/>
      <c r="E24" s="1154" t="str">
        <f t="shared" si="1"/>
        <v>Saturday</v>
      </c>
      <c r="F24" s="1154"/>
      <c r="G24" s="1154"/>
      <c r="H24" s="1154"/>
      <c r="I24" s="1154"/>
      <c r="J24" s="1154"/>
      <c r="K24" s="1154"/>
      <c r="L24" s="448"/>
    </row>
    <row r="25" spans="1:12" ht="11.15" customHeight="1" thickTop="1" thickBot="1">
      <c r="A25" s="449"/>
      <c r="B25" s="451"/>
      <c r="C25" s="451"/>
      <c r="D25" s="451"/>
      <c r="E25" s="451"/>
      <c r="F25" s="451"/>
      <c r="G25" s="451"/>
      <c r="H25" s="451"/>
      <c r="I25" s="451"/>
      <c r="J25" s="451"/>
      <c r="K25" s="451"/>
      <c r="L25" s="452"/>
    </row>
    <row r="26" spans="1:12" ht="10.5" customHeight="1" thickBot="1"/>
    <row r="27" spans="1:12" ht="28">
      <c r="A27" s="1325" t="s">
        <v>2887</v>
      </c>
      <c r="B27" s="1326"/>
      <c r="C27" s="1326"/>
      <c r="D27" s="1326"/>
      <c r="E27" s="1326"/>
      <c r="F27" s="1326"/>
      <c r="G27" s="1326"/>
      <c r="H27" s="1326"/>
      <c r="I27" s="1326"/>
      <c r="J27" s="1326"/>
      <c r="K27" s="1326"/>
      <c r="L27" s="479"/>
    </row>
    <row r="28" spans="1:12" ht="19.5">
      <c r="A28" s="1327" t="s">
        <v>3274</v>
      </c>
      <c r="B28" s="1328"/>
      <c r="C28" s="1328"/>
      <c r="D28" s="1328"/>
      <c r="E28" s="1328"/>
      <c r="F28" s="1328"/>
      <c r="G28" s="1328"/>
      <c r="H28" s="1328"/>
      <c r="I28" s="1328"/>
      <c r="J28" s="1328"/>
      <c r="K28" s="1328"/>
      <c r="L28" s="448"/>
    </row>
    <row r="29" spans="1:12" ht="24.5">
      <c r="A29" s="1329" t="s">
        <v>3275</v>
      </c>
      <c r="B29" s="1330"/>
      <c r="C29" s="1330"/>
      <c r="D29" s="1330"/>
      <c r="E29" s="1330"/>
      <c r="F29" s="1330"/>
      <c r="G29" s="1330"/>
      <c r="H29" s="1330"/>
      <c r="I29" s="1330"/>
      <c r="J29" s="1330"/>
      <c r="K29" s="1330"/>
      <c r="L29" s="480"/>
    </row>
    <row r="30" spans="1:12" ht="16">
      <c r="A30" s="447"/>
      <c r="B30" s="481" t="s">
        <v>2916</v>
      </c>
      <c r="C30" s="481"/>
      <c r="D30" s="1331">
        <f>VLOOKUP(I31,ram,2,FALSE)</f>
        <v>2</v>
      </c>
      <c r="E30" s="1331"/>
      <c r="F30" s="1331"/>
      <c r="G30" s="481" t="s">
        <v>45</v>
      </c>
      <c r="H30" s="481"/>
      <c r="I30" s="1331">
        <f>VLOOKUP(I31,ram,3,FALSE)</f>
        <v>3</v>
      </c>
      <c r="J30" s="1331"/>
      <c r="K30" s="1331"/>
      <c r="L30" s="448"/>
    </row>
    <row r="31" spans="1:12" ht="16.5" thickBot="1">
      <c r="A31" s="447"/>
      <c r="B31" s="481" t="s">
        <v>2186</v>
      </c>
      <c r="C31" s="481"/>
      <c r="D31" s="1331">
        <f>VLOOKUP(I31,ram,4,FALSE)</f>
        <v>4</v>
      </c>
      <c r="E31" s="1331"/>
      <c r="F31" s="1331"/>
      <c r="G31" s="481" t="s">
        <v>2896</v>
      </c>
      <c r="H31" s="481"/>
      <c r="I31" s="1331">
        <v>1</v>
      </c>
      <c r="J31" s="1331"/>
      <c r="K31" s="1331"/>
      <c r="L31" s="448"/>
    </row>
    <row r="32" spans="1:12" ht="16" thickTop="1" thickBot="1">
      <c r="A32" s="447"/>
      <c r="B32" s="482" t="s">
        <v>2914</v>
      </c>
      <c r="C32" s="1323" t="s">
        <v>2891</v>
      </c>
      <c r="D32" s="1323"/>
      <c r="E32" s="1323" t="s">
        <v>2892</v>
      </c>
      <c r="F32" s="1323"/>
      <c r="G32" s="1332" t="s">
        <v>514</v>
      </c>
      <c r="H32" s="1333"/>
      <c r="I32" s="1323" t="s">
        <v>2894</v>
      </c>
      <c r="J32" s="1323"/>
      <c r="K32" s="1323"/>
      <c r="L32" s="448"/>
    </row>
    <row r="33" spans="1:15" ht="16" thickTop="1" thickBot="1">
      <c r="A33" s="447"/>
      <c r="B33" s="483">
        <v>1</v>
      </c>
      <c r="C33" s="1324">
        <v>45834</v>
      </c>
      <c r="D33" s="1154"/>
      <c r="E33" s="1154" t="str">
        <f>TEXT(C33,"dddd")</f>
        <v>Thursday</v>
      </c>
      <c r="F33" s="1154"/>
      <c r="G33" s="1154"/>
      <c r="H33" s="1154"/>
      <c r="I33" s="1154"/>
      <c r="J33" s="1154"/>
      <c r="K33" s="1154"/>
      <c r="L33" s="448"/>
    </row>
    <row r="34" spans="1:15" ht="16" thickTop="1" thickBot="1">
      <c r="A34" s="447"/>
      <c r="B34" s="483">
        <v>2</v>
      </c>
      <c r="C34" s="1154"/>
      <c r="D34" s="1154"/>
      <c r="E34" s="1154" t="str">
        <f t="shared" ref="E34:E37" si="2">TEXT(C34,"dddd")</f>
        <v>Saturday</v>
      </c>
      <c r="F34" s="1154"/>
      <c r="G34" s="1154"/>
      <c r="H34" s="1154"/>
      <c r="I34" s="1154"/>
      <c r="J34" s="1154"/>
      <c r="K34" s="1154"/>
      <c r="L34" s="448"/>
    </row>
    <row r="35" spans="1:15" ht="16" thickTop="1" thickBot="1">
      <c r="A35" s="447"/>
      <c r="B35" s="483">
        <v>3</v>
      </c>
      <c r="C35" s="1154"/>
      <c r="D35" s="1154"/>
      <c r="E35" s="1154" t="str">
        <f t="shared" si="2"/>
        <v>Saturday</v>
      </c>
      <c r="F35" s="1154"/>
      <c r="G35" s="1154"/>
      <c r="H35" s="1154"/>
      <c r="I35" s="1154"/>
      <c r="J35" s="1154"/>
      <c r="K35" s="1154"/>
      <c r="L35" s="448"/>
    </row>
    <row r="36" spans="1:15" ht="16" thickTop="1" thickBot="1">
      <c r="A36" s="447"/>
      <c r="B36" s="483">
        <v>4</v>
      </c>
      <c r="C36" s="1154"/>
      <c r="D36" s="1154"/>
      <c r="E36" s="1154" t="str">
        <f t="shared" si="2"/>
        <v>Saturday</v>
      </c>
      <c r="F36" s="1154"/>
      <c r="G36" s="1154"/>
      <c r="H36" s="1154"/>
      <c r="I36" s="1154"/>
      <c r="J36" s="1154"/>
      <c r="K36" s="1154"/>
      <c r="L36" s="448"/>
    </row>
    <row r="37" spans="1:15" ht="16" thickTop="1" thickBot="1">
      <c r="A37" s="447"/>
      <c r="B37" s="483">
        <v>5</v>
      </c>
      <c r="C37" s="1154"/>
      <c r="D37" s="1154"/>
      <c r="E37" s="1154" t="str">
        <f t="shared" si="2"/>
        <v>Saturday</v>
      </c>
      <c r="F37" s="1154"/>
      <c r="G37" s="1154"/>
      <c r="H37" s="1154"/>
      <c r="I37" s="1154"/>
      <c r="J37" s="1154"/>
      <c r="K37" s="1154"/>
      <c r="L37" s="448"/>
    </row>
    <row r="38" spans="1:15" ht="15.5" thickTop="1" thickBot="1">
      <c r="A38" s="449"/>
      <c r="B38" s="451"/>
      <c r="C38" s="451"/>
      <c r="D38" s="451"/>
      <c r="E38" s="451"/>
      <c r="F38" s="451"/>
      <c r="G38" s="451"/>
      <c r="H38" s="451"/>
      <c r="I38" s="451"/>
      <c r="J38" s="451"/>
      <c r="K38" s="451"/>
      <c r="L38" s="452"/>
    </row>
    <row r="39" spans="1:15" ht="15.65" customHeight="1" thickBot="1">
      <c r="A39" s="1334"/>
      <c r="B39" s="1335"/>
      <c r="C39" s="1335"/>
      <c r="D39" s="1335"/>
      <c r="E39" s="1335"/>
      <c r="F39" s="1335"/>
      <c r="G39" s="1335"/>
      <c r="H39" s="1335"/>
      <c r="I39" s="1335"/>
      <c r="J39" s="1335"/>
      <c r="K39" s="1335"/>
      <c r="L39" s="1335"/>
      <c r="M39" s="1335"/>
      <c r="N39" s="1335"/>
      <c r="O39" s="1335"/>
    </row>
    <row r="40" spans="1:15" ht="28">
      <c r="A40" s="1325" t="s">
        <v>2887</v>
      </c>
      <c r="B40" s="1326"/>
      <c r="C40" s="1326"/>
      <c r="D40" s="1326"/>
      <c r="E40" s="1326"/>
      <c r="F40" s="1326"/>
      <c r="G40" s="1326"/>
      <c r="H40" s="1326"/>
      <c r="I40" s="1326"/>
      <c r="J40" s="1326"/>
      <c r="K40" s="1326"/>
      <c r="L40" s="479"/>
    </row>
    <row r="41" spans="1:15" ht="19.5">
      <c r="A41" s="1327" t="s">
        <v>3274</v>
      </c>
      <c r="B41" s="1328"/>
      <c r="C41" s="1328"/>
      <c r="D41" s="1328"/>
      <c r="E41" s="1328"/>
      <c r="F41" s="1328"/>
      <c r="G41" s="1328"/>
      <c r="H41" s="1328"/>
      <c r="I41" s="1328"/>
      <c r="J41" s="1328"/>
      <c r="K41" s="1328"/>
      <c r="L41" s="448"/>
    </row>
    <row r="42" spans="1:15" ht="24.5">
      <c r="A42" s="1329" t="s">
        <v>3275</v>
      </c>
      <c r="B42" s="1330"/>
      <c r="C42" s="1330"/>
      <c r="D42" s="1330"/>
      <c r="E42" s="1330"/>
      <c r="F42" s="1330"/>
      <c r="G42" s="1330"/>
      <c r="H42" s="1330"/>
      <c r="I42" s="1330"/>
      <c r="J42" s="1330"/>
      <c r="K42" s="1330"/>
      <c r="L42" s="480"/>
    </row>
    <row r="43" spans="1:15" ht="16">
      <c r="A43" s="447"/>
      <c r="B43" s="481" t="s">
        <v>3276</v>
      </c>
      <c r="C43" s="481"/>
      <c r="D43" s="1331" t="e">
        <f>VLOOKUP(I44,ram,2,FALSE)</f>
        <v>#N/A</v>
      </c>
      <c r="E43" s="1331"/>
      <c r="F43" s="1331"/>
      <c r="G43" s="481" t="s">
        <v>45</v>
      </c>
      <c r="H43" s="481"/>
      <c r="I43" s="1331" t="e">
        <f>VLOOKUP(I44,ram,3,FALSE)</f>
        <v>#N/A</v>
      </c>
      <c r="J43" s="1331"/>
      <c r="K43" s="1331"/>
      <c r="L43" s="448"/>
    </row>
    <row r="44" spans="1:15" ht="16.5" thickBot="1">
      <c r="A44" s="447"/>
      <c r="B44" s="481" t="s">
        <v>2186</v>
      </c>
      <c r="C44" s="481"/>
      <c r="D44" s="1331" t="e">
        <f>VLOOKUP(I44,ram,4,FALSE)</f>
        <v>#N/A</v>
      </c>
      <c r="E44" s="1331"/>
      <c r="F44" s="1331"/>
      <c r="G44" s="481" t="s">
        <v>2896</v>
      </c>
      <c r="H44" s="481"/>
      <c r="I44" s="1331">
        <v>12</v>
      </c>
      <c r="J44" s="1331"/>
      <c r="K44" s="1331"/>
      <c r="L44" s="448"/>
    </row>
    <row r="45" spans="1:15" ht="16" thickTop="1" thickBot="1">
      <c r="A45" s="447"/>
      <c r="B45" s="482" t="s">
        <v>2914</v>
      </c>
      <c r="C45" s="1323" t="s">
        <v>2891</v>
      </c>
      <c r="D45" s="1323"/>
      <c r="E45" s="1323" t="s">
        <v>2892</v>
      </c>
      <c r="F45" s="1323"/>
      <c r="G45" s="1332" t="s">
        <v>514</v>
      </c>
      <c r="H45" s="1333"/>
      <c r="I45" s="1323" t="s">
        <v>2894</v>
      </c>
      <c r="J45" s="1323"/>
      <c r="K45" s="1323"/>
      <c r="L45" s="448"/>
    </row>
    <row r="46" spans="1:15" ht="16" thickTop="1" thickBot="1">
      <c r="A46" s="447"/>
      <c r="B46" s="483">
        <v>1</v>
      </c>
      <c r="C46" s="1324">
        <v>45834</v>
      </c>
      <c r="D46" s="1154"/>
      <c r="E46" s="1154" t="str">
        <f>TEXT(C46,"dddd")</f>
        <v>Thursday</v>
      </c>
      <c r="F46" s="1154"/>
      <c r="G46" s="1154"/>
      <c r="H46" s="1154"/>
      <c r="I46" s="1154"/>
      <c r="J46" s="1154"/>
      <c r="K46" s="1154"/>
      <c r="L46" s="448"/>
    </row>
    <row r="47" spans="1:15" ht="16" thickTop="1" thickBot="1">
      <c r="A47" s="447"/>
      <c r="B47" s="483">
        <v>2</v>
      </c>
      <c r="C47" s="1154"/>
      <c r="D47" s="1154"/>
      <c r="E47" s="1154" t="str">
        <f t="shared" ref="E47:E50" si="3">TEXT(C47,"dddd")</f>
        <v>Saturday</v>
      </c>
      <c r="F47" s="1154"/>
      <c r="G47" s="1154"/>
      <c r="H47" s="1154"/>
      <c r="I47" s="1154"/>
      <c r="J47" s="1154"/>
      <c r="K47" s="1154"/>
      <c r="L47" s="448"/>
    </row>
    <row r="48" spans="1:15" ht="16" thickTop="1" thickBot="1">
      <c r="A48" s="447"/>
      <c r="B48" s="483">
        <v>3</v>
      </c>
      <c r="C48" s="1154"/>
      <c r="D48" s="1154"/>
      <c r="E48" s="1154" t="str">
        <f t="shared" si="3"/>
        <v>Saturday</v>
      </c>
      <c r="F48" s="1154"/>
      <c r="G48" s="1154"/>
      <c r="H48" s="1154"/>
      <c r="I48" s="1154"/>
      <c r="J48" s="1154"/>
      <c r="K48" s="1154"/>
      <c r="L48" s="448"/>
    </row>
    <row r="49" spans="1:12" ht="16" thickTop="1" thickBot="1">
      <c r="A49" s="447"/>
      <c r="B49" s="483">
        <v>4</v>
      </c>
      <c r="C49" s="1154"/>
      <c r="D49" s="1154"/>
      <c r="E49" s="1154" t="str">
        <f t="shared" si="3"/>
        <v>Saturday</v>
      </c>
      <c r="F49" s="1154"/>
      <c r="G49" s="1154"/>
      <c r="H49" s="1154"/>
      <c r="I49" s="1154"/>
      <c r="J49" s="1154"/>
      <c r="K49" s="1154"/>
      <c r="L49" s="448"/>
    </row>
    <row r="50" spans="1:12" ht="16" thickTop="1" thickBot="1">
      <c r="A50" s="447"/>
      <c r="B50" s="483">
        <v>5</v>
      </c>
      <c r="C50" s="1154"/>
      <c r="D50" s="1154"/>
      <c r="E50" s="1154" t="str">
        <f t="shared" si="3"/>
        <v>Saturday</v>
      </c>
      <c r="F50" s="1154"/>
      <c r="G50" s="1154"/>
      <c r="H50" s="1154"/>
      <c r="I50" s="1154"/>
      <c r="J50" s="1154"/>
      <c r="K50" s="1154"/>
      <c r="L50" s="448"/>
    </row>
    <row r="51" spans="1:12" ht="18" customHeight="1" thickTop="1" thickBot="1">
      <c r="A51" s="449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2"/>
    </row>
  </sheetData>
  <mergeCells count="109">
    <mergeCell ref="A39:O39"/>
    <mergeCell ref="A40:K40"/>
    <mergeCell ref="A41:K41"/>
    <mergeCell ref="C50:D50"/>
    <mergeCell ref="E50:F50"/>
    <mergeCell ref="G50:H50"/>
    <mergeCell ref="C46:D46"/>
    <mergeCell ref="E46:F46"/>
    <mergeCell ref="G46:H46"/>
    <mergeCell ref="I46:K50"/>
    <mergeCell ref="C47:D47"/>
    <mergeCell ref="E47:F47"/>
    <mergeCell ref="G47:H47"/>
    <mergeCell ref="C48:D48"/>
    <mergeCell ref="E48:F48"/>
    <mergeCell ref="G48:H48"/>
    <mergeCell ref="C45:D45"/>
    <mergeCell ref="E45:F45"/>
    <mergeCell ref="G45:H45"/>
    <mergeCell ref="I45:K45"/>
    <mergeCell ref="C49:D49"/>
    <mergeCell ref="E49:F49"/>
    <mergeCell ref="G49:H49"/>
    <mergeCell ref="A42:K42"/>
    <mergeCell ref="D43:F43"/>
    <mergeCell ref="I43:K43"/>
    <mergeCell ref="D44:F44"/>
    <mergeCell ref="I44:K44"/>
    <mergeCell ref="C32:D32"/>
    <mergeCell ref="E32:F32"/>
    <mergeCell ref="G32:H32"/>
    <mergeCell ref="I32:K32"/>
    <mergeCell ref="C33:D33"/>
    <mergeCell ref="E33:F33"/>
    <mergeCell ref="G33:H33"/>
    <mergeCell ref="I33:K37"/>
    <mergeCell ref="C34:D34"/>
    <mergeCell ref="E34:F34"/>
    <mergeCell ref="C37:D37"/>
    <mergeCell ref="E37:F37"/>
    <mergeCell ref="G37:H37"/>
    <mergeCell ref="G34:H34"/>
    <mergeCell ref="C35:D35"/>
    <mergeCell ref="E35:F35"/>
    <mergeCell ref="G35:H35"/>
    <mergeCell ref="C36:D36"/>
    <mergeCell ref="E36:F36"/>
    <mergeCell ref="G36:H36"/>
    <mergeCell ref="A27:K27"/>
    <mergeCell ref="A28:K28"/>
    <mergeCell ref="A29:K29"/>
    <mergeCell ref="D30:F30"/>
    <mergeCell ref="I30:K30"/>
    <mergeCell ref="D31:F31"/>
    <mergeCell ref="I31:K31"/>
    <mergeCell ref="C23:D23"/>
    <mergeCell ref="E23:F23"/>
    <mergeCell ref="G23:H23"/>
    <mergeCell ref="C24:D24"/>
    <mergeCell ref="E24:F24"/>
    <mergeCell ref="G24:H24"/>
    <mergeCell ref="C20:D20"/>
    <mergeCell ref="E20:F20"/>
    <mergeCell ref="G20:H20"/>
    <mergeCell ref="I20:K24"/>
    <mergeCell ref="C21:D21"/>
    <mergeCell ref="E21:F21"/>
    <mergeCell ref="G21:H21"/>
    <mergeCell ref="C22:D22"/>
    <mergeCell ref="E22:F22"/>
    <mergeCell ref="G22:H22"/>
    <mergeCell ref="D17:F17"/>
    <mergeCell ref="I17:K17"/>
    <mergeCell ref="D18:F18"/>
    <mergeCell ref="I18:K18"/>
    <mergeCell ref="C19:D19"/>
    <mergeCell ref="E19:F19"/>
    <mergeCell ref="G19:H19"/>
    <mergeCell ref="I19:K19"/>
    <mergeCell ref="C11:D11"/>
    <mergeCell ref="E11:F11"/>
    <mergeCell ref="G11:H11"/>
    <mergeCell ref="A14:K14"/>
    <mergeCell ref="A15:K15"/>
    <mergeCell ref="A16:K16"/>
    <mergeCell ref="I6:K6"/>
    <mergeCell ref="C7:D7"/>
    <mergeCell ref="E7:F7"/>
    <mergeCell ref="G7:H7"/>
    <mergeCell ref="I7:K11"/>
    <mergeCell ref="C8:D8"/>
    <mergeCell ref="E8:F8"/>
    <mergeCell ref="A1:K1"/>
    <mergeCell ref="A2:K2"/>
    <mergeCell ref="A3:K3"/>
    <mergeCell ref="D4:F4"/>
    <mergeCell ref="I4:K4"/>
    <mergeCell ref="D5:F5"/>
    <mergeCell ref="I5:K5"/>
    <mergeCell ref="G8:H8"/>
    <mergeCell ref="C9:D9"/>
    <mergeCell ref="E9:F9"/>
    <mergeCell ref="G9:H9"/>
    <mergeCell ref="C10:D10"/>
    <mergeCell ref="E10:F10"/>
    <mergeCell ref="G10:H10"/>
    <mergeCell ref="C6:D6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14</vt:i4>
      </vt:variant>
    </vt:vector>
  </HeadingPairs>
  <TitlesOfParts>
    <vt:vector size="39" baseType="lpstr">
      <vt:lpstr>marksheet </vt:lpstr>
      <vt:lpstr>MARKSHEET 9TH </vt:lpstr>
      <vt:lpstr>MARKSHEET 4TH TO 1ST </vt:lpstr>
      <vt:lpstr>marksheet lkg to ukg </vt:lpstr>
      <vt:lpstr>marksheet lkg to ukg2025-26 </vt:lpstr>
      <vt:lpstr>marksheet2025-26  (2)</vt:lpstr>
      <vt:lpstr>marksheet2025-26 </vt:lpstr>
      <vt:lpstr>CLASS-LKG 2025-26</vt:lpstr>
      <vt:lpstr>CLASS- UKG 2025-26</vt:lpstr>
      <vt:lpstr>CLASS-1ST 2025-26</vt:lpstr>
      <vt:lpstr>CLASS-2ND 2025-26</vt:lpstr>
      <vt:lpstr>CLASS -3RD 2025-26</vt:lpstr>
      <vt:lpstr>RANK FARMULA </vt:lpstr>
      <vt:lpstr>CLASS-4TH 2025-26</vt:lpstr>
      <vt:lpstr>CLASS-5TH 2025-26</vt:lpstr>
      <vt:lpstr>CLASS-6TH 2025-26</vt:lpstr>
      <vt:lpstr>CLASS-7TH 2025-26</vt:lpstr>
      <vt:lpstr>CLASS-8TH 2025-26</vt:lpstr>
      <vt:lpstr>9TH MARKSHEET </vt:lpstr>
      <vt:lpstr>CLASS-9TH 2025-26</vt:lpstr>
      <vt:lpstr>CLASS-10TH 2025-26</vt:lpstr>
      <vt:lpstr>TIME TABLE</vt:lpstr>
      <vt:lpstr>ADMIT CARD </vt:lpstr>
      <vt:lpstr>GOSHWARA 2025-26</vt:lpstr>
      <vt:lpstr>Sheet1</vt:lpstr>
      <vt:lpstr>ASHOK</vt:lpstr>
      <vt:lpstr>BHAJAN</vt:lpstr>
      <vt:lpstr>KING</vt:lpstr>
      <vt:lpstr>kull</vt:lpstr>
      <vt:lpstr>MEHRA</vt:lpstr>
      <vt:lpstr>NAHU</vt:lpstr>
      <vt:lpstr>NAHUSH</vt:lpstr>
      <vt:lpstr>'CLASS -3RD 2025-26'!Print_Area</vt:lpstr>
      <vt:lpstr>'CLASS- UKG 2025-26'!Print_Area</vt:lpstr>
      <vt:lpstr>'CLASS-4TH 2025-26'!Print_Area</vt:lpstr>
      <vt:lpstr>'CLASS-6TH 2025-26'!Print_Area</vt:lpstr>
      <vt:lpstr>'CLASS-9TH 2025-26'!Print_Area</vt:lpstr>
      <vt:lpstr>'CLASS-LKG 2025-26'!Print_Area</vt:lpstr>
      <vt:lpstr>ram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2026-03-26T16:33:28Z</cp:lastPrinted>
  <dcterms:created xsi:type="dcterms:W3CDTF">2025-03-07T05:54:52Z</dcterms:created>
  <dcterms:modified xsi:type="dcterms:W3CDTF">2026-05-26T08:27:28Z</dcterms:modified>
</cp:coreProperties>
</file>